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syoo/Desktop/multi_lang/sandbox/"/>
    </mc:Choice>
  </mc:AlternateContent>
  <xr:revisionPtr revIDLastSave="0" documentId="8_{AE31AC64-EF6B-914B-9914-283475475ED6}" xr6:coauthVersionLast="47" xr6:coauthVersionMax="47" xr10:uidLastSave="{00000000-0000-0000-0000-000000000000}"/>
  <bookViews>
    <workbookView xWindow="18000" yWindow="780" windowWidth="18000" windowHeight="21280" xr2:uid="{71CBEDE7-AB6E-3948-A8D8-00C8E216BBE0}"/>
  </bookViews>
  <sheets>
    <sheet name="옵션" sheetId="1" r:id="rId1"/>
    <sheet name="선물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8" i="1" l="1"/>
  <c r="F18" i="1"/>
  <c r="E18" i="1"/>
  <c r="D18" i="1"/>
  <c r="C18" i="1"/>
  <c r="B18" i="1"/>
  <c r="F7" i="2"/>
  <c r="E7" i="2"/>
  <c r="D7" i="2"/>
  <c r="C7" i="2"/>
  <c r="B7" i="2"/>
  <c r="C8" i="1"/>
  <c r="D8" i="1"/>
  <c r="E8" i="1"/>
  <c r="F8" i="1"/>
  <c r="B8" i="1"/>
  <c r="B19" i="1" l="1"/>
  <c r="B9" i="1"/>
  <c r="B9" i="2"/>
</calcChain>
</file>

<file path=xl/sharedStrings.xml><?xml version="1.0" encoding="utf-8"?>
<sst xmlns="http://schemas.openxmlformats.org/spreadsheetml/2006/main" count="53" uniqueCount="20">
  <si>
    <t>지수</t>
    <phoneticPr fontId="2" type="noConversion"/>
  </si>
  <si>
    <t>현가</t>
    <phoneticPr fontId="2" type="noConversion"/>
  </si>
  <si>
    <t>옵션1계약 승수</t>
    <phoneticPr fontId="2" type="noConversion"/>
  </si>
  <si>
    <t>KOSPI2</t>
    <phoneticPr fontId="2" type="noConversion"/>
  </si>
  <si>
    <t>SPX</t>
    <phoneticPr fontId="2" type="noConversion"/>
  </si>
  <si>
    <t>SX5E</t>
    <phoneticPr fontId="2" type="noConversion"/>
  </si>
  <si>
    <t>NIKKEI</t>
    <phoneticPr fontId="2" type="noConversion"/>
  </si>
  <si>
    <t>HSCEI</t>
    <phoneticPr fontId="2" type="noConversion"/>
  </si>
  <si>
    <t>환율</t>
    <phoneticPr fontId="2" type="noConversion"/>
  </si>
  <si>
    <t>Leg</t>
    <phoneticPr fontId="2" type="noConversion"/>
  </si>
  <si>
    <t xml:space="preserve">계약 수 </t>
    <phoneticPr fontId="2" type="noConversion"/>
  </si>
  <si>
    <t>합</t>
    <phoneticPr fontId="2" type="noConversion"/>
  </si>
  <si>
    <t>Exposure(억원)</t>
    <phoneticPr fontId="2" type="noConversion"/>
  </si>
  <si>
    <t>종류</t>
    <phoneticPr fontId="2" type="noConversion"/>
  </si>
  <si>
    <t>표준</t>
    <phoneticPr fontId="2" type="noConversion"/>
  </si>
  <si>
    <t>표준(E-mini)</t>
    <phoneticPr fontId="2" type="noConversion"/>
  </si>
  <si>
    <t>대형</t>
    <phoneticPr fontId="2" type="noConversion"/>
  </si>
  <si>
    <t>미니</t>
    <phoneticPr fontId="2" type="noConversion"/>
  </si>
  <si>
    <t>Micro</t>
    <phoneticPr fontId="2" type="noConversion"/>
  </si>
  <si>
    <t>Mini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</si>
</sst>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8" formatCode="_(* #,##0.000_);_(* \(#,##0.000\);_(* &quot;-&quot;_);_(@_)"/>
  </numFmts>
  <fonts count="3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1" fontId="0" fillId="0" borderId="0" xfId="1" applyFont="1">
      <alignment vertical="center"/>
    </xf>
    <xf numFmtId="178" fontId="0" fillId="0" borderId="0" xfId="1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8E08-41F7-F24C-9181-C768857FC40D}">
  <dimension ref="A1:H19"/>
  <sheetViews>
    <sheetView tabSelected="1" workbookViewId="0">
      <selection activeCell="G17" sqref="G17"/>
    </sheetView>
  </sheetViews>
  <sheetFormatPr baseColWidth="10" defaultRowHeight="18"/>
  <cols>
    <col min="1" max="1" width="16.28515625" customWidth="1"/>
    <col min="2" max="2" width="12.7109375" bestFit="1" customWidth="1"/>
  </cols>
  <sheetData>
    <row r="1" spans="1:8">
      <c r="A1" t="s">
        <v>13</v>
      </c>
      <c r="B1" t="s">
        <v>14</v>
      </c>
      <c r="C1" t="s">
        <v>15</v>
      </c>
      <c r="D1" t="s">
        <v>14</v>
      </c>
      <c r="E1" t="s">
        <v>16</v>
      </c>
      <c r="F1" t="s">
        <v>14</v>
      </c>
    </row>
    <row r="2" spans="1:8">
      <c r="A2" t="s">
        <v>0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8">
      <c r="A3" t="s">
        <v>1</v>
      </c>
      <c r="B3" s="1">
        <v>1051.52</v>
      </c>
      <c r="C3" s="1">
        <v>7718.6</v>
      </c>
      <c r="D3" s="1">
        <v>6392.93</v>
      </c>
      <c r="E3" s="1">
        <v>65020.94</v>
      </c>
      <c r="F3" s="1">
        <v>8555.0300000000007</v>
      </c>
    </row>
    <row r="4" spans="1:8">
      <c r="A4" t="s">
        <v>2</v>
      </c>
      <c r="B4" s="1">
        <v>250000</v>
      </c>
      <c r="C4" s="1">
        <v>50</v>
      </c>
      <c r="D4" s="1">
        <v>10</v>
      </c>
      <c r="E4" s="1">
        <v>1000</v>
      </c>
      <c r="F4" s="1">
        <v>50</v>
      </c>
    </row>
    <row r="5" spans="1:8">
      <c r="A5" t="s">
        <v>8</v>
      </c>
      <c r="B5">
        <v>1</v>
      </c>
      <c r="C5">
        <v>1349.5</v>
      </c>
      <c r="D5">
        <v>1567.24</v>
      </c>
      <c r="E5">
        <v>8.6371000000000002</v>
      </c>
      <c r="F5">
        <v>172.11</v>
      </c>
    </row>
    <row r="6" spans="1:8">
      <c r="A6" t="s">
        <v>9</v>
      </c>
      <c r="B6">
        <v>2</v>
      </c>
      <c r="C6">
        <v>2</v>
      </c>
      <c r="D6">
        <v>2</v>
      </c>
      <c r="E6">
        <v>2</v>
      </c>
      <c r="F6">
        <v>2</v>
      </c>
    </row>
    <row r="7" spans="1:8">
      <c r="A7" t="s">
        <v>10</v>
      </c>
      <c r="B7">
        <v>100</v>
      </c>
      <c r="C7">
        <v>50</v>
      </c>
      <c r="D7">
        <v>100</v>
      </c>
      <c r="E7">
        <v>100</v>
      </c>
      <c r="F7">
        <v>100</v>
      </c>
    </row>
    <row r="8" spans="1:8">
      <c r="A8" t="s">
        <v>12</v>
      </c>
      <c r="B8" s="2">
        <f>PRODUCT(B3:B7)/10^8</f>
        <v>525.76</v>
      </c>
      <c r="C8" s="2">
        <f t="shared" ref="C8:F8" si="0">PRODUCT(C3:C7)/10^8</f>
        <v>520.81253500000003</v>
      </c>
      <c r="D8" s="2">
        <f t="shared" si="0"/>
        <v>200.38511226400001</v>
      </c>
      <c r="E8" s="2">
        <f t="shared" si="0"/>
        <v>1123.1847217480001</v>
      </c>
      <c r="F8" s="2">
        <f t="shared" si="0"/>
        <v>147.24062133000004</v>
      </c>
    </row>
    <row r="9" spans="1:8">
      <c r="A9" t="s">
        <v>11</v>
      </c>
      <c r="B9">
        <f>SUM(B8:F8)</f>
        <v>2517.3829903420001</v>
      </c>
    </row>
    <row r="11" spans="1:8">
      <c r="A11" t="s">
        <v>13</v>
      </c>
      <c r="B11" t="s">
        <v>17</v>
      </c>
      <c r="C11" t="s">
        <v>18</v>
      </c>
      <c r="D11" t="s">
        <v>18</v>
      </c>
      <c r="E11" t="s">
        <v>19</v>
      </c>
      <c r="F11" t="s">
        <v>19</v>
      </c>
      <c r="H11" t="s">
        <v>18</v>
      </c>
    </row>
    <row r="12" spans="1:8">
      <c r="A12" t="s">
        <v>0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H12" t="s">
        <v>6</v>
      </c>
    </row>
    <row r="13" spans="1:8">
      <c r="A13" t="s">
        <v>1</v>
      </c>
      <c r="B13" s="1">
        <v>1051.52</v>
      </c>
      <c r="C13" s="1">
        <v>7718.6</v>
      </c>
      <c r="D13" s="1">
        <v>6392.93</v>
      </c>
      <c r="E13" s="1">
        <v>65020.94</v>
      </c>
      <c r="F13" s="1">
        <v>8555.0300000000007</v>
      </c>
      <c r="H13" s="1">
        <v>65020.94</v>
      </c>
    </row>
    <row r="14" spans="1:8">
      <c r="A14" t="s">
        <v>2</v>
      </c>
      <c r="B14" s="1">
        <v>50000</v>
      </c>
      <c r="C14" s="1">
        <v>5</v>
      </c>
      <c r="D14" s="1">
        <v>1</v>
      </c>
      <c r="E14" s="1">
        <v>100</v>
      </c>
      <c r="F14" s="1">
        <v>10</v>
      </c>
      <c r="H14" s="1">
        <v>10</v>
      </c>
    </row>
    <row r="15" spans="1:8">
      <c r="A15" t="s">
        <v>8</v>
      </c>
      <c r="B15">
        <v>1</v>
      </c>
      <c r="C15">
        <v>1349.5</v>
      </c>
      <c r="D15">
        <v>1567.24</v>
      </c>
      <c r="E15">
        <v>8.6371000000000002</v>
      </c>
      <c r="F15">
        <v>172.11</v>
      </c>
      <c r="H15">
        <v>8.6371000000000002</v>
      </c>
    </row>
    <row r="16" spans="1:8">
      <c r="A16" t="s">
        <v>9</v>
      </c>
      <c r="B16">
        <v>2</v>
      </c>
      <c r="C16">
        <v>2</v>
      </c>
      <c r="D16">
        <v>2</v>
      </c>
      <c r="E16">
        <v>2</v>
      </c>
      <c r="F16">
        <v>2</v>
      </c>
      <c r="H16">
        <v>2</v>
      </c>
    </row>
    <row r="17" spans="1:8">
      <c r="A17" t="s">
        <v>10</v>
      </c>
      <c r="B17">
        <v>100</v>
      </c>
      <c r="C17">
        <v>50</v>
      </c>
      <c r="D17">
        <v>100</v>
      </c>
      <c r="E17">
        <v>100</v>
      </c>
      <c r="F17">
        <v>100</v>
      </c>
      <c r="H17">
        <v>100</v>
      </c>
    </row>
    <row r="18" spans="1:8">
      <c r="A18" t="s">
        <v>12</v>
      </c>
      <c r="B18" s="2">
        <f>PRODUCT(B13:B17)/10^8</f>
        <v>105.152</v>
      </c>
      <c r="C18" s="2">
        <f t="shared" ref="C18" si="1">PRODUCT(C13:C17)/10^8</f>
        <v>52.081253500000003</v>
      </c>
      <c r="D18" s="2">
        <f t="shared" ref="D18" si="2">PRODUCT(D13:D17)/10^8</f>
        <v>20.038511226400004</v>
      </c>
      <c r="E18" s="2">
        <f t="shared" ref="E18" si="3">PRODUCT(E13:E17)/10^8</f>
        <v>112.31847217480002</v>
      </c>
      <c r="F18" s="2">
        <f t="shared" ref="F18" si="4">PRODUCT(F13:F17)/10^8</f>
        <v>29.448124266000004</v>
      </c>
      <c r="H18" s="2">
        <f t="shared" ref="H18" si="5">PRODUCT(H13:H17)/10^8</f>
        <v>11.231847217479999</v>
      </c>
    </row>
    <row r="19" spans="1:8">
      <c r="A19" t="s">
        <v>11</v>
      </c>
      <c r="B19">
        <f>SUM(B18:F18)</f>
        <v>319.03836116719998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82E5-74E1-3444-A604-4C09B7207667}">
  <dimension ref="A1:F9"/>
  <sheetViews>
    <sheetView workbookViewId="0">
      <selection activeCell="C4" sqref="C4"/>
    </sheetView>
  </sheetViews>
  <sheetFormatPr baseColWidth="10" defaultRowHeight="18"/>
  <sheetData>
    <row r="1" spans="1:6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 t="s">
        <v>1</v>
      </c>
      <c r="B2" s="1">
        <v>1051.52</v>
      </c>
      <c r="C2" s="1">
        <v>7718.6</v>
      </c>
      <c r="D2" s="1">
        <v>6392.93</v>
      </c>
      <c r="E2" s="1">
        <v>65020.94</v>
      </c>
      <c r="F2" s="1">
        <v>8555.0300000000007</v>
      </c>
    </row>
    <row r="3" spans="1:6">
      <c r="A3" t="s">
        <v>2</v>
      </c>
      <c r="B3" s="1">
        <v>250000</v>
      </c>
      <c r="C3" s="1">
        <v>50</v>
      </c>
      <c r="D3" s="1">
        <v>10</v>
      </c>
      <c r="E3" s="1">
        <v>1000</v>
      </c>
      <c r="F3" s="1">
        <v>50</v>
      </c>
    </row>
    <row r="4" spans="1:6">
      <c r="A4" t="s">
        <v>8</v>
      </c>
      <c r="B4">
        <v>1</v>
      </c>
      <c r="C4">
        <v>1349.5</v>
      </c>
      <c r="D4">
        <v>1567.24</v>
      </c>
      <c r="E4">
        <v>8.6371000000000002</v>
      </c>
      <c r="F4">
        <v>172.11</v>
      </c>
    </row>
    <row r="5" spans="1:6">
      <c r="A5" t="s">
        <v>9</v>
      </c>
      <c r="B5">
        <v>2</v>
      </c>
      <c r="C5">
        <v>2</v>
      </c>
      <c r="D5">
        <v>2</v>
      </c>
      <c r="E5">
        <v>2</v>
      </c>
      <c r="F5">
        <v>2</v>
      </c>
    </row>
    <row r="6" spans="1:6">
      <c r="A6" t="s">
        <v>10</v>
      </c>
      <c r="B6">
        <v>100</v>
      </c>
      <c r="C6">
        <v>50</v>
      </c>
      <c r="D6">
        <v>100</v>
      </c>
      <c r="E6">
        <v>100</v>
      </c>
      <c r="F6">
        <v>100</v>
      </c>
    </row>
    <row r="7" spans="1:6">
      <c r="A7" t="s">
        <v>12</v>
      </c>
      <c r="B7" s="2">
        <f>PRODUCT(B2:B6)/10^8</f>
        <v>525.76</v>
      </c>
      <c r="C7" s="2">
        <f t="shared" ref="C7:F7" si="0">PRODUCT(C2:C6)/10^8</f>
        <v>520.81253500000003</v>
      </c>
      <c r="D7" s="2">
        <f t="shared" si="0"/>
        <v>200.38511226400001</v>
      </c>
      <c r="E7" s="2">
        <f t="shared" si="0"/>
        <v>1123.1847217480001</v>
      </c>
      <c r="F7" s="2">
        <f t="shared" si="0"/>
        <v>147.24062133000004</v>
      </c>
    </row>
    <row r="9" spans="1:6">
      <c r="A9" t="s">
        <v>11</v>
      </c>
      <c r="B9">
        <f>SUM(B7:F7)</f>
        <v>2517.3829903420001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옵션</vt:lpstr>
      <vt:lpstr>선물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Hyeon-seung Yoo</dc:creator>
  <cp:lastModifiedBy>Hyeon-seung Yoo</cp:lastModifiedBy>
  <dcterms:created xsi:type="dcterms:W3CDTF">2026-09-06T11:36:08Z</dcterms:created>
  <dcterms:modified xsi:type="dcterms:W3CDTF">2026-09-06T12:57:04Z</dcterms:modified>
</cp:coreProperties>
</file>