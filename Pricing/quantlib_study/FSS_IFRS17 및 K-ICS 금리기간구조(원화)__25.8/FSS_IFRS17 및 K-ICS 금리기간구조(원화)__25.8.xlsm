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Youtube_lecture\lecture_0\"/>
    </mc:Choice>
  </mc:AlternateContent>
  <xr:revisionPtr revIDLastSave="0" documentId="13_ncr:1_{04F42C2C-81E8-4844-8361-4182D40DA69D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원화 무위험 금리기간구조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4" i="3" l="1"/>
  <c r="AB1213" i="3"/>
  <c r="AB1212" i="3"/>
  <c r="AB1211" i="3"/>
  <c r="AB1210" i="3"/>
  <c r="AB1209" i="3"/>
  <c r="AB1208" i="3"/>
  <c r="AB1207" i="3"/>
  <c r="AB1206" i="3"/>
  <c r="AB1205" i="3"/>
  <c r="AB1204" i="3"/>
  <c r="AB1203" i="3"/>
  <c r="AB1202" i="3"/>
  <c r="AB1201" i="3"/>
  <c r="AB1200" i="3"/>
  <c r="AB1199" i="3"/>
  <c r="AB1198" i="3"/>
  <c r="AB1197" i="3"/>
  <c r="AB1196" i="3"/>
  <c r="AB1195" i="3"/>
  <c r="AB1194" i="3"/>
  <c r="AB1193" i="3"/>
  <c r="AB1192" i="3"/>
  <c r="AB1191" i="3"/>
  <c r="AB1190" i="3"/>
  <c r="AB1189" i="3"/>
  <c r="AB1188" i="3"/>
  <c r="AB1187" i="3"/>
  <c r="AB1186" i="3"/>
  <c r="AB1185" i="3"/>
  <c r="AB1184" i="3"/>
  <c r="AB1183" i="3"/>
  <c r="AB1182" i="3"/>
  <c r="AB1181" i="3"/>
  <c r="AB1180" i="3"/>
  <c r="AB1179" i="3"/>
  <c r="AB1178" i="3"/>
  <c r="AB1177" i="3"/>
  <c r="AB1176" i="3"/>
  <c r="AB1175" i="3"/>
  <c r="AB1174" i="3"/>
  <c r="AB1173" i="3"/>
  <c r="AB1172" i="3"/>
  <c r="AB1171" i="3"/>
  <c r="AB1170" i="3"/>
  <c r="AB1169" i="3"/>
  <c r="AB1168" i="3"/>
  <c r="AB1167" i="3"/>
  <c r="AB1166" i="3"/>
  <c r="AB1165" i="3"/>
  <c r="AB1164" i="3"/>
  <c r="AB1163" i="3"/>
  <c r="AB1162" i="3"/>
  <c r="AB1161" i="3"/>
  <c r="AB1160" i="3"/>
  <c r="AB1159" i="3"/>
  <c r="AB1158" i="3"/>
  <c r="AB1157" i="3"/>
  <c r="AB1156" i="3"/>
  <c r="AB1155" i="3"/>
  <c r="AB1154" i="3"/>
  <c r="AB1153" i="3"/>
  <c r="AB1152" i="3"/>
  <c r="AB1151" i="3"/>
  <c r="AB1150" i="3"/>
  <c r="AB1149" i="3"/>
  <c r="AB1148" i="3"/>
  <c r="AB1147" i="3"/>
  <c r="AB1146" i="3"/>
  <c r="AB1145" i="3"/>
  <c r="AB1144" i="3"/>
  <c r="AB1143" i="3"/>
  <c r="AB1142" i="3"/>
  <c r="AB1141" i="3"/>
  <c r="AB1140" i="3"/>
  <c r="AB1139" i="3"/>
  <c r="AB1138" i="3"/>
  <c r="AB1137" i="3"/>
  <c r="AB1136" i="3"/>
  <c r="AB1135" i="3"/>
  <c r="AB1134" i="3"/>
  <c r="AB1133" i="3"/>
  <c r="AB1132" i="3"/>
  <c r="AB1131" i="3"/>
  <c r="AB1130" i="3"/>
  <c r="AB1129" i="3"/>
  <c r="AB1128" i="3"/>
  <c r="AB1127" i="3"/>
  <c r="AB1126" i="3"/>
  <c r="AB1125" i="3"/>
  <c r="AB1124" i="3"/>
  <c r="AB1123" i="3"/>
  <c r="AB1122" i="3"/>
  <c r="AB1121" i="3"/>
  <c r="AB1120" i="3"/>
  <c r="AB1119" i="3"/>
  <c r="AB1118" i="3"/>
  <c r="AB1117" i="3"/>
  <c r="AB1116" i="3"/>
  <c r="AB1115" i="3"/>
  <c r="AB1114" i="3"/>
  <c r="AB1113" i="3"/>
  <c r="AB1112" i="3"/>
  <c r="AB1111" i="3"/>
  <c r="AB1110" i="3"/>
  <c r="AB1109" i="3"/>
  <c r="AB1108" i="3"/>
  <c r="AB1107" i="3"/>
  <c r="AB1106" i="3"/>
  <c r="AB1105" i="3"/>
  <c r="AB1104" i="3"/>
  <c r="AB1103" i="3"/>
  <c r="AB1102" i="3"/>
  <c r="AB1101" i="3"/>
  <c r="AB1100" i="3"/>
  <c r="AB1099" i="3"/>
  <c r="AB1098" i="3"/>
  <c r="AB1097" i="3"/>
  <c r="AB1096" i="3"/>
  <c r="AB1095" i="3"/>
  <c r="AB1094" i="3"/>
  <c r="AB1093" i="3"/>
  <c r="AB1092" i="3"/>
  <c r="AB1091" i="3"/>
  <c r="AB1090" i="3"/>
  <c r="AB1089" i="3"/>
  <c r="AB1088" i="3"/>
  <c r="AB1087" i="3"/>
  <c r="AB1086" i="3"/>
  <c r="AB1085" i="3"/>
  <c r="AB1084" i="3"/>
  <c r="AB1083" i="3"/>
  <c r="AB1082" i="3"/>
  <c r="AB1081" i="3"/>
  <c r="AB1080" i="3"/>
  <c r="AB1079" i="3"/>
  <c r="AB1078" i="3"/>
  <c r="AB1077" i="3"/>
  <c r="AB1076" i="3"/>
  <c r="AB1075" i="3"/>
  <c r="AB1074" i="3"/>
  <c r="AB1073" i="3"/>
  <c r="AB1072" i="3"/>
  <c r="AB1071" i="3"/>
  <c r="AB1070" i="3"/>
  <c r="AB1069" i="3"/>
  <c r="AB1068" i="3"/>
  <c r="AB1067" i="3"/>
  <c r="AB1066" i="3"/>
  <c r="AB1065" i="3"/>
  <c r="AB1064" i="3"/>
  <c r="AB1063" i="3"/>
  <c r="AB1062" i="3"/>
  <c r="AB1061" i="3"/>
  <c r="AB1060" i="3"/>
  <c r="AB1059" i="3"/>
  <c r="AB1058" i="3"/>
  <c r="AB1057" i="3"/>
  <c r="AB1056" i="3"/>
  <c r="AB1055" i="3"/>
  <c r="AB1054" i="3"/>
  <c r="AB1053" i="3"/>
  <c r="AB1052" i="3"/>
  <c r="AB1051" i="3"/>
  <c r="AB1050" i="3"/>
  <c r="AB1049" i="3"/>
  <c r="AB1048" i="3"/>
  <c r="AB1047" i="3"/>
  <c r="AB1046" i="3"/>
  <c r="AB1045" i="3"/>
  <c r="AB1044" i="3"/>
  <c r="AB1043" i="3"/>
  <c r="AB1042" i="3"/>
  <c r="AB1041" i="3"/>
  <c r="AB1040" i="3"/>
  <c r="AB1039" i="3"/>
  <c r="AB1038" i="3"/>
  <c r="AB1037" i="3"/>
  <c r="AB1036" i="3"/>
  <c r="AB1035" i="3"/>
  <c r="AB1034" i="3"/>
  <c r="AB1033" i="3"/>
  <c r="AB1032" i="3"/>
  <c r="AB1031" i="3"/>
  <c r="AB1030" i="3"/>
  <c r="AB1029" i="3"/>
  <c r="AB1028" i="3"/>
  <c r="AB1027" i="3"/>
  <c r="AB1026" i="3"/>
  <c r="AB1025" i="3"/>
  <c r="AB1024" i="3"/>
  <c r="AB1023" i="3"/>
  <c r="AB1022" i="3"/>
  <c r="AB1021" i="3"/>
  <c r="AB1020" i="3"/>
  <c r="AB1019" i="3"/>
  <c r="AB1018" i="3"/>
  <c r="AB1017" i="3"/>
  <c r="AB1016" i="3"/>
  <c r="AB1015" i="3"/>
  <c r="AB1014" i="3"/>
  <c r="AB1013" i="3"/>
  <c r="AB1012" i="3"/>
  <c r="AB1011" i="3"/>
  <c r="AB1010" i="3"/>
  <c r="AB1009" i="3"/>
  <c r="AB1008" i="3"/>
  <c r="AB1007" i="3"/>
  <c r="AB1006" i="3"/>
  <c r="AB1005" i="3"/>
  <c r="AB1004" i="3"/>
  <c r="AB1003" i="3"/>
  <c r="AB1002" i="3"/>
  <c r="AB1001" i="3"/>
  <c r="AB1000" i="3"/>
  <c r="AB999" i="3"/>
  <c r="AB998" i="3"/>
  <c r="AB997" i="3"/>
  <c r="AB996" i="3"/>
  <c r="AB995" i="3"/>
  <c r="AB994" i="3"/>
  <c r="AB993" i="3"/>
  <c r="AB992" i="3"/>
  <c r="AB991" i="3"/>
  <c r="AB990" i="3"/>
  <c r="AB989" i="3"/>
  <c r="AB988" i="3"/>
  <c r="AB987" i="3"/>
  <c r="AB986" i="3"/>
  <c r="AB985" i="3"/>
  <c r="AB984" i="3"/>
  <c r="AB983" i="3"/>
  <c r="AB982" i="3"/>
  <c r="AB981" i="3"/>
  <c r="AB980" i="3"/>
  <c r="AB979" i="3"/>
  <c r="AB978" i="3"/>
  <c r="AB977" i="3"/>
  <c r="AB976" i="3"/>
  <c r="AB975" i="3"/>
  <c r="AB974" i="3"/>
  <c r="AB973" i="3"/>
  <c r="AB972" i="3"/>
  <c r="AB971" i="3"/>
  <c r="AB970" i="3"/>
  <c r="AB969" i="3"/>
  <c r="AB968" i="3"/>
  <c r="AB967" i="3"/>
  <c r="AB966" i="3"/>
  <c r="AB965" i="3"/>
  <c r="AB964" i="3"/>
  <c r="AB963" i="3"/>
  <c r="AB962" i="3"/>
  <c r="AB961" i="3"/>
  <c r="AB960" i="3"/>
  <c r="AB959" i="3"/>
  <c r="AB958" i="3"/>
  <c r="AB957" i="3"/>
  <c r="AB956" i="3"/>
  <c r="AB955" i="3"/>
  <c r="AB954" i="3"/>
  <c r="AB953" i="3"/>
  <c r="AB952" i="3"/>
  <c r="AB951" i="3"/>
  <c r="AB950" i="3"/>
  <c r="AB949" i="3"/>
  <c r="AB948" i="3"/>
  <c r="AB947" i="3"/>
  <c r="AB946" i="3"/>
  <c r="AB945" i="3"/>
  <c r="AB944" i="3"/>
  <c r="AB943" i="3"/>
  <c r="AB942" i="3"/>
  <c r="AB941" i="3"/>
  <c r="AB940" i="3"/>
  <c r="AB939" i="3"/>
  <c r="AB938" i="3"/>
  <c r="AB937" i="3"/>
  <c r="AB936" i="3"/>
  <c r="AB935" i="3"/>
  <c r="AB934" i="3"/>
  <c r="AB933" i="3"/>
  <c r="AB932" i="3"/>
  <c r="AB931" i="3"/>
  <c r="AB930" i="3"/>
  <c r="AB929" i="3"/>
  <c r="AB928" i="3"/>
  <c r="AB927" i="3"/>
  <c r="AB926" i="3"/>
  <c r="AB925" i="3"/>
  <c r="AB924" i="3"/>
  <c r="AB923" i="3"/>
  <c r="AB922" i="3"/>
  <c r="AB921" i="3"/>
  <c r="AB920" i="3"/>
  <c r="AB919" i="3"/>
  <c r="AB918" i="3"/>
  <c r="AB917" i="3"/>
  <c r="AB916" i="3"/>
  <c r="AB915" i="3"/>
  <c r="AB914" i="3"/>
  <c r="AB913" i="3"/>
  <c r="AB912" i="3"/>
  <c r="AB911" i="3"/>
  <c r="AB910" i="3"/>
  <c r="AB909" i="3"/>
  <c r="AB908" i="3"/>
  <c r="AB907" i="3"/>
  <c r="AB906" i="3"/>
  <c r="AB905" i="3"/>
  <c r="AB904" i="3"/>
  <c r="AB903" i="3"/>
  <c r="AB902" i="3"/>
  <c r="AB901" i="3"/>
  <c r="AB900" i="3"/>
  <c r="AB899" i="3"/>
  <c r="AB898" i="3"/>
  <c r="AB897" i="3"/>
  <c r="AB896" i="3"/>
  <c r="AB895" i="3"/>
  <c r="AB894" i="3"/>
  <c r="AB893" i="3"/>
  <c r="AB892" i="3"/>
  <c r="AB891" i="3"/>
  <c r="AB890" i="3"/>
  <c r="AB889" i="3"/>
  <c r="AB888" i="3"/>
  <c r="AB887" i="3"/>
  <c r="AB886" i="3"/>
  <c r="AB885" i="3"/>
  <c r="AB884" i="3"/>
  <c r="AB883" i="3"/>
  <c r="AB882" i="3"/>
  <c r="AB881" i="3"/>
  <c r="AB880" i="3"/>
  <c r="AB879" i="3"/>
  <c r="AB878" i="3"/>
  <c r="AB877" i="3"/>
  <c r="AB876" i="3"/>
  <c r="AB875" i="3"/>
  <c r="AB874" i="3"/>
  <c r="AB873" i="3"/>
  <c r="AB872" i="3"/>
  <c r="AB871" i="3"/>
  <c r="AB870" i="3"/>
  <c r="AB869" i="3"/>
  <c r="AB868" i="3"/>
  <c r="AB867" i="3"/>
  <c r="AB866" i="3"/>
  <c r="AB865" i="3"/>
  <c r="AB864" i="3"/>
  <c r="AB863" i="3"/>
  <c r="AB862" i="3"/>
  <c r="AB861" i="3"/>
  <c r="AB860" i="3"/>
  <c r="AB859" i="3"/>
  <c r="AB858" i="3"/>
  <c r="AB857" i="3"/>
  <c r="AB856" i="3"/>
  <c r="AB855" i="3"/>
  <c r="AB854" i="3"/>
  <c r="AB853" i="3"/>
  <c r="AB852" i="3"/>
  <c r="AB851" i="3"/>
  <c r="AB850" i="3"/>
  <c r="AB849" i="3"/>
  <c r="AB848" i="3"/>
  <c r="AB847" i="3"/>
  <c r="AB846" i="3"/>
  <c r="AB845" i="3"/>
  <c r="AB844" i="3"/>
  <c r="AB843" i="3"/>
  <c r="AB842" i="3"/>
  <c r="AB841" i="3"/>
  <c r="AB840" i="3"/>
  <c r="AB839" i="3"/>
  <c r="AB838" i="3"/>
  <c r="AB837" i="3"/>
  <c r="AB836" i="3"/>
  <c r="AB835" i="3"/>
  <c r="AB834" i="3"/>
  <c r="AB833" i="3"/>
  <c r="AB832" i="3"/>
  <c r="AB831" i="3"/>
  <c r="AB830" i="3"/>
  <c r="AB829" i="3"/>
  <c r="AB828" i="3"/>
  <c r="AB827" i="3"/>
  <c r="AB826" i="3"/>
  <c r="AB825" i="3"/>
  <c r="AB824" i="3"/>
  <c r="AB823" i="3"/>
  <c r="AB822" i="3"/>
  <c r="AB821" i="3"/>
  <c r="AB820" i="3"/>
  <c r="AB819" i="3"/>
  <c r="AB818" i="3"/>
  <c r="AB817" i="3"/>
  <c r="AB816" i="3"/>
  <c r="AB815" i="3"/>
  <c r="AB814" i="3"/>
  <c r="AB813" i="3"/>
  <c r="AB812" i="3"/>
  <c r="AB811" i="3"/>
  <c r="AB810" i="3"/>
  <c r="AB809" i="3"/>
  <c r="AB808" i="3"/>
  <c r="AB807" i="3"/>
  <c r="AB806" i="3"/>
  <c r="AB805" i="3"/>
  <c r="AB804" i="3"/>
  <c r="AB803" i="3"/>
  <c r="AB802" i="3"/>
  <c r="AB801" i="3"/>
  <c r="AB800" i="3"/>
  <c r="AB799" i="3"/>
  <c r="AB798" i="3"/>
  <c r="AB797" i="3"/>
  <c r="AB796" i="3"/>
  <c r="AB795" i="3"/>
  <c r="AB794" i="3"/>
  <c r="AB793" i="3"/>
  <c r="AB792" i="3"/>
  <c r="AB791" i="3"/>
  <c r="AB790" i="3"/>
  <c r="AB789" i="3"/>
  <c r="AB788" i="3"/>
  <c r="AB787" i="3"/>
  <c r="AB786" i="3"/>
  <c r="AB785" i="3"/>
  <c r="AB784" i="3"/>
  <c r="AB783" i="3"/>
  <c r="AB782" i="3"/>
  <c r="AB781" i="3"/>
  <c r="AB780" i="3"/>
  <c r="AB779" i="3"/>
  <c r="AB778" i="3"/>
  <c r="AB777" i="3"/>
  <c r="AB776" i="3"/>
  <c r="AB775" i="3"/>
  <c r="AB774" i="3"/>
  <c r="AB773" i="3"/>
  <c r="AB772" i="3"/>
  <c r="AB771" i="3"/>
  <c r="AB770" i="3"/>
  <c r="AB769" i="3"/>
  <c r="AB768" i="3"/>
  <c r="AB767" i="3"/>
  <c r="AB766" i="3"/>
  <c r="AB765" i="3"/>
  <c r="AB764" i="3"/>
  <c r="AB763" i="3"/>
  <c r="AB762" i="3"/>
  <c r="AB761" i="3"/>
  <c r="AB760" i="3"/>
  <c r="AB759" i="3"/>
  <c r="AB758" i="3"/>
  <c r="AB757" i="3"/>
  <c r="AB756" i="3"/>
  <c r="AB755" i="3"/>
  <c r="AB754" i="3"/>
  <c r="AB753" i="3"/>
  <c r="AB752" i="3"/>
  <c r="AB751" i="3"/>
  <c r="AB750" i="3"/>
  <c r="AB749" i="3"/>
  <c r="AB748" i="3"/>
  <c r="AB747" i="3"/>
  <c r="AB746" i="3"/>
  <c r="AB745" i="3"/>
  <c r="AB744" i="3"/>
  <c r="AB743" i="3"/>
  <c r="AB742" i="3"/>
  <c r="AB741" i="3"/>
  <c r="AB740" i="3"/>
  <c r="AB739" i="3"/>
  <c r="AB738" i="3"/>
  <c r="AB737" i="3"/>
  <c r="AB736" i="3"/>
  <c r="AB735" i="3"/>
  <c r="AB734" i="3"/>
  <c r="AB733" i="3"/>
  <c r="AB732" i="3"/>
  <c r="AB731" i="3"/>
  <c r="AB730" i="3"/>
  <c r="AB729" i="3"/>
  <c r="AB728" i="3"/>
  <c r="AB727" i="3"/>
  <c r="AB726" i="3"/>
  <c r="AB725" i="3"/>
  <c r="AB724" i="3"/>
  <c r="AB723" i="3"/>
  <c r="AB722" i="3"/>
  <c r="AB721" i="3"/>
  <c r="AB720" i="3"/>
  <c r="AB719" i="3"/>
  <c r="AB718" i="3"/>
  <c r="AB717" i="3"/>
  <c r="AB716" i="3"/>
  <c r="AB715" i="3"/>
  <c r="AB714" i="3"/>
  <c r="AB713" i="3"/>
  <c r="AB712" i="3"/>
  <c r="AB711" i="3"/>
  <c r="AB710" i="3"/>
  <c r="AB709" i="3"/>
  <c r="AB708" i="3"/>
  <c r="AB707" i="3"/>
  <c r="AB706" i="3"/>
  <c r="AB705" i="3"/>
  <c r="AB704" i="3"/>
  <c r="AB703" i="3"/>
  <c r="AB702" i="3"/>
  <c r="AB701" i="3"/>
  <c r="AB700" i="3"/>
  <c r="AB699" i="3"/>
  <c r="AB698" i="3"/>
  <c r="AB697" i="3"/>
  <c r="AB696" i="3"/>
  <c r="AB695" i="3"/>
  <c r="AB694" i="3"/>
  <c r="AB693" i="3"/>
  <c r="AB692" i="3"/>
  <c r="AB691" i="3"/>
  <c r="AB690" i="3"/>
  <c r="AB689" i="3"/>
  <c r="AB688" i="3"/>
  <c r="AB687" i="3"/>
  <c r="AB686" i="3"/>
  <c r="AB685" i="3"/>
  <c r="AB684" i="3"/>
  <c r="AB683" i="3"/>
  <c r="AB682" i="3"/>
  <c r="AB681" i="3"/>
  <c r="AB680" i="3"/>
  <c r="AB679" i="3"/>
  <c r="AB678" i="3"/>
  <c r="AB677" i="3"/>
  <c r="AB676" i="3"/>
  <c r="AB675" i="3"/>
  <c r="AB674" i="3"/>
  <c r="AB673" i="3"/>
  <c r="AB672" i="3"/>
  <c r="AB671" i="3"/>
  <c r="AB670" i="3"/>
  <c r="AB669" i="3"/>
  <c r="AB668" i="3"/>
  <c r="AB667" i="3"/>
  <c r="AB666" i="3"/>
  <c r="AB665" i="3"/>
  <c r="AB664" i="3"/>
  <c r="AB663" i="3"/>
  <c r="AB662" i="3"/>
  <c r="AB661" i="3"/>
  <c r="AB660" i="3"/>
  <c r="AB659" i="3"/>
  <c r="AB658" i="3"/>
  <c r="AB657" i="3"/>
  <c r="AB656" i="3"/>
  <c r="AB655" i="3"/>
  <c r="AB654" i="3"/>
  <c r="AB653" i="3"/>
  <c r="AB652" i="3"/>
  <c r="AB651" i="3"/>
  <c r="AB650" i="3"/>
  <c r="AB649" i="3"/>
  <c r="AB648" i="3"/>
  <c r="AB647" i="3"/>
  <c r="AB646" i="3"/>
  <c r="AB645" i="3"/>
  <c r="AB644" i="3"/>
  <c r="AB643" i="3"/>
  <c r="AB642" i="3"/>
  <c r="AB641" i="3"/>
  <c r="AB640" i="3"/>
  <c r="AB639" i="3"/>
  <c r="AB638" i="3"/>
  <c r="AB637" i="3"/>
  <c r="AB636" i="3"/>
  <c r="AB635" i="3"/>
  <c r="AB634" i="3"/>
  <c r="AB633" i="3"/>
  <c r="AB632" i="3"/>
  <c r="AB631" i="3"/>
  <c r="AB630" i="3"/>
  <c r="AB629" i="3"/>
  <c r="AB628" i="3"/>
  <c r="AB627" i="3"/>
  <c r="AB626" i="3"/>
  <c r="AB625" i="3"/>
  <c r="AB624" i="3"/>
  <c r="AB623" i="3"/>
  <c r="AB622" i="3"/>
  <c r="AB621" i="3"/>
  <c r="AB620" i="3"/>
  <c r="AB619" i="3"/>
  <c r="AB618" i="3"/>
  <c r="AB617" i="3"/>
  <c r="AB616" i="3"/>
  <c r="AB615" i="3"/>
  <c r="AB614" i="3"/>
  <c r="AB613" i="3"/>
  <c r="AB612" i="3"/>
  <c r="AB611" i="3"/>
  <c r="AB610" i="3"/>
  <c r="AB609" i="3"/>
  <c r="AB608" i="3"/>
  <c r="AB607" i="3"/>
  <c r="AB606" i="3"/>
  <c r="AB605" i="3"/>
  <c r="AB604" i="3"/>
  <c r="AB603" i="3"/>
  <c r="AB602" i="3"/>
  <c r="AB601" i="3"/>
  <c r="AB600" i="3"/>
  <c r="AB599" i="3"/>
  <c r="AB598" i="3"/>
  <c r="AB597" i="3"/>
  <c r="AB596" i="3"/>
  <c r="AB595" i="3"/>
  <c r="AB594" i="3"/>
  <c r="AB593" i="3"/>
  <c r="AB592" i="3"/>
  <c r="AB591" i="3"/>
  <c r="AB590" i="3"/>
  <c r="AB589" i="3"/>
  <c r="AB588" i="3"/>
  <c r="AB587" i="3"/>
  <c r="AB586" i="3"/>
  <c r="AB585" i="3"/>
  <c r="AB584" i="3"/>
  <c r="AB583" i="3"/>
  <c r="AB582" i="3"/>
  <c r="AB581" i="3"/>
  <c r="AB580" i="3"/>
  <c r="AB579" i="3"/>
  <c r="AB578" i="3"/>
  <c r="AB577" i="3"/>
  <c r="AB576" i="3"/>
  <c r="AB575" i="3"/>
  <c r="AB574" i="3"/>
  <c r="AB573" i="3"/>
  <c r="AB572" i="3"/>
  <c r="AB571" i="3"/>
  <c r="AB570" i="3"/>
  <c r="AB569" i="3"/>
  <c r="AB568" i="3"/>
  <c r="AB567" i="3"/>
  <c r="AB566" i="3"/>
  <c r="AB565" i="3"/>
  <c r="AB564" i="3"/>
  <c r="AB563" i="3"/>
  <c r="AB562" i="3"/>
  <c r="AB561" i="3"/>
  <c r="AB560" i="3"/>
  <c r="AB559" i="3"/>
  <c r="AB558" i="3"/>
  <c r="AB557" i="3"/>
  <c r="AB556" i="3"/>
  <c r="AB555" i="3"/>
  <c r="AB554" i="3"/>
  <c r="AB553" i="3"/>
  <c r="AB552" i="3"/>
  <c r="AB551" i="3"/>
  <c r="AB550" i="3"/>
  <c r="AB549" i="3"/>
  <c r="AB548" i="3"/>
  <c r="AB547" i="3"/>
  <c r="AB546" i="3"/>
  <c r="AB545" i="3"/>
  <c r="AB544" i="3"/>
  <c r="AB543" i="3"/>
  <c r="AB542" i="3"/>
  <c r="AB541" i="3"/>
  <c r="AB540" i="3"/>
  <c r="AB539" i="3"/>
  <c r="AB538" i="3"/>
  <c r="AB537" i="3"/>
  <c r="AB536" i="3"/>
  <c r="AB535" i="3"/>
  <c r="AB534" i="3"/>
  <c r="AB533" i="3"/>
  <c r="AB532" i="3"/>
  <c r="AB531" i="3"/>
  <c r="AB530" i="3"/>
  <c r="AB529" i="3"/>
  <c r="AB528" i="3"/>
  <c r="AB527" i="3"/>
  <c r="AB526" i="3"/>
  <c r="AB525" i="3"/>
  <c r="AB524" i="3"/>
  <c r="AB523" i="3"/>
  <c r="AB522" i="3"/>
  <c r="AB521" i="3"/>
  <c r="AB520" i="3"/>
  <c r="AB519" i="3"/>
  <c r="AB518" i="3"/>
  <c r="AB517" i="3"/>
  <c r="AB516" i="3"/>
  <c r="AB515" i="3"/>
  <c r="AB514" i="3"/>
  <c r="AB513" i="3"/>
  <c r="AB512" i="3"/>
  <c r="AB511" i="3"/>
  <c r="AB510" i="3"/>
  <c r="AB509" i="3"/>
  <c r="AB508" i="3"/>
  <c r="AB507" i="3"/>
  <c r="AB506" i="3"/>
  <c r="AB505" i="3"/>
  <c r="AB504" i="3"/>
  <c r="AB503" i="3"/>
  <c r="AB502" i="3"/>
  <c r="AB501" i="3"/>
  <c r="AB500" i="3"/>
  <c r="AB499" i="3"/>
  <c r="AB498" i="3"/>
  <c r="AB497" i="3"/>
  <c r="AB496" i="3"/>
  <c r="AB495" i="3"/>
  <c r="AB494" i="3"/>
  <c r="AB493" i="3"/>
  <c r="AB492" i="3"/>
  <c r="AB491" i="3"/>
  <c r="AB490" i="3"/>
  <c r="AB489" i="3"/>
  <c r="AB488" i="3"/>
  <c r="AB487" i="3"/>
  <c r="AB486" i="3"/>
  <c r="AB485" i="3"/>
  <c r="AB484" i="3"/>
  <c r="AB483" i="3"/>
  <c r="AB482" i="3"/>
  <c r="AB481" i="3"/>
  <c r="AB480" i="3"/>
  <c r="AB479" i="3"/>
  <c r="AB478" i="3"/>
  <c r="AB477" i="3"/>
  <c r="AB476" i="3"/>
  <c r="AB475" i="3"/>
  <c r="AB474" i="3"/>
  <c r="AB473" i="3"/>
  <c r="AB472" i="3"/>
  <c r="AB471" i="3"/>
  <c r="AB470" i="3"/>
  <c r="AB469" i="3"/>
  <c r="AB468" i="3"/>
  <c r="AB467" i="3"/>
  <c r="AB466" i="3"/>
  <c r="AB465" i="3"/>
  <c r="AB464" i="3"/>
  <c r="AB463" i="3"/>
  <c r="AB462" i="3"/>
  <c r="AB461" i="3"/>
  <c r="AB460" i="3"/>
  <c r="AB459" i="3"/>
  <c r="AB458" i="3"/>
  <c r="AB457" i="3"/>
  <c r="AB456" i="3"/>
  <c r="AB455" i="3"/>
  <c r="AB454" i="3"/>
  <c r="AB453" i="3"/>
  <c r="AB452" i="3"/>
  <c r="AB451" i="3"/>
  <c r="AB450" i="3"/>
  <c r="AB449" i="3"/>
  <c r="AB448" i="3"/>
  <c r="AB447" i="3"/>
  <c r="AB446" i="3"/>
  <c r="AB445" i="3"/>
  <c r="AB444" i="3"/>
  <c r="AB443" i="3"/>
  <c r="AB442" i="3"/>
  <c r="AB441" i="3"/>
  <c r="AB440" i="3"/>
  <c r="AB439" i="3"/>
  <c r="AB438" i="3"/>
  <c r="AB437" i="3"/>
  <c r="AB436" i="3"/>
  <c r="AB435" i="3"/>
  <c r="AB434" i="3"/>
  <c r="AB433" i="3"/>
  <c r="AB432" i="3"/>
  <c r="AB431" i="3"/>
  <c r="AB430" i="3"/>
  <c r="AB429" i="3"/>
  <c r="AB428" i="3"/>
  <c r="AB427" i="3"/>
  <c r="AB426" i="3"/>
  <c r="AB425" i="3"/>
  <c r="AB424" i="3"/>
  <c r="AB423" i="3"/>
  <c r="AB422" i="3"/>
  <c r="AB421" i="3"/>
  <c r="AB420" i="3"/>
  <c r="AB419" i="3"/>
  <c r="AB418" i="3"/>
  <c r="AB417" i="3"/>
  <c r="AB416" i="3"/>
  <c r="AB415" i="3"/>
  <c r="AB414" i="3"/>
  <c r="AB413" i="3"/>
  <c r="AB412" i="3"/>
  <c r="AB411" i="3"/>
  <c r="AB410" i="3"/>
  <c r="AB409" i="3"/>
  <c r="AB408" i="3"/>
  <c r="AB407" i="3"/>
  <c r="AB406" i="3"/>
  <c r="AB405" i="3"/>
  <c r="AB404" i="3"/>
  <c r="AB403" i="3"/>
  <c r="AB402" i="3"/>
  <c r="AB401" i="3"/>
  <c r="AB400" i="3"/>
  <c r="AB399" i="3"/>
  <c r="AB398" i="3"/>
  <c r="AB397" i="3"/>
  <c r="AB396" i="3"/>
  <c r="AB395" i="3"/>
  <c r="AB394" i="3"/>
  <c r="AB393" i="3"/>
  <c r="AB392" i="3"/>
  <c r="AB391" i="3"/>
  <c r="AB390" i="3"/>
  <c r="AB389" i="3"/>
  <c r="AB388" i="3"/>
  <c r="AB387" i="3"/>
  <c r="AB386" i="3"/>
  <c r="AB385" i="3"/>
  <c r="AB384" i="3"/>
  <c r="AB383" i="3"/>
  <c r="AB382" i="3"/>
  <c r="AB381" i="3"/>
  <c r="AB380" i="3"/>
  <c r="AB379" i="3"/>
  <c r="AB378" i="3"/>
  <c r="AB377" i="3"/>
  <c r="AB376" i="3"/>
  <c r="AB375" i="3"/>
  <c r="AB374" i="3"/>
  <c r="AB373" i="3"/>
  <c r="AB372" i="3"/>
  <c r="AB371" i="3"/>
  <c r="AB370" i="3"/>
  <c r="AB369" i="3"/>
  <c r="AB368" i="3"/>
  <c r="AB367" i="3"/>
  <c r="AB366" i="3"/>
  <c r="AB365" i="3"/>
  <c r="AB364" i="3"/>
  <c r="AB363" i="3"/>
  <c r="AB362" i="3"/>
  <c r="AB361" i="3"/>
  <c r="AB360" i="3"/>
  <c r="AB359" i="3"/>
  <c r="AB358" i="3"/>
  <c r="AB357" i="3"/>
  <c r="AB356" i="3"/>
  <c r="AB355" i="3"/>
  <c r="AB354" i="3"/>
  <c r="AB353" i="3"/>
  <c r="AB352" i="3"/>
  <c r="AB351" i="3"/>
  <c r="AB350" i="3"/>
  <c r="AB349" i="3"/>
  <c r="AB348" i="3"/>
  <c r="AB347" i="3"/>
  <c r="AB346" i="3"/>
  <c r="AB345" i="3"/>
  <c r="AB344" i="3"/>
  <c r="AB343" i="3"/>
  <c r="AB342" i="3"/>
  <c r="AB341" i="3"/>
  <c r="AB340" i="3"/>
  <c r="AB339" i="3"/>
  <c r="AB338" i="3"/>
  <c r="AB337" i="3"/>
  <c r="AB336" i="3"/>
  <c r="AB335" i="3"/>
  <c r="AB334" i="3"/>
  <c r="AB333" i="3"/>
  <c r="AB332" i="3"/>
  <c r="AB331" i="3"/>
  <c r="AB330" i="3"/>
  <c r="AB329" i="3"/>
  <c r="AB328" i="3"/>
  <c r="AB327" i="3"/>
  <c r="AB326" i="3"/>
  <c r="AB325" i="3"/>
  <c r="AB324" i="3"/>
  <c r="AB323" i="3"/>
  <c r="AB322" i="3"/>
  <c r="AB321" i="3"/>
  <c r="AB320" i="3"/>
  <c r="AB319" i="3"/>
  <c r="AB318" i="3"/>
  <c r="AB317" i="3"/>
  <c r="AB316" i="3"/>
  <c r="AB315" i="3"/>
  <c r="AB314" i="3"/>
  <c r="AB313" i="3"/>
  <c r="AB312" i="3"/>
  <c r="AB311" i="3"/>
  <c r="AB310" i="3"/>
  <c r="AB309" i="3"/>
  <c r="AB308" i="3"/>
  <c r="AB307" i="3"/>
  <c r="AB306" i="3"/>
  <c r="AB305" i="3"/>
  <c r="AB304" i="3"/>
  <c r="AB303" i="3"/>
  <c r="AB302" i="3"/>
  <c r="AB301" i="3"/>
  <c r="AB300" i="3"/>
  <c r="AB299" i="3"/>
  <c r="AB298" i="3"/>
  <c r="AB297" i="3"/>
  <c r="AB296" i="3"/>
  <c r="AB295" i="3"/>
  <c r="AB294" i="3"/>
  <c r="AB293" i="3"/>
  <c r="AB292" i="3"/>
  <c r="AB291" i="3"/>
  <c r="AB290" i="3"/>
  <c r="AB289" i="3"/>
  <c r="AB288" i="3"/>
  <c r="AB287" i="3"/>
  <c r="AB286" i="3"/>
  <c r="AB285" i="3"/>
  <c r="AB284" i="3"/>
  <c r="AB283" i="3"/>
  <c r="AB282" i="3"/>
  <c r="AB281" i="3"/>
  <c r="AB280" i="3"/>
  <c r="AB279" i="3"/>
  <c r="AB278" i="3"/>
  <c r="AB277" i="3"/>
  <c r="AB276" i="3"/>
  <c r="AB275" i="3"/>
  <c r="AB274" i="3"/>
  <c r="AB273" i="3"/>
  <c r="AB272" i="3"/>
  <c r="AB271" i="3"/>
  <c r="AB270" i="3"/>
  <c r="AB269" i="3"/>
  <c r="AB268" i="3"/>
  <c r="AB267" i="3"/>
  <c r="AB266" i="3"/>
  <c r="AB265" i="3"/>
  <c r="AB264" i="3"/>
  <c r="AB263" i="3"/>
  <c r="AB262" i="3"/>
  <c r="AB261" i="3"/>
  <c r="AB260" i="3"/>
  <c r="AB259" i="3"/>
  <c r="AB258" i="3"/>
  <c r="AB257" i="3"/>
  <c r="AB256" i="3"/>
  <c r="AB255" i="3"/>
  <c r="AB254" i="3"/>
  <c r="AB253" i="3"/>
  <c r="AB252" i="3"/>
  <c r="AB251" i="3"/>
  <c r="AB250" i="3"/>
  <c r="AB249" i="3"/>
  <c r="AB248" i="3"/>
  <c r="AB247" i="3"/>
  <c r="AB246" i="3"/>
  <c r="AB245" i="3"/>
  <c r="AB244" i="3"/>
  <c r="AB243" i="3"/>
  <c r="AB242" i="3"/>
  <c r="AB241" i="3"/>
  <c r="AB240" i="3"/>
  <c r="AB239" i="3"/>
  <c r="AB238" i="3"/>
  <c r="AB237" i="3"/>
  <c r="AB236" i="3"/>
  <c r="AB235" i="3"/>
  <c r="AB234" i="3"/>
  <c r="AB233" i="3"/>
  <c r="AB232" i="3"/>
  <c r="AB231" i="3"/>
  <c r="AB230" i="3"/>
  <c r="AB229" i="3"/>
  <c r="AB228" i="3"/>
  <c r="AB227" i="3"/>
  <c r="AB226" i="3"/>
  <c r="AB225" i="3"/>
  <c r="AB224" i="3"/>
  <c r="AB223" i="3"/>
  <c r="AB222" i="3"/>
  <c r="AB221" i="3"/>
  <c r="AB220" i="3"/>
  <c r="AB219" i="3"/>
  <c r="AB218" i="3"/>
  <c r="AB217" i="3"/>
  <c r="AB216" i="3"/>
  <c r="AB215" i="3"/>
  <c r="AB214" i="3"/>
  <c r="AB213" i="3"/>
  <c r="AB212" i="3"/>
  <c r="AB211" i="3"/>
  <c r="AB210" i="3"/>
  <c r="AB209" i="3"/>
  <c r="AB208" i="3"/>
  <c r="AB207" i="3"/>
  <c r="AB206" i="3"/>
  <c r="AB205" i="3"/>
  <c r="AB204" i="3"/>
  <c r="AB203" i="3"/>
  <c r="AB202" i="3"/>
  <c r="AB201" i="3"/>
  <c r="AB200" i="3"/>
  <c r="AB199" i="3"/>
  <c r="AB198" i="3"/>
  <c r="AB197" i="3"/>
  <c r="AB196" i="3"/>
  <c r="AB195" i="3"/>
  <c r="AB194" i="3"/>
  <c r="AB193" i="3"/>
  <c r="AB192" i="3"/>
  <c r="AB191" i="3"/>
  <c r="AB190" i="3"/>
  <c r="AB189" i="3"/>
  <c r="AB188" i="3"/>
  <c r="AB187" i="3"/>
  <c r="AB186" i="3"/>
  <c r="AB185" i="3"/>
  <c r="AB184" i="3"/>
  <c r="AB183" i="3"/>
  <c r="AB182" i="3"/>
  <c r="AB181" i="3"/>
  <c r="AB180" i="3"/>
  <c r="AB179" i="3"/>
  <c r="AB178" i="3"/>
  <c r="AB177" i="3"/>
  <c r="AB176" i="3"/>
  <c r="AB175" i="3"/>
  <c r="AB174" i="3"/>
  <c r="AB173" i="3"/>
  <c r="AB172" i="3"/>
  <c r="AB171" i="3"/>
  <c r="AB170" i="3"/>
  <c r="AB169" i="3"/>
  <c r="AB168" i="3"/>
  <c r="AB167" i="3"/>
  <c r="AB166" i="3"/>
  <c r="AB165" i="3"/>
  <c r="AB164" i="3"/>
  <c r="AB163" i="3"/>
  <c r="AB162" i="3"/>
  <c r="AB161" i="3"/>
  <c r="AB160" i="3"/>
  <c r="AB159" i="3"/>
  <c r="AB158" i="3"/>
  <c r="AB157" i="3"/>
  <c r="AB156" i="3"/>
  <c r="AB155" i="3"/>
  <c r="AB154" i="3"/>
  <c r="AB153" i="3"/>
  <c r="AB152" i="3"/>
  <c r="AB151" i="3"/>
  <c r="AB150" i="3"/>
  <c r="AB149" i="3"/>
  <c r="AB148" i="3"/>
  <c r="AB147" i="3"/>
  <c r="AB146" i="3"/>
  <c r="AB145" i="3"/>
  <c r="AB144" i="3"/>
  <c r="AB143" i="3"/>
  <c r="AB142" i="3"/>
  <c r="AB141" i="3"/>
  <c r="AB140" i="3"/>
  <c r="AB139" i="3"/>
  <c r="AB138" i="3"/>
  <c r="AB137" i="3"/>
  <c r="AB136" i="3"/>
  <c r="AB135" i="3"/>
  <c r="AB134" i="3"/>
  <c r="AB133" i="3"/>
  <c r="AB132" i="3"/>
  <c r="AB131" i="3"/>
  <c r="AB130" i="3"/>
  <c r="AB129" i="3"/>
  <c r="AB128" i="3"/>
  <c r="AB127" i="3"/>
  <c r="AB126" i="3"/>
  <c r="AB125" i="3"/>
  <c r="AB124" i="3"/>
  <c r="AB123" i="3"/>
  <c r="AB122" i="3"/>
  <c r="AB121" i="3"/>
  <c r="AB120" i="3"/>
  <c r="AB119" i="3"/>
  <c r="AB118" i="3"/>
  <c r="AB117" i="3"/>
  <c r="AB116" i="3"/>
  <c r="AB115" i="3"/>
  <c r="AB114" i="3"/>
  <c r="AB113" i="3"/>
  <c r="AB112" i="3"/>
  <c r="AB111" i="3"/>
  <c r="AB110" i="3"/>
  <c r="AB109" i="3"/>
  <c r="AB108" i="3"/>
  <c r="AB107" i="3"/>
  <c r="AB106" i="3"/>
  <c r="AB105" i="3"/>
  <c r="AB104" i="3"/>
  <c r="AB103" i="3"/>
  <c r="AB102" i="3"/>
  <c r="AB101" i="3"/>
  <c r="AB100" i="3"/>
  <c r="AB99" i="3"/>
  <c r="AB98" i="3"/>
  <c r="AB97" i="3"/>
  <c r="AB96" i="3"/>
  <c r="AB95" i="3"/>
  <c r="AB94" i="3"/>
  <c r="AB93" i="3"/>
  <c r="AB92" i="3"/>
  <c r="AB91" i="3"/>
  <c r="AB90" i="3"/>
  <c r="AB89" i="3"/>
  <c r="AB88" i="3"/>
  <c r="AB87" i="3"/>
  <c r="AB86" i="3"/>
  <c r="AB85" i="3"/>
  <c r="AB84" i="3"/>
  <c r="AB83" i="3"/>
  <c r="AB82" i="3"/>
  <c r="AB81" i="3"/>
  <c r="AB80" i="3"/>
  <c r="AB79" i="3"/>
  <c r="AB78" i="3"/>
  <c r="AB77" i="3"/>
  <c r="AB76" i="3"/>
  <c r="AB75" i="3"/>
  <c r="AB74" i="3"/>
  <c r="AB73" i="3"/>
  <c r="AB72" i="3"/>
  <c r="AB71" i="3"/>
  <c r="AB70" i="3"/>
  <c r="AB69" i="3"/>
  <c r="AB68" i="3"/>
  <c r="AB67" i="3"/>
  <c r="AB66" i="3"/>
  <c r="AB65" i="3"/>
  <c r="AB64" i="3"/>
  <c r="AB63" i="3"/>
  <c r="AB62" i="3"/>
  <c r="AB61" i="3"/>
  <c r="AB60" i="3"/>
  <c r="AB59" i="3"/>
  <c r="AB58" i="3"/>
  <c r="AB57" i="3"/>
  <c r="AB56" i="3"/>
  <c r="AB55" i="3"/>
  <c r="AB54" i="3"/>
  <c r="AB53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B13" i="3"/>
  <c r="AF13" i="3"/>
  <c r="K4" i="3"/>
  <c r="X7" i="3" l="1"/>
  <c r="U7" i="3"/>
  <c r="K8" i="3" a="1"/>
  <c r="K8" i="3" l="1"/>
  <c r="K10" i="3"/>
  <c r="K16" i="3"/>
  <c r="K23" i="3"/>
  <c r="K24" i="3"/>
  <c r="K11" i="3"/>
  <c r="K19" i="3"/>
  <c r="K15" i="3"/>
  <c r="K12" i="3"/>
  <c r="K9" i="3"/>
  <c r="K18" i="3"/>
  <c r="K14" i="3"/>
  <c r="K13" i="3"/>
  <c r="K22" i="3"/>
  <c r="K17" i="3"/>
  <c r="K20" i="3"/>
  <c r="K21" i="3"/>
  <c r="X4" i="3"/>
  <c r="U4" i="3"/>
  <c r="Q4" i="3"/>
  <c r="S4" i="3"/>
  <c r="S9" i="3"/>
  <c r="M8" i="3" l="1"/>
  <c r="L8" i="3"/>
  <c r="L21" i="3"/>
  <c r="M21" i="3"/>
  <c r="M24" i="3"/>
  <c r="L24" i="3"/>
  <c r="L20" i="3"/>
  <c r="M20" i="3"/>
  <c r="L23" i="3"/>
  <c r="M23" i="3"/>
  <c r="L17" i="3"/>
  <c r="M17" i="3"/>
  <c r="M16" i="3"/>
  <c r="L16" i="3"/>
  <c r="L22" i="3"/>
  <c r="M22" i="3"/>
  <c r="M10" i="3"/>
  <c r="L10" i="3"/>
  <c r="M13" i="3"/>
  <c r="L13" i="3"/>
  <c r="M14" i="3"/>
  <c r="L14" i="3"/>
  <c r="M18" i="3"/>
  <c r="L18" i="3"/>
  <c r="L9" i="3"/>
  <c r="M9" i="3"/>
  <c r="M12" i="3"/>
  <c r="L12" i="3"/>
  <c r="M15" i="3"/>
  <c r="L15" i="3"/>
  <c r="L19" i="3"/>
  <c r="M19" i="3"/>
  <c r="M11" i="3"/>
  <c r="L11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4" i="3"/>
  <c r="X9" i="3"/>
  <c r="F8" i="3" a="1"/>
  <c r="U9" i="3"/>
  <c r="Q13" i="3" a="1"/>
  <c r="F15" i="3" l="1"/>
  <c r="F10" i="3"/>
  <c r="H10" i="3" s="1"/>
  <c r="F20" i="3"/>
  <c r="F23" i="3"/>
  <c r="F8" i="3"/>
  <c r="F14" i="3"/>
  <c r="F17" i="3"/>
  <c r="F18" i="3"/>
  <c r="F13" i="3"/>
  <c r="F11" i="3"/>
  <c r="F19" i="3"/>
  <c r="F12" i="3"/>
  <c r="F22" i="3"/>
  <c r="F16" i="3"/>
  <c r="F9" i="3"/>
  <c r="F21" i="3"/>
  <c r="Q21" i="3"/>
  <c r="AC21" i="3" s="1"/>
  <c r="Q85" i="3"/>
  <c r="AC85" i="3" s="1"/>
  <c r="Q149" i="3"/>
  <c r="AC149" i="3" s="1"/>
  <c r="Q213" i="3"/>
  <c r="AC213" i="3" s="1"/>
  <c r="Q277" i="3"/>
  <c r="AC277" i="3" s="1"/>
  <c r="Q341" i="3"/>
  <c r="AC341" i="3" s="1"/>
  <c r="Q405" i="3"/>
  <c r="AC405" i="3" s="1"/>
  <c r="Q469" i="3"/>
  <c r="AC469" i="3" s="1"/>
  <c r="Q533" i="3"/>
  <c r="AC533" i="3" s="1"/>
  <c r="Q597" i="3"/>
  <c r="AC597" i="3" s="1"/>
  <c r="Q661" i="3"/>
  <c r="AC661" i="3" s="1"/>
  <c r="Q46" i="3"/>
  <c r="AC46" i="3" s="1"/>
  <c r="Q110" i="3"/>
  <c r="AC110" i="3" s="1"/>
  <c r="Q174" i="3"/>
  <c r="AC174" i="3" s="1"/>
  <c r="Q238" i="3"/>
  <c r="AC238" i="3" s="1"/>
  <c r="Q302" i="3"/>
  <c r="AC302" i="3" s="1"/>
  <c r="Q366" i="3"/>
  <c r="AC366" i="3" s="1"/>
  <c r="Q430" i="3"/>
  <c r="AC430" i="3" s="1"/>
  <c r="Q494" i="3"/>
  <c r="AC494" i="3" s="1"/>
  <c r="Q558" i="3"/>
  <c r="AC558" i="3" s="1"/>
  <c r="Q622" i="3"/>
  <c r="AC622" i="3" s="1"/>
  <c r="Q686" i="3"/>
  <c r="AC686" i="3" s="1"/>
  <c r="Q71" i="3"/>
  <c r="AC71" i="3" s="1"/>
  <c r="Q135" i="3"/>
  <c r="AC135" i="3" s="1"/>
  <c r="Q199" i="3"/>
  <c r="AC199" i="3" s="1"/>
  <c r="Q263" i="3"/>
  <c r="AC263" i="3" s="1"/>
  <c r="Q327" i="3"/>
  <c r="AC327" i="3" s="1"/>
  <c r="Q391" i="3"/>
  <c r="AC391" i="3" s="1"/>
  <c r="Q455" i="3"/>
  <c r="AC455" i="3" s="1"/>
  <c r="Q519" i="3"/>
  <c r="AC519" i="3" s="1"/>
  <c r="Q583" i="3"/>
  <c r="AC583" i="3" s="1"/>
  <c r="Q647" i="3"/>
  <c r="AC647" i="3" s="1"/>
  <c r="Q33" i="3"/>
  <c r="AC33" i="3" s="1"/>
  <c r="Q97" i="3"/>
  <c r="AC97" i="3" s="1"/>
  <c r="Q161" i="3"/>
  <c r="AC161" i="3" s="1"/>
  <c r="Q225" i="3"/>
  <c r="AC225" i="3" s="1"/>
  <c r="Q289" i="3"/>
  <c r="AC289" i="3" s="1"/>
  <c r="Q353" i="3"/>
  <c r="AC353" i="3" s="1"/>
  <c r="Q417" i="3"/>
  <c r="AC417" i="3" s="1"/>
  <c r="Q481" i="3"/>
  <c r="AC481" i="3" s="1"/>
  <c r="Q545" i="3"/>
  <c r="AC545" i="3" s="1"/>
  <c r="Q609" i="3"/>
  <c r="AC609" i="3" s="1"/>
  <c r="Q18" i="3"/>
  <c r="AC18" i="3" s="1"/>
  <c r="Q82" i="3"/>
  <c r="AC82" i="3" s="1"/>
  <c r="Q146" i="3"/>
  <c r="AC146" i="3" s="1"/>
  <c r="Q210" i="3"/>
  <c r="AC210" i="3" s="1"/>
  <c r="Q274" i="3"/>
  <c r="AC274" i="3" s="1"/>
  <c r="Q338" i="3"/>
  <c r="AC338" i="3" s="1"/>
  <c r="Q402" i="3"/>
  <c r="AC402" i="3" s="1"/>
  <c r="Q466" i="3"/>
  <c r="AC466" i="3" s="1"/>
  <c r="Q530" i="3"/>
  <c r="AC530" i="3" s="1"/>
  <c r="Q594" i="3"/>
  <c r="AC594" i="3" s="1"/>
  <c r="Q658" i="3"/>
  <c r="AC658" i="3" s="1"/>
  <c r="Q99" i="3"/>
  <c r="AC99" i="3" s="1"/>
  <c r="Q268" i="3"/>
  <c r="AC268" i="3" s="1"/>
  <c r="Q440" i="3"/>
  <c r="AC440" i="3" s="1"/>
  <c r="Q611" i="3"/>
  <c r="AC611" i="3" s="1"/>
  <c r="Q722" i="3"/>
  <c r="AC722" i="3" s="1"/>
  <c r="Q786" i="3"/>
  <c r="AC786" i="3" s="1"/>
  <c r="Q850" i="3"/>
  <c r="AC850" i="3" s="1"/>
  <c r="Q914" i="3"/>
  <c r="AC914" i="3" s="1"/>
  <c r="Q978" i="3"/>
  <c r="AC978" i="3" s="1"/>
  <c r="Q1042" i="3"/>
  <c r="AC1042" i="3" s="1"/>
  <c r="Q144" i="3"/>
  <c r="AC144" i="3" s="1"/>
  <c r="Q315" i="3"/>
  <c r="AC315" i="3" s="1"/>
  <c r="Q484" i="3"/>
  <c r="AC484" i="3" s="1"/>
  <c r="Q656" i="3"/>
  <c r="AC656" i="3" s="1"/>
  <c r="Q739" i="3"/>
  <c r="AC739" i="3" s="1"/>
  <c r="Q803" i="3"/>
  <c r="AC803" i="3" s="1"/>
  <c r="Q867" i="3"/>
  <c r="AC867" i="3" s="1"/>
  <c r="Q931" i="3"/>
  <c r="AC931" i="3" s="1"/>
  <c r="Q995" i="3"/>
  <c r="AC995" i="3" s="1"/>
  <c r="Q1059" i="3"/>
  <c r="AC1059" i="3" s="1"/>
  <c r="Q1123" i="3"/>
  <c r="AC1123" i="3" s="1"/>
  <c r="Q1187" i="3"/>
  <c r="AC1187" i="3" s="1"/>
  <c r="Q1012" i="3"/>
  <c r="AC1012" i="3" s="1"/>
  <c r="Q1108" i="3"/>
  <c r="AC1108" i="3" s="1"/>
  <c r="Q168" i="3"/>
  <c r="AC168" i="3" s="1"/>
  <c r="Q339" i="3"/>
  <c r="AC339" i="3" s="1"/>
  <c r="Q508" i="3"/>
  <c r="AC508" i="3" s="1"/>
  <c r="Q676" i="3"/>
  <c r="AC676" i="3" s="1"/>
  <c r="Q29" i="3"/>
  <c r="AC29" i="3" s="1"/>
  <c r="Q93" i="3"/>
  <c r="AC93" i="3" s="1"/>
  <c r="Q157" i="3"/>
  <c r="AC157" i="3" s="1"/>
  <c r="Q221" i="3"/>
  <c r="AC221" i="3" s="1"/>
  <c r="Q285" i="3"/>
  <c r="AC285" i="3" s="1"/>
  <c r="Q349" i="3"/>
  <c r="AC349" i="3" s="1"/>
  <c r="Q413" i="3"/>
  <c r="AC413" i="3" s="1"/>
  <c r="Q477" i="3"/>
  <c r="AC477" i="3" s="1"/>
  <c r="Q541" i="3"/>
  <c r="AC541" i="3" s="1"/>
  <c r="Q605" i="3"/>
  <c r="AC605" i="3" s="1"/>
  <c r="Q669" i="3"/>
  <c r="AC669" i="3" s="1"/>
  <c r="Q54" i="3"/>
  <c r="AC54" i="3" s="1"/>
  <c r="Q118" i="3"/>
  <c r="AC118" i="3" s="1"/>
  <c r="Q182" i="3"/>
  <c r="AC182" i="3" s="1"/>
  <c r="Q246" i="3"/>
  <c r="AC246" i="3" s="1"/>
  <c r="Q310" i="3"/>
  <c r="AC310" i="3" s="1"/>
  <c r="Q374" i="3"/>
  <c r="AC374" i="3" s="1"/>
  <c r="Q438" i="3"/>
  <c r="AC438" i="3" s="1"/>
  <c r="Q502" i="3"/>
  <c r="AC502" i="3" s="1"/>
  <c r="Q566" i="3"/>
  <c r="AC566" i="3" s="1"/>
  <c r="Q630" i="3"/>
  <c r="AC630" i="3" s="1"/>
  <c r="Q15" i="3"/>
  <c r="AC15" i="3" s="1"/>
  <c r="Q79" i="3"/>
  <c r="AC79" i="3" s="1"/>
  <c r="Q143" i="3"/>
  <c r="AC143" i="3" s="1"/>
  <c r="Q207" i="3"/>
  <c r="AC207" i="3" s="1"/>
  <c r="Q271" i="3"/>
  <c r="AC271" i="3" s="1"/>
  <c r="Q335" i="3"/>
  <c r="AC335" i="3" s="1"/>
  <c r="Q399" i="3"/>
  <c r="AC399" i="3" s="1"/>
  <c r="Q463" i="3"/>
  <c r="AC463" i="3" s="1"/>
  <c r="Q527" i="3"/>
  <c r="AC527" i="3" s="1"/>
  <c r="Q591" i="3"/>
  <c r="AC591" i="3" s="1"/>
  <c r="Q655" i="3"/>
  <c r="AC655" i="3" s="1"/>
  <c r="Q41" i="3"/>
  <c r="AC41" i="3" s="1"/>
  <c r="Q105" i="3"/>
  <c r="AC105" i="3" s="1"/>
  <c r="Q169" i="3"/>
  <c r="AC169" i="3" s="1"/>
  <c r="Q233" i="3"/>
  <c r="AC233" i="3" s="1"/>
  <c r="Q297" i="3"/>
  <c r="AC297" i="3" s="1"/>
  <c r="Q361" i="3"/>
  <c r="AC361" i="3" s="1"/>
  <c r="Q425" i="3"/>
  <c r="AC425" i="3" s="1"/>
  <c r="Q489" i="3"/>
  <c r="AC489" i="3" s="1"/>
  <c r="Q553" i="3"/>
  <c r="AC553" i="3" s="1"/>
  <c r="Q617" i="3"/>
  <c r="AC617" i="3" s="1"/>
  <c r="Q26" i="3"/>
  <c r="AC26" i="3" s="1"/>
  <c r="Q90" i="3"/>
  <c r="AC90" i="3" s="1"/>
  <c r="Q154" i="3"/>
  <c r="AC154" i="3" s="1"/>
  <c r="Q218" i="3"/>
  <c r="AC218" i="3" s="1"/>
  <c r="Q282" i="3"/>
  <c r="AC282" i="3" s="1"/>
  <c r="Q346" i="3"/>
  <c r="AC346" i="3" s="1"/>
  <c r="Q410" i="3"/>
  <c r="AC410" i="3" s="1"/>
  <c r="Q474" i="3"/>
  <c r="AC474" i="3" s="1"/>
  <c r="Q538" i="3"/>
  <c r="AC538" i="3" s="1"/>
  <c r="Q602" i="3"/>
  <c r="AC602" i="3" s="1"/>
  <c r="Q666" i="3"/>
  <c r="AC666" i="3" s="1"/>
  <c r="Q120" i="3"/>
  <c r="AC120" i="3" s="1"/>
  <c r="Q291" i="3"/>
  <c r="AC291" i="3" s="1"/>
  <c r="Q460" i="3"/>
  <c r="AC460" i="3" s="1"/>
  <c r="Q632" i="3"/>
  <c r="AC632" i="3" s="1"/>
  <c r="Q730" i="3"/>
  <c r="AC730" i="3" s="1"/>
  <c r="Q794" i="3"/>
  <c r="AC794" i="3" s="1"/>
  <c r="Q858" i="3"/>
  <c r="AC858" i="3" s="1"/>
  <c r="Q922" i="3"/>
  <c r="AC922" i="3" s="1"/>
  <c r="Q986" i="3"/>
  <c r="AC986" i="3" s="1"/>
  <c r="Q1050" i="3"/>
  <c r="AC1050" i="3" s="1"/>
  <c r="Q164" i="3"/>
  <c r="AC164" i="3" s="1"/>
  <c r="Q336" i="3"/>
  <c r="AC336" i="3" s="1"/>
  <c r="Q507" i="3"/>
  <c r="AC507" i="3" s="1"/>
  <c r="Q675" i="3"/>
  <c r="AC675" i="3" s="1"/>
  <c r="Q747" i="3"/>
  <c r="AC747" i="3" s="1"/>
  <c r="Q811" i="3"/>
  <c r="AC811" i="3" s="1"/>
  <c r="Q875" i="3"/>
  <c r="AC875" i="3" s="1"/>
  <c r="Q939" i="3"/>
  <c r="AC939" i="3" s="1"/>
  <c r="Q1003" i="3"/>
  <c r="AC1003" i="3" s="1"/>
  <c r="Q1067" i="3"/>
  <c r="AC1067" i="3" s="1"/>
  <c r="Q1131" i="3"/>
  <c r="AC1131" i="3" s="1"/>
  <c r="Q1195" i="3"/>
  <c r="AC1195" i="3" s="1"/>
  <c r="Q1028" i="3"/>
  <c r="AC1028" i="3" s="1"/>
  <c r="Q19" i="3"/>
  <c r="AC19" i="3" s="1"/>
  <c r="Q188" i="3"/>
  <c r="AC188" i="3" s="1"/>
  <c r="Q360" i="3"/>
  <c r="AC360" i="3" s="1"/>
  <c r="Q531" i="3"/>
  <c r="AC531" i="3" s="1"/>
  <c r="Q692" i="3"/>
  <c r="AC692" i="3" s="1"/>
  <c r="Q756" i="3"/>
  <c r="AC756" i="3" s="1"/>
  <c r="Q820" i="3"/>
  <c r="AC820" i="3" s="1"/>
  <c r="Q884" i="3"/>
  <c r="AC884" i="3" s="1"/>
  <c r="Q956" i="3"/>
  <c r="AC956" i="3" s="1"/>
  <c r="Q37" i="3"/>
  <c r="AC37" i="3" s="1"/>
  <c r="Q101" i="3"/>
  <c r="AC101" i="3" s="1"/>
  <c r="Q165" i="3"/>
  <c r="AC165" i="3" s="1"/>
  <c r="Q229" i="3"/>
  <c r="AC229" i="3" s="1"/>
  <c r="Q293" i="3"/>
  <c r="AC293" i="3" s="1"/>
  <c r="Q357" i="3"/>
  <c r="AC357" i="3" s="1"/>
  <c r="Q421" i="3"/>
  <c r="AC421" i="3" s="1"/>
  <c r="Q485" i="3"/>
  <c r="AC485" i="3" s="1"/>
  <c r="Q549" i="3"/>
  <c r="AC549" i="3" s="1"/>
  <c r="Q613" i="3"/>
  <c r="AC613" i="3" s="1"/>
  <c r="Q677" i="3"/>
  <c r="AC677" i="3" s="1"/>
  <c r="Q62" i="3"/>
  <c r="AC62" i="3" s="1"/>
  <c r="Q126" i="3"/>
  <c r="AC126" i="3" s="1"/>
  <c r="Q190" i="3"/>
  <c r="AC190" i="3" s="1"/>
  <c r="Q254" i="3"/>
  <c r="AC254" i="3" s="1"/>
  <c r="Q318" i="3"/>
  <c r="AC318" i="3" s="1"/>
  <c r="Q382" i="3"/>
  <c r="AC382" i="3" s="1"/>
  <c r="Q446" i="3"/>
  <c r="AC446" i="3" s="1"/>
  <c r="Q510" i="3"/>
  <c r="AC510" i="3" s="1"/>
  <c r="Q574" i="3"/>
  <c r="AC574" i="3" s="1"/>
  <c r="Q638" i="3"/>
  <c r="AC638" i="3" s="1"/>
  <c r="Q23" i="3"/>
  <c r="AC23" i="3" s="1"/>
  <c r="Q87" i="3"/>
  <c r="AC87" i="3" s="1"/>
  <c r="Q151" i="3"/>
  <c r="AC151" i="3" s="1"/>
  <c r="Q215" i="3"/>
  <c r="AC215" i="3" s="1"/>
  <c r="Q279" i="3"/>
  <c r="AC279" i="3" s="1"/>
  <c r="Q343" i="3"/>
  <c r="AC343" i="3" s="1"/>
  <c r="Q407" i="3"/>
  <c r="AC407" i="3" s="1"/>
  <c r="Q471" i="3"/>
  <c r="AC471" i="3" s="1"/>
  <c r="Q535" i="3"/>
  <c r="AC535" i="3" s="1"/>
  <c r="Q599" i="3"/>
  <c r="AC599" i="3" s="1"/>
  <c r="Q663" i="3"/>
  <c r="AC663" i="3" s="1"/>
  <c r="Q49" i="3"/>
  <c r="AC49" i="3" s="1"/>
  <c r="Q113" i="3"/>
  <c r="AC113" i="3" s="1"/>
  <c r="Q177" i="3"/>
  <c r="AC177" i="3" s="1"/>
  <c r="Q241" i="3"/>
  <c r="AC241" i="3" s="1"/>
  <c r="Q305" i="3"/>
  <c r="AC305" i="3" s="1"/>
  <c r="Q369" i="3"/>
  <c r="AC369" i="3" s="1"/>
  <c r="Q433" i="3"/>
  <c r="AC433" i="3" s="1"/>
  <c r="Q497" i="3"/>
  <c r="AC497" i="3" s="1"/>
  <c r="Q561" i="3"/>
  <c r="AC561" i="3" s="1"/>
  <c r="Q625" i="3"/>
  <c r="AC625" i="3" s="1"/>
  <c r="Q34" i="3"/>
  <c r="AC34" i="3" s="1"/>
  <c r="Q98" i="3"/>
  <c r="AC98" i="3" s="1"/>
  <c r="Q162" i="3"/>
  <c r="AC162" i="3" s="1"/>
  <c r="Q226" i="3"/>
  <c r="AC226" i="3" s="1"/>
  <c r="Q290" i="3"/>
  <c r="AC290" i="3" s="1"/>
  <c r="Q354" i="3"/>
  <c r="AC354" i="3" s="1"/>
  <c r="Q418" i="3"/>
  <c r="AC418" i="3" s="1"/>
  <c r="Q482" i="3"/>
  <c r="AC482" i="3" s="1"/>
  <c r="Q546" i="3"/>
  <c r="AC546" i="3" s="1"/>
  <c r="Q610" i="3"/>
  <c r="AC610" i="3" s="1"/>
  <c r="Q674" i="3"/>
  <c r="AC674" i="3" s="1"/>
  <c r="Q140" i="3"/>
  <c r="AC140" i="3" s="1"/>
  <c r="Q312" i="3"/>
  <c r="AC312" i="3" s="1"/>
  <c r="Q483" i="3"/>
  <c r="AC483" i="3" s="1"/>
  <c r="Q652" i="3"/>
  <c r="AC652" i="3" s="1"/>
  <c r="Q738" i="3"/>
  <c r="AC738" i="3" s="1"/>
  <c r="Q802" i="3"/>
  <c r="AC802" i="3" s="1"/>
  <c r="Q866" i="3"/>
  <c r="AC866" i="3" s="1"/>
  <c r="Q930" i="3"/>
  <c r="AC930" i="3" s="1"/>
  <c r="Q994" i="3"/>
  <c r="AC994" i="3" s="1"/>
  <c r="Q16" i="3"/>
  <c r="AC16" i="3" s="1"/>
  <c r="Q187" i="3"/>
  <c r="AC187" i="3" s="1"/>
  <c r="Q356" i="3"/>
  <c r="AC356" i="3" s="1"/>
  <c r="Q528" i="3"/>
  <c r="AC528" i="3" s="1"/>
  <c r="Q691" i="3"/>
  <c r="AC691" i="3" s="1"/>
  <c r="Q755" i="3"/>
  <c r="AC755" i="3" s="1"/>
  <c r="Q819" i="3"/>
  <c r="AC819" i="3" s="1"/>
  <c r="Q883" i="3"/>
  <c r="AC883" i="3" s="1"/>
  <c r="Q947" i="3"/>
  <c r="AC947" i="3" s="1"/>
  <c r="Q1011" i="3"/>
  <c r="AC1011" i="3" s="1"/>
  <c r="Q1075" i="3"/>
  <c r="AC1075" i="3" s="1"/>
  <c r="Q1139" i="3"/>
  <c r="AC1139" i="3" s="1"/>
  <c r="Q1203" i="3"/>
  <c r="AC1203" i="3" s="1"/>
  <c r="Q1036" i="3"/>
  <c r="AC1036" i="3" s="1"/>
  <c r="Q40" i="3"/>
  <c r="AC40" i="3" s="1"/>
  <c r="Q211" i="3"/>
  <c r="AC211" i="3" s="1"/>
  <c r="Q380" i="3"/>
  <c r="AC380" i="3" s="1"/>
  <c r="Q552" i="3"/>
  <c r="AC552" i="3" s="1"/>
  <c r="Q700" i="3"/>
  <c r="AC700" i="3" s="1"/>
  <c r="Q764" i="3"/>
  <c r="AC764" i="3" s="1"/>
  <c r="Q828" i="3"/>
  <c r="AC828" i="3" s="1"/>
  <c r="Q45" i="3"/>
  <c r="AC45" i="3" s="1"/>
  <c r="Q109" i="3"/>
  <c r="AC109" i="3" s="1"/>
  <c r="Q173" i="3"/>
  <c r="AC173" i="3" s="1"/>
  <c r="Q237" i="3"/>
  <c r="AC237" i="3" s="1"/>
  <c r="Q301" i="3"/>
  <c r="AC301" i="3" s="1"/>
  <c r="Q365" i="3"/>
  <c r="AC365" i="3" s="1"/>
  <c r="Q429" i="3"/>
  <c r="AC429" i="3" s="1"/>
  <c r="Q493" i="3"/>
  <c r="AC493" i="3" s="1"/>
  <c r="Q557" i="3"/>
  <c r="AC557" i="3" s="1"/>
  <c r="Q621" i="3"/>
  <c r="AC621" i="3" s="1"/>
  <c r="Q685" i="3"/>
  <c r="AC685" i="3" s="1"/>
  <c r="Q70" i="3"/>
  <c r="AC70" i="3" s="1"/>
  <c r="Q134" i="3"/>
  <c r="AC134" i="3" s="1"/>
  <c r="Q198" i="3"/>
  <c r="AC198" i="3" s="1"/>
  <c r="Q262" i="3"/>
  <c r="AC262" i="3" s="1"/>
  <c r="Q326" i="3"/>
  <c r="AC326" i="3" s="1"/>
  <c r="Q390" i="3"/>
  <c r="AC390" i="3" s="1"/>
  <c r="Q454" i="3"/>
  <c r="AC454" i="3" s="1"/>
  <c r="Q518" i="3"/>
  <c r="AC518" i="3" s="1"/>
  <c r="Q582" i="3"/>
  <c r="AC582" i="3" s="1"/>
  <c r="Q646" i="3"/>
  <c r="AC646" i="3" s="1"/>
  <c r="Q31" i="3"/>
  <c r="AC31" i="3" s="1"/>
  <c r="Q95" i="3"/>
  <c r="AC95" i="3" s="1"/>
  <c r="Q159" i="3"/>
  <c r="AC159" i="3" s="1"/>
  <c r="Q223" i="3"/>
  <c r="AC223" i="3" s="1"/>
  <c r="Q287" i="3"/>
  <c r="AC287" i="3" s="1"/>
  <c r="Q351" i="3"/>
  <c r="AC351" i="3" s="1"/>
  <c r="Q415" i="3"/>
  <c r="AC415" i="3" s="1"/>
  <c r="Q479" i="3"/>
  <c r="AC479" i="3" s="1"/>
  <c r="Q543" i="3"/>
  <c r="AC543" i="3" s="1"/>
  <c r="Q607" i="3"/>
  <c r="AC607" i="3" s="1"/>
  <c r="Q671" i="3"/>
  <c r="AC671" i="3" s="1"/>
  <c r="Q57" i="3"/>
  <c r="AC57" i="3" s="1"/>
  <c r="Q121" i="3"/>
  <c r="AC121" i="3" s="1"/>
  <c r="Q185" i="3"/>
  <c r="AC185" i="3" s="1"/>
  <c r="Q249" i="3"/>
  <c r="AC249" i="3" s="1"/>
  <c r="Q313" i="3"/>
  <c r="AC313" i="3" s="1"/>
  <c r="Q377" i="3"/>
  <c r="AC377" i="3" s="1"/>
  <c r="Q441" i="3"/>
  <c r="AC441" i="3" s="1"/>
  <c r="Q505" i="3"/>
  <c r="AC505" i="3" s="1"/>
  <c r="Q569" i="3"/>
  <c r="AC569" i="3" s="1"/>
  <c r="Q633" i="3"/>
  <c r="AC633" i="3" s="1"/>
  <c r="Q42" i="3"/>
  <c r="AC42" i="3" s="1"/>
  <c r="Q106" i="3"/>
  <c r="AC106" i="3" s="1"/>
  <c r="Q170" i="3"/>
  <c r="AC170" i="3" s="1"/>
  <c r="Q234" i="3"/>
  <c r="AC234" i="3" s="1"/>
  <c r="Q298" i="3"/>
  <c r="AC298" i="3" s="1"/>
  <c r="Q362" i="3"/>
  <c r="AC362" i="3" s="1"/>
  <c r="Q426" i="3"/>
  <c r="AC426" i="3" s="1"/>
  <c r="Q490" i="3"/>
  <c r="AC490" i="3" s="1"/>
  <c r="Q554" i="3"/>
  <c r="AC554" i="3" s="1"/>
  <c r="Q618" i="3"/>
  <c r="AC618" i="3" s="1"/>
  <c r="Q682" i="3"/>
  <c r="AC682" i="3" s="1"/>
  <c r="Q163" i="3"/>
  <c r="AC163" i="3" s="1"/>
  <c r="Q332" i="3"/>
  <c r="AC332" i="3" s="1"/>
  <c r="Q504" i="3"/>
  <c r="AC504" i="3" s="1"/>
  <c r="Q673" i="3"/>
  <c r="AC673" i="3" s="1"/>
  <c r="Q746" i="3"/>
  <c r="AC746" i="3" s="1"/>
  <c r="Q810" i="3"/>
  <c r="AC810" i="3" s="1"/>
  <c r="Q874" i="3"/>
  <c r="AC874" i="3" s="1"/>
  <c r="Q938" i="3"/>
  <c r="AC938" i="3" s="1"/>
  <c r="Q1002" i="3"/>
  <c r="AC1002" i="3" s="1"/>
  <c r="Q36" i="3"/>
  <c r="AC36" i="3" s="1"/>
  <c r="Q208" i="3"/>
  <c r="AC208" i="3" s="1"/>
  <c r="Q379" i="3"/>
  <c r="AC379" i="3" s="1"/>
  <c r="Q548" i="3"/>
  <c r="AC548" i="3" s="1"/>
  <c r="Q699" i="3"/>
  <c r="AC699" i="3" s="1"/>
  <c r="Q763" i="3"/>
  <c r="AC763" i="3" s="1"/>
  <c r="Q827" i="3"/>
  <c r="AC827" i="3" s="1"/>
  <c r="Q891" i="3"/>
  <c r="AC891" i="3" s="1"/>
  <c r="Q955" i="3"/>
  <c r="AC955" i="3" s="1"/>
  <c r="Q1019" i="3"/>
  <c r="AC1019" i="3" s="1"/>
  <c r="Q1083" i="3"/>
  <c r="AC1083" i="3" s="1"/>
  <c r="Q1147" i="3"/>
  <c r="AC1147" i="3" s="1"/>
  <c r="Q1211" i="3"/>
  <c r="AC1211" i="3" s="1"/>
  <c r="Q1052" i="3"/>
  <c r="AC1052" i="3" s="1"/>
  <c r="Q60" i="3"/>
  <c r="AC60" i="3" s="1"/>
  <c r="Q232" i="3"/>
  <c r="AC232" i="3" s="1"/>
  <c r="Q403" i="3"/>
  <c r="AC403" i="3" s="1"/>
  <c r="Q572" i="3"/>
  <c r="AC572" i="3" s="1"/>
  <c r="Q708" i="3"/>
  <c r="AC708" i="3" s="1"/>
  <c r="Q772" i="3"/>
  <c r="AC772" i="3" s="1"/>
  <c r="Q836" i="3"/>
  <c r="AC836" i="3" s="1"/>
  <c r="Q900" i="3"/>
  <c r="AC900" i="3" s="1"/>
  <c r="Q980" i="3"/>
  <c r="AC980" i="3" s="1"/>
  <c r="Q53" i="3"/>
  <c r="AC53" i="3" s="1"/>
  <c r="Q117" i="3"/>
  <c r="AC117" i="3" s="1"/>
  <c r="Q181" i="3"/>
  <c r="AC181" i="3" s="1"/>
  <c r="Q245" i="3"/>
  <c r="AC245" i="3" s="1"/>
  <c r="Q309" i="3"/>
  <c r="AC309" i="3" s="1"/>
  <c r="Q373" i="3"/>
  <c r="AC373" i="3" s="1"/>
  <c r="Q437" i="3"/>
  <c r="AC437" i="3" s="1"/>
  <c r="Q501" i="3"/>
  <c r="AC501" i="3" s="1"/>
  <c r="Q565" i="3"/>
  <c r="AC565" i="3" s="1"/>
  <c r="Q629" i="3"/>
  <c r="AC629" i="3" s="1"/>
  <c r="Q14" i="3"/>
  <c r="Q78" i="3"/>
  <c r="AC78" i="3" s="1"/>
  <c r="Q142" i="3"/>
  <c r="AC142" i="3" s="1"/>
  <c r="Q206" i="3"/>
  <c r="AC206" i="3" s="1"/>
  <c r="Q270" i="3"/>
  <c r="AC270" i="3" s="1"/>
  <c r="Q334" i="3"/>
  <c r="AC334" i="3" s="1"/>
  <c r="Q398" i="3"/>
  <c r="AC398" i="3" s="1"/>
  <c r="Q462" i="3"/>
  <c r="AC462" i="3" s="1"/>
  <c r="Q526" i="3"/>
  <c r="AC526" i="3" s="1"/>
  <c r="Q590" i="3"/>
  <c r="AC590" i="3" s="1"/>
  <c r="Q654" i="3"/>
  <c r="AC654" i="3" s="1"/>
  <c r="Q39" i="3"/>
  <c r="AC39" i="3" s="1"/>
  <c r="Q103" i="3"/>
  <c r="AC103" i="3" s="1"/>
  <c r="Q167" i="3"/>
  <c r="AC167" i="3" s="1"/>
  <c r="Q231" i="3"/>
  <c r="AC231" i="3" s="1"/>
  <c r="Q295" i="3"/>
  <c r="AC295" i="3" s="1"/>
  <c r="Q359" i="3"/>
  <c r="AC359" i="3" s="1"/>
  <c r="Q423" i="3"/>
  <c r="AC423" i="3" s="1"/>
  <c r="Q487" i="3"/>
  <c r="AC487" i="3" s="1"/>
  <c r="Q551" i="3"/>
  <c r="AC551" i="3" s="1"/>
  <c r="Q615" i="3"/>
  <c r="AC615" i="3" s="1"/>
  <c r="Q679" i="3"/>
  <c r="AC679" i="3" s="1"/>
  <c r="Q65" i="3"/>
  <c r="AC65" i="3" s="1"/>
  <c r="Q129" i="3"/>
  <c r="AC129" i="3" s="1"/>
  <c r="Q193" i="3"/>
  <c r="AC193" i="3" s="1"/>
  <c r="Q257" i="3"/>
  <c r="AC257" i="3" s="1"/>
  <c r="Q321" i="3"/>
  <c r="AC321" i="3" s="1"/>
  <c r="Q385" i="3"/>
  <c r="AC385" i="3" s="1"/>
  <c r="Q449" i="3"/>
  <c r="AC449" i="3" s="1"/>
  <c r="Q513" i="3"/>
  <c r="AC513" i="3" s="1"/>
  <c r="Q577" i="3"/>
  <c r="AC577" i="3" s="1"/>
  <c r="Q641" i="3"/>
  <c r="AC641" i="3" s="1"/>
  <c r="Q50" i="3"/>
  <c r="AC50" i="3" s="1"/>
  <c r="Q114" i="3"/>
  <c r="AC114" i="3" s="1"/>
  <c r="Q178" i="3"/>
  <c r="AC178" i="3" s="1"/>
  <c r="Q242" i="3"/>
  <c r="AC242" i="3" s="1"/>
  <c r="Q306" i="3"/>
  <c r="AC306" i="3" s="1"/>
  <c r="Q370" i="3"/>
  <c r="AC370" i="3" s="1"/>
  <c r="Q434" i="3"/>
  <c r="AC434" i="3" s="1"/>
  <c r="Q498" i="3"/>
  <c r="AC498" i="3" s="1"/>
  <c r="Q562" i="3"/>
  <c r="AC562" i="3" s="1"/>
  <c r="Q626" i="3"/>
  <c r="AC626" i="3" s="1"/>
  <c r="Q690" i="3"/>
  <c r="AC690" i="3" s="1"/>
  <c r="Q184" i="3"/>
  <c r="AC184" i="3" s="1"/>
  <c r="Q355" i="3"/>
  <c r="AC355" i="3" s="1"/>
  <c r="Q524" i="3"/>
  <c r="AC524" i="3" s="1"/>
  <c r="Q689" i="3"/>
  <c r="AC689" i="3" s="1"/>
  <c r="Q754" i="3"/>
  <c r="AC754" i="3" s="1"/>
  <c r="Q818" i="3"/>
  <c r="AC818" i="3" s="1"/>
  <c r="Q882" i="3"/>
  <c r="AC882" i="3" s="1"/>
  <c r="Q946" i="3"/>
  <c r="AC946" i="3" s="1"/>
  <c r="Q1010" i="3"/>
  <c r="AC1010" i="3" s="1"/>
  <c r="Q59" i="3"/>
  <c r="AC59" i="3" s="1"/>
  <c r="Q228" i="3"/>
  <c r="AC228" i="3" s="1"/>
  <c r="Q400" i="3"/>
  <c r="AC400" i="3" s="1"/>
  <c r="Q571" i="3"/>
  <c r="AC571" i="3" s="1"/>
  <c r="Q707" i="3"/>
  <c r="AC707" i="3" s="1"/>
  <c r="Q771" i="3"/>
  <c r="AC771" i="3" s="1"/>
  <c r="Q835" i="3"/>
  <c r="AC835" i="3" s="1"/>
  <c r="Q899" i="3"/>
  <c r="AC899" i="3" s="1"/>
  <c r="Q963" i="3"/>
  <c r="AC963" i="3" s="1"/>
  <c r="Q1027" i="3"/>
  <c r="AC1027" i="3" s="1"/>
  <c r="Q1091" i="3"/>
  <c r="AC1091" i="3" s="1"/>
  <c r="Q1155" i="3"/>
  <c r="AC1155" i="3" s="1"/>
  <c r="Q916" i="3"/>
  <c r="AC916" i="3" s="1"/>
  <c r="Q1060" i="3"/>
  <c r="AC1060" i="3" s="1"/>
  <c r="Q83" i="3"/>
  <c r="AC83" i="3" s="1"/>
  <c r="Q252" i="3"/>
  <c r="AC252" i="3" s="1"/>
  <c r="Q424" i="3"/>
  <c r="AC424" i="3" s="1"/>
  <c r="Q595" i="3"/>
  <c r="AC595" i="3" s="1"/>
  <c r="Q716" i="3"/>
  <c r="AC716" i="3" s="1"/>
  <c r="Q780" i="3"/>
  <c r="AC780" i="3" s="1"/>
  <c r="Q844" i="3"/>
  <c r="AC844" i="3" s="1"/>
  <c r="Q908" i="3"/>
  <c r="AC908" i="3" s="1"/>
  <c r="Q996" i="3"/>
  <c r="AC996" i="3" s="1"/>
  <c r="Q61" i="3"/>
  <c r="AC61" i="3" s="1"/>
  <c r="Q125" i="3"/>
  <c r="AC125" i="3" s="1"/>
  <c r="Q189" i="3"/>
  <c r="AC189" i="3" s="1"/>
  <c r="Q253" i="3"/>
  <c r="AC253" i="3" s="1"/>
  <c r="Q317" i="3"/>
  <c r="AC317" i="3" s="1"/>
  <c r="Q381" i="3"/>
  <c r="AC381" i="3" s="1"/>
  <c r="Q445" i="3"/>
  <c r="AC445" i="3" s="1"/>
  <c r="Q509" i="3"/>
  <c r="AC509" i="3" s="1"/>
  <c r="Q573" i="3"/>
  <c r="AC573" i="3" s="1"/>
  <c r="Q637" i="3"/>
  <c r="AC637" i="3" s="1"/>
  <c r="Q22" i="3"/>
  <c r="AC22" i="3" s="1"/>
  <c r="Q86" i="3"/>
  <c r="AC86" i="3" s="1"/>
  <c r="Q150" i="3"/>
  <c r="AC150" i="3" s="1"/>
  <c r="Q214" i="3"/>
  <c r="AC214" i="3" s="1"/>
  <c r="Q278" i="3"/>
  <c r="AC278" i="3" s="1"/>
  <c r="Q342" i="3"/>
  <c r="AC342" i="3" s="1"/>
  <c r="Q406" i="3"/>
  <c r="AC406" i="3" s="1"/>
  <c r="Q470" i="3"/>
  <c r="AC470" i="3" s="1"/>
  <c r="Q534" i="3"/>
  <c r="AC534" i="3" s="1"/>
  <c r="Q598" i="3"/>
  <c r="AC598" i="3" s="1"/>
  <c r="Q662" i="3"/>
  <c r="AC662" i="3" s="1"/>
  <c r="Q47" i="3"/>
  <c r="AC47" i="3" s="1"/>
  <c r="Q111" i="3"/>
  <c r="AC111" i="3" s="1"/>
  <c r="Q175" i="3"/>
  <c r="AC175" i="3" s="1"/>
  <c r="Q239" i="3"/>
  <c r="AC239" i="3" s="1"/>
  <c r="Q303" i="3"/>
  <c r="AC303" i="3" s="1"/>
  <c r="Q367" i="3"/>
  <c r="AC367" i="3" s="1"/>
  <c r="Q431" i="3"/>
  <c r="AC431" i="3" s="1"/>
  <c r="Q495" i="3"/>
  <c r="AC495" i="3" s="1"/>
  <c r="Q559" i="3"/>
  <c r="AC559" i="3" s="1"/>
  <c r="Q623" i="3"/>
  <c r="AC623" i="3" s="1"/>
  <c r="Q687" i="3"/>
  <c r="AC687" i="3" s="1"/>
  <c r="Q73" i="3"/>
  <c r="AC73" i="3" s="1"/>
  <c r="Q137" i="3"/>
  <c r="AC137" i="3" s="1"/>
  <c r="Q201" i="3"/>
  <c r="AC201" i="3" s="1"/>
  <c r="Q265" i="3"/>
  <c r="AC265" i="3" s="1"/>
  <c r="Q329" i="3"/>
  <c r="AC329" i="3" s="1"/>
  <c r="Q393" i="3"/>
  <c r="AC393" i="3" s="1"/>
  <c r="Q457" i="3"/>
  <c r="AC457" i="3" s="1"/>
  <c r="Q521" i="3"/>
  <c r="AC521" i="3" s="1"/>
  <c r="Q585" i="3"/>
  <c r="AC585" i="3" s="1"/>
  <c r="Q649" i="3"/>
  <c r="AC649" i="3" s="1"/>
  <c r="Q58" i="3"/>
  <c r="AC58" i="3" s="1"/>
  <c r="Q122" i="3"/>
  <c r="AC122" i="3" s="1"/>
  <c r="Q186" i="3"/>
  <c r="AC186" i="3" s="1"/>
  <c r="Q250" i="3"/>
  <c r="AC250" i="3" s="1"/>
  <c r="Q314" i="3"/>
  <c r="AC314" i="3" s="1"/>
  <c r="Q378" i="3"/>
  <c r="AC378" i="3" s="1"/>
  <c r="Q442" i="3"/>
  <c r="AC442" i="3" s="1"/>
  <c r="Q506" i="3"/>
  <c r="AC506" i="3" s="1"/>
  <c r="Q570" i="3"/>
  <c r="AC570" i="3" s="1"/>
  <c r="Q634" i="3"/>
  <c r="AC634" i="3" s="1"/>
  <c r="Q35" i="3"/>
  <c r="AC35" i="3" s="1"/>
  <c r="Q204" i="3"/>
  <c r="AC204" i="3" s="1"/>
  <c r="Q376" i="3"/>
  <c r="AC376" i="3" s="1"/>
  <c r="Q547" i="3"/>
  <c r="AC547" i="3" s="1"/>
  <c r="Q698" i="3"/>
  <c r="AC698" i="3" s="1"/>
  <c r="Q762" i="3"/>
  <c r="AC762" i="3" s="1"/>
  <c r="Q826" i="3"/>
  <c r="AC826" i="3" s="1"/>
  <c r="Q890" i="3"/>
  <c r="AC890" i="3" s="1"/>
  <c r="Q954" i="3"/>
  <c r="AC954" i="3" s="1"/>
  <c r="Q1018" i="3"/>
  <c r="AC1018" i="3" s="1"/>
  <c r="Q80" i="3"/>
  <c r="AC80" i="3" s="1"/>
  <c r="Q251" i="3"/>
  <c r="AC251" i="3" s="1"/>
  <c r="Q420" i="3"/>
  <c r="AC420" i="3" s="1"/>
  <c r="Q592" i="3"/>
  <c r="AC592" i="3" s="1"/>
  <c r="Q715" i="3"/>
  <c r="AC715" i="3" s="1"/>
  <c r="Q779" i="3"/>
  <c r="AC779" i="3" s="1"/>
  <c r="Q843" i="3"/>
  <c r="AC843" i="3" s="1"/>
  <c r="Q907" i="3"/>
  <c r="AC907" i="3" s="1"/>
  <c r="Q971" i="3"/>
  <c r="AC971" i="3" s="1"/>
  <c r="Q1035" i="3"/>
  <c r="AC1035" i="3" s="1"/>
  <c r="Q1099" i="3"/>
  <c r="AC1099" i="3" s="1"/>
  <c r="Q1163" i="3"/>
  <c r="AC1163" i="3" s="1"/>
  <c r="Q972" i="3"/>
  <c r="AC972" i="3" s="1"/>
  <c r="Q1076" i="3"/>
  <c r="AC1076" i="3" s="1"/>
  <c r="Q104" i="3"/>
  <c r="AC104" i="3" s="1"/>
  <c r="Q275" i="3"/>
  <c r="AC275" i="3" s="1"/>
  <c r="Q444" i="3"/>
  <c r="AC444" i="3" s="1"/>
  <c r="Q616" i="3"/>
  <c r="AC616" i="3" s="1"/>
  <c r="Q724" i="3"/>
  <c r="AC724" i="3" s="1"/>
  <c r="Q788" i="3"/>
  <c r="AC788" i="3" s="1"/>
  <c r="Q852" i="3"/>
  <c r="AC852" i="3" s="1"/>
  <c r="Q69" i="3"/>
  <c r="AC69" i="3" s="1"/>
  <c r="Q133" i="3"/>
  <c r="AC133" i="3" s="1"/>
  <c r="Q197" i="3"/>
  <c r="AC197" i="3" s="1"/>
  <c r="Q261" i="3"/>
  <c r="AC261" i="3" s="1"/>
  <c r="Q325" i="3"/>
  <c r="AC325" i="3" s="1"/>
  <c r="Q389" i="3"/>
  <c r="AC389" i="3" s="1"/>
  <c r="Q453" i="3"/>
  <c r="AC453" i="3" s="1"/>
  <c r="Q517" i="3"/>
  <c r="AC517" i="3" s="1"/>
  <c r="Q581" i="3"/>
  <c r="AC581" i="3" s="1"/>
  <c r="Q645" i="3"/>
  <c r="AC645" i="3" s="1"/>
  <c r="Q30" i="3"/>
  <c r="AC30" i="3" s="1"/>
  <c r="Q94" i="3"/>
  <c r="AC94" i="3" s="1"/>
  <c r="Q158" i="3"/>
  <c r="AC158" i="3" s="1"/>
  <c r="Q222" i="3"/>
  <c r="AC222" i="3" s="1"/>
  <c r="Q286" i="3"/>
  <c r="AC286" i="3" s="1"/>
  <c r="Q350" i="3"/>
  <c r="AC350" i="3" s="1"/>
  <c r="Q414" i="3"/>
  <c r="AC414" i="3" s="1"/>
  <c r="Q478" i="3"/>
  <c r="AC478" i="3" s="1"/>
  <c r="Q542" i="3"/>
  <c r="AC542" i="3" s="1"/>
  <c r="Q606" i="3"/>
  <c r="AC606" i="3" s="1"/>
  <c r="Q670" i="3"/>
  <c r="AC670" i="3" s="1"/>
  <c r="Q55" i="3"/>
  <c r="AC55" i="3" s="1"/>
  <c r="Q119" i="3"/>
  <c r="AC119" i="3" s="1"/>
  <c r="Q183" i="3"/>
  <c r="AC183" i="3" s="1"/>
  <c r="Q247" i="3"/>
  <c r="AC247" i="3" s="1"/>
  <c r="Q311" i="3"/>
  <c r="AC311" i="3" s="1"/>
  <c r="Q375" i="3"/>
  <c r="AC375" i="3" s="1"/>
  <c r="Q439" i="3"/>
  <c r="AC439" i="3" s="1"/>
  <c r="Q503" i="3"/>
  <c r="AC503" i="3" s="1"/>
  <c r="Q567" i="3"/>
  <c r="AC567" i="3" s="1"/>
  <c r="Q631" i="3"/>
  <c r="AC631" i="3" s="1"/>
  <c r="Q17" i="3"/>
  <c r="AC17" i="3" s="1"/>
  <c r="Q81" i="3"/>
  <c r="AC81" i="3" s="1"/>
  <c r="Q145" i="3"/>
  <c r="AC145" i="3" s="1"/>
  <c r="Q209" i="3"/>
  <c r="AC209" i="3" s="1"/>
  <c r="Q273" i="3"/>
  <c r="AC273" i="3" s="1"/>
  <c r="Q337" i="3"/>
  <c r="AC337" i="3" s="1"/>
  <c r="Q401" i="3"/>
  <c r="AC401" i="3" s="1"/>
  <c r="Q465" i="3"/>
  <c r="AC465" i="3" s="1"/>
  <c r="Q529" i="3"/>
  <c r="AC529" i="3" s="1"/>
  <c r="Q593" i="3"/>
  <c r="AC593" i="3" s="1"/>
  <c r="Q657" i="3"/>
  <c r="AC657" i="3" s="1"/>
  <c r="Q66" i="3"/>
  <c r="AC66" i="3" s="1"/>
  <c r="Q130" i="3"/>
  <c r="AC130" i="3" s="1"/>
  <c r="Q194" i="3"/>
  <c r="AC194" i="3" s="1"/>
  <c r="Q258" i="3"/>
  <c r="AC258" i="3" s="1"/>
  <c r="Q322" i="3"/>
  <c r="AC322" i="3" s="1"/>
  <c r="Q386" i="3"/>
  <c r="AC386" i="3" s="1"/>
  <c r="Q450" i="3"/>
  <c r="AC450" i="3" s="1"/>
  <c r="Q514" i="3"/>
  <c r="AC514" i="3" s="1"/>
  <c r="Q578" i="3"/>
  <c r="AC578" i="3" s="1"/>
  <c r="Q642" i="3"/>
  <c r="AC642" i="3" s="1"/>
  <c r="Q56" i="3"/>
  <c r="AC56" i="3" s="1"/>
  <c r="Q227" i="3"/>
  <c r="AC227" i="3" s="1"/>
  <c r="Q396" i="3"/>
  <c r="AC396" i="3" s="1"/>
  <c r="Q568" i="3"/>
  <c r="AC568" i="3" s="1"/>
  <c r="Q706" i="3"/>
  <c r="AC706" i="3" s="1"/>
  <c r="Q770" i="3"/>
  <c r="AC770" i="3" s="1"/>
  <c r="Q834" i="3"/>
  <c r="AC834" i="3" s="1"/>
  <c r="Q898" i="3"/>
  <c r="AC898" i="3" s="1"/>
  <c r="Q962" i="3"/>
  <c r="AC962" i="3" s="1"/>
  <c r="Q1026" i="3"/>
  <c r="AC1026" i="3" s="1"/>
  <c r="Q100" i="3"/>
  <c r="AC100" i="3" s="1"/>
  <c r="Q272" i="3"/>
  <c r="AC272" i="3" s="1"/>
  <c r="Q443" i="3"/>
  <c r="AC443" i="3" s="1"/>
  <c r="Q612" i="3"/>
  <c r="AC612" i="3" s="1"/>
  <c r="Q723" i="3"/>
  <c r="AC723" i="3" s="1"/>
  <c r="Q787" i="3"/>
  <c r="AC787" i="3" s="1"/>
  <c r="Q851" i="3"/>
  <c r="AC851" i="3" s="1"/>
  <c r="Q915" i="3"/>
  <c r="AC915" i="3" s="1"/>
  <c r="Q979" i="3"/>
  <c r="AC979" i="3" s="1"/>
  <c r="Q1043" i="3"/>
  <c r="AC1043" i="3" s="1"/>
  <c r="Q1107" i="3"/>
  <c r="AC1107" i="3" s="1"/>
  <c r="Q1171" i="3"/>
  <c r="AC1171" i="3" s="1"/>
  <c r="Q988" i="3"/>
  <c r="AC988" i="3" s="1"/>
  <c r="Q1084" i="3"/>
  <c r="AC1084" i="3" s="1"/>
  <c r="Q124" i="3"/>
  <c r="AC124" i="3" s="1"/>
  <c r="Q296" i="3"/>
  <c r="AC296" i="3" s="1"/>
  <c r="Q467" i="3"/>
  <c r="AC467" i="3" s="1"/>
  <c r="Q636" i="3"/>
  <c r="AC636" i="3" s="1"/>
  <c r="Q732" i="3"/>
  <c r="AC732" i="3" s="1"/>
  <c r="Q796" i="3"/>
  <c r="AC796" i="3" s="1"/>
  <c r="Q860" i="3"/>
  <c r="AC860" i="3" s="1"/>
  <c r="Q932" i="3"/>
  <c r="AC932" i="3" s="1"/>
  <c r="Q1044" i="3"/>
  <c r="AC1044" i="3" s="1"/>
  <c r="Q269" i="3"/>
  <c r="AC269" i="3" s="1"/>
  <c r="Q102" i="3"/>
  <c r="AC102" i="3" s="1"/>
  <c r="Q614" i="3"/>
  <c r="AC614" i="3" s="1"/>
  <c r="Q447" i="3"/>
  <c r="AC447" i="3" s="1"/>
  <c r="Q281" i="3"/>
  <c r="AC281" i="3" s="1"/>
  <c r="Q138" i="3"/>
  <c r="AC138" i="3" s="1"/>
  <c r="Q650" i="3"/>
  <c r="AC650" i="3" s="1"/>
  <c r="Q906" i="3"/>
  <c r="AC906" i="3" s="1"/>
  <c r="Q795" i="3"/>
  <c r="AC795" i="3" s="1"/>
  <c r="Q1092" i="3"/>
  <c r="AC1092" i="3" s="1"/>
  <c r="Q812" i="3"/>
  <c r="AC812" i="3" s="1"/>
  <c r="Q1020" i="3"/>
  <c r="AC1020" i="3" s="1"/>
  <c r="Q128" i="3"/>
  <c r="AC128" i="3" s="1"/>
  <c r="Q299" i="3"/>
  <c r="AC299" i="3" s="1"/>
  <c r="Q468" i="3"/>
  <c r="AC468" i="3" s="1"/>
  <c r="Q640" i="3"/>
  <c r="AC640" i="3" s="1"/>
  <c r="Q733" i="3"/>
  <c r="AC733" i="3" s="1"/>
  <c r="Q797" i="3"/>
  <c r="AC797" i="3" s="1"/>
  <c r="Q861" i="3"/>
  <c r="AC861" i="3" s="1"/>
  <c r="Q925" i="3"/>
  <c r="AC925" i="3" s="1"/>
  <c r="Q989" i="3"/>
  <c r="AC989" i="3" s="1"/>
  <c r="Q1053" i="3"/>
  <c r="AC1053" i="3" s="1"/>
  <c r="Q1117" i="3"/>
  <c r="AC1117" i="3" s="1"/>
  <c r="Q1181" i="3"/>
  <c r="AC1181" i="3" s="1"/>
  <c r="Q172" i="3"/>
  <c r="AC172" i="3" s="1"/>
  <c r="Q344" i="3"/>
  <c r="AC344" i="3" s="1"/>
  <c r="Q515" i="3"/>
  <c r="AC515" i="3" s="1"/>
  <c r="Q681" i="3"/>
  <c r="AC681" i="3" s="1"/>
  <c r="Q750" i="3"/>
  <c r="AC750" i="3" s="1"/>
  <c r="Q814" i="3"/>
  <c r="AC814" i="3" s="1"/>
  <c r="Q878" i="3"/>
  <c r="AC878" i="3" s="1"/>
  <c r="Q942" i="3"/>
  <c r="AC942" i="3" s="1"/>
  <c r="Q1006" i="3"/>
  <c r="AC1006" i="3" s="1"/>
  <c r="Q1070" i="3"/>
  <c r="AC1070" i="3" s="1"/>
  <c r="Q68" i="3"/>
  <c r="AC68" i="3" s="1"/>
  <c r="Q240" i="3"/>
  <c r="AC240" i="3" s="1"/>
  <c r="Q411" i="3"/>
  <c r="AC411" i="3" s="1"/>
  <c r="Q580" i="3"/>
  <c r="AC580" i="3" s="1"/>
  <c r="Q711" i="3"/>
  <c r="AC711" i="3" s="1"/>
  <c r="Q775" i="3"/>
  <c r="AC775" i="3" s="1"/>
  <c r="Q839" i="3"/>
  <c r="AC839" i="3" s="1"/>
  <c r="Q903" i="3"/>
  <c r="AC903" i="3" s="1"/>
  <c r="Q967" i="3"/>
  <c r="AC967" i="3" s="1"/>
  <c r="Q1031" i="3"/>
  <c r="AC1031" i="3" s="1"/>
  <c r="Q371" i="3"/>
  <c r="AC371" i="3" s="1"/>
  <c r="Q824" i="3"/>
  <c r="AC824" i="3" s="1"/>
  <c r="Q1066" i="3"/>
  <c r="AC1066" i="3" s="1"/>
  <c r="Q1168" i="3"/>
  <c r="AC1168" i="3" s="1"/>
  <c r="Q1191" i="3"/>
  <c r="AC1191" i="3" s="1"/>
  <c r="Q785" i="3"/>
  <c r="AC785" i="3" s="1"/>
  <c r="Q372" i="3"/>
  <c r="AC372" i="3" s="1"/>
  <c r="Q825" i="3"/>
  <c r="AC825" i="3" s="1"/>
  <c r="Q1071" i="3"/>
  <c r="AC1071" i="3" s="1"/>
  <c r="Q1169" i="3"/>
  <c r="AC1169" i="3" s="1"/>
  <c r="Q1182" i="3"/>
  <c r="AC1182" i="3" s="1"/>
  <c r="Q352" i="3"/>
  <c r="AC352" i="3" s="1"/>
  <c r="Q136" i="3"/>
  <c r="AC136" i="3" s="1"/>
  <c r="Q736" i="3"/>
  <c r="AC736" i="3" s="1"/>
  <c r="Q992" i="3"/>
  <c r="AC992" i="3" s="1"/>
  <c r="Q1040" i="3"/>
  <c r="AC1040" i="3" s="1"/>
  <c r="Q139" i="3"/>
  <c r="AC139" i="3" s="1"/>
  <c r="Q737" i="3"/>
  <c r="AC737" i="3" s="1"/>
  <c r="Q993" i="3"/>
  <c r="AC993" i="3" s="1"/>
  <c r="Q1140" i="3"/>
  <c r="AC1140" i="3" s="1"/>
  <c r="Q1164" i="3"/>
  <c r="AC1164" i="3" s="1"/>
  <c r="Q913" i="3"/>
  <c r="AC913" i="3" s="1"/>
  <c r="Q412" i="3"/>
  <c r="AC412" i="3" s="1"/>
  <c r="Q840" i="3"/>
  <c r="AC840" i="3" s="1"/>
  <c r="Q1074" i="3"/>
  <c r="AC1074" i="3" s="1"/>
  <c r="Q1174" i="3"/>
  <c r="AC1174" i="3" s="1"/>
  <c r="Q92" i="3"/>
  <c r="AC92" i="3" s="1"/>
  <c r="Q721" i="3"/>
  <c r="AC721" i="3" s="1"/>
  <c r="Q416" i="3"/>
  <c r="AC416" i="3" s="1"/>
  <c r="Q841" i="3"/>
  <c r="AC841" i="3" s="1"/>
  <c r="Q1079" i="3"/>
  <c r="AC1079" i="3" s="1"/>
  <c r="Q264" i="3"/>
  <c r="AC264" i="3" s="1"/>
  <c r="Q881" i="3"/>
  <c r="AC881" i="3" s="1"/>
  <c r="Q13" i="3"/>
  <c r="AC13" i="3" s="1"/>
  <c r="AH13" i="3" s="1"/>
  <c r="Q525" i="3"/>
  <c r="AC525" i="3" s="1"/>
  <c r="Q358" i="3"/>
  <c r="AC358" i="3" s="1"/>
  <c r="Q191" i="3"/>
  <c r="AC191" i="3" s="1"/>
  <c r="Q25" i="3"/>
  <c r="AC25" i="3" s="1"/>
  <c r="Q537" i="3"/>
  <c r="AC537" i="3" s="1"/>
  <c r="Q394" i="3"/>
  <c r="AC394" i="3" s="1"/>
  <c r="Q588" i="3"/>
  <c r="AC588" i="3" s="1"/>
  <c r="Q292" i="3"/>
  <c r="AC292" i="3" s="1"/>
  <c r="Q1051" i="3"/>
  <c r="AC1051" i="3" s="1"/>
  <c r="Q659" i="3"/>
  <c r="AC659" i="3" s="1"/>
  <c r="Q924" i="3"/>
  <c r="AC924" i="3" s="1"/>
  <c r="Q43" i="3"/>
  <c r="AC43" i="3" s="1"/>
  <c r="Q212" i="3"/>
  <c r="AC212" i="3" s="1"/>
  <c r="Q384" i="3"/>
  <c r="AC384" i="3" s="1"/>
  <c r="Q555" i="3"/>
  <c r="AC555" i="3" s="1"/>
  <c r="Q701" i="3"/>
  <c r="AC701" i="3" s="1"/>
  <c r="Q765" i="3"/>
  <c r="AC765" i="3" s="1"/>
  <c r="Q829" i="3"/>
  <c r="AC829" i="3" s="1"/>
  <c r="Q893" i="3"/>
  <c r="AC893" i="3" s="1"/>
  <c r="Q957" i="3"/>
  <c r="AC957" i="3" s="1"/>
  <c r="Q1021" i="3"/>
  <c r="AC1021" i="3" s="1"/>
  <c r="Q1085" i="3"/>
  <c r="AC1085" i="3" s="1"/>
  <c r="Q1149" i="3"/>
  <c r="AC1149" i="3" s="1"/>
  <c r="Q88" i="3"/>
  <c r="AC88" i="3" s="1"/>
  <c r="Q259" i="3"/>
  <c r="AC259" i="3" s="1"/>
  <c r="Q428" i="3"/>
  <c r="AC428" i="3" s="1"/>
  <c r="Q600" i="3"/>
  <c r="AC600" i="3" s="1"/>
  <c r="Q718" i="3"/>
  <c r="AC718" i="3" s="1"/>
  <c r="Q782" i="3"/>
  <c r="AC782" i="3" s="1"/>
  <c r="Q846" i="3"/>
  <c r="AC846" i="3" s="1"/>
  <c r="Q910" i="3"/>
  <c r="AC910" i="3" s="1"/>
  <c r="Q974" i="3"/>
  <c r="AC974" i="3" s="1"/>
  <c r="Q1038" i="3"/>
  <c r="AC1038" i="3" s="1"/>
  <c r="Q1102" i="3"/>
  <c r="AC1102" i="3" s="1"/>
  <c r="Q155" i="3"/>
  <c r="AC155" i="3" s="1"/>
  <c r="Q324" i="3"/>
  <c r="AC324" i="3" s="1"/>
  <c r="Q496" i="3"/>
  <c r="AC496" i="3" s="1"/>
  <c r="Q667" i="3"/>
  <c r="AC667" i="3" s="1"/>
  <c r="Q743" i="3"/>
  <c r="AC743" i="3" s="1"/>
  <c r="Q807" i="3"/>
  <c r="AC807" i="3" s="1"/>
  <c r="Q871" i="3"/>
  <c r="AC871" i="3" s="1"/>
  <c r="Q935" i="3"/>
  <c r="AC935" i="3" s="1"/>
  <c r="Q999" i="3"/>
  <c r="AC999" i="3" s="1"/>
  <c r="Q28" i="3"/>
  <c r="AC28" i="3" s="1"/>
  <c r="Q696" i="3"/>
  <c r="AC696" i="3" s="1"/>
  <c r="Q952" i="3"/>
  <c r="AC952" i="3" s="1"/>
  <c r="Q1126" i="3"/>
  <c r="AC1126" i="3" s="1"/>
  <c r="Q1207" i="3"/>
  <c r="AC1207" i="3" s="1"/>
  <c r="Q1008" i="3"/>
  <c r="AC1008" i="3" s="1"/>
  <c r="Q32" i="3"/>
  <c r="AC32" i="3" s="1"/>
  <c r="Q697" i="3"/>
  <c r="AC697" i="3" s="1"/>
  <c r="Q953" i="3"/>
  <c r="AC953" i="3" s="1"/>
  <c r="Q1127" i="3"/>
  <c r="AC1127" i="3" s="1"/>
  <c r="Q1208" i="3"/>
  <c r="AC1208" i="3" s="1"/>
  <c r="Q912" i="3"/>
  <c r="AC912" i="3" s="1"/>
  <c r="Q1081" i="3"/>
  <c r="AC1081" i="3" s="1"/>
  <c r="Q476" i="3"/>
  <c r="AC476" i="3" s="1"/>
  <c r="Q864" i="3"/>
  <c r="AC864" i="3" s="1"/>
  <c r="Q1118" i="3"/>
  <c r="AC1118" i="3" s="1"/>
  <c r="Q849" i="3"/>
  <c r="AC849" i="3" s="1"/>
  <c r="Q480" i="3"/>
  <c r="AC480" i="3" s="1"/>
  <c r="Q865" i="3"/>
  <c r="AC865" i="3" s="1"/>
  <c r="Q1089" i="3"/>
  <c r="AC1089" i="3" s="1"/>
  <c r="Q1183" i="3"/>
  <c r="AC1183" i="3" s="1"/>
  <c r="Q1096" i="3"/>
  <c r="AC1096" i="3" s="1"/>
  <c r="Q72" i="3"/>
  <c r="AC72" i="3" s="1"/>
  <c r="Q712" i="3"/>
  <c r="AC712" i="3" s="1"/>
  <c r="Q968" i="3"/>
  <c r="AC968" i="3" s="1"/>
  <c r="Q1130" i="3"/>
  <c r="AC1130" i="3" s="1"/>
  <c r="Q1212" i="3"/>
  <c r="AC1212" i="3" s="1"/>
  <c r="Q1112" i="3"/>
  <c r="AC1112" i="3" s="1"/>
  <c r="Q75" i="3"/>
  <c r="AC75" i="3" s="1"/>
  <c r="Q713" i="3"/>
  <c r="AC713" i="3" s="1"/>
  <c r="Q969" i="3"/>
  <c r="AC969" i="3" s="1"/>
  <c r="Q1143" i="3"/>
  <c r="AC1143" i="3" s="1"/>
  <c r="Q1080" i="3"/>
  <c r="AC1080" i="3" s="1"/>
  <c r="Q397" i="3"/>
  <c r="AC397" i="3" s="1"/>
  <c r="Q422" i="3"/>
  <c r="AC422" i="3" s="1"/>
  <c r="Q383" i="3"/>
  <c r="AC383" i="3" s="1"/>
  <c r="Q409" i="3"/>
  <c r="AC409" i="3" s="1"/>
  <c r="Q458" i="3"/>
  <c r="AC458" i="3" s="1"/>
  <c r="Q842" i="3"/>
  <c r="AC842" i="3" s="1"/>
  <c r="Q923" i="3"/>
  <c r="AC923" i="3" s="1"/>
  <c r="Q740" i="3"/>
  <c r="AC740" i="3" s="1"/>
  <c r="Q964" i="3"/>
  <c r="AC964" i="3" s="1"/>
  <c r="Q171" i="3"/>
  <c r="AC171" i="3" s="1"/>
  <c r="Q404" i="3"/>
  <c r="AC404" i="3" s="1"/>
  <c r="Q619" i="3"/>
  <c r="AC619" i="3" s="1"/>
  <c r="Q749" i="3"/>
  <c r="AC749" i="3" s="1"/>
  <c r="Q837" i="3"/>
  <c r="AC837" i="3" s="1"/>
  <c r="Q917" i="3"/>
  <c r="AC917" i="3" s="1"/>
  <c r="Q1005" i="3"/>
  <c r="AC1005" i="3" s="1"/>
  <c r="Q1093" i="3"/>
  <c r="AC1093" i="3" s="1"/>
  <c r="Q1173" i="3"/>
  <c r="AC1173" i="3" s="1"/>
  <c r="Q216" i="3"/>
  <c r="AC216" i="3" s="1"/>
  <c r="Q451" i="3"/>
  <c r="AC451" i="3" s="1"/>
  <c r="Q664" i="3"/>
  <c r="AC664" i="3" s="1"/>
  <c r="Q766" i="3"/>
  <c r="AC766" i="3" s="1"/>
  <c r="Q854" i="3"/>
  <c r="AC854" i="3" s="1"/>
  <c r="Q934" i="3"/>
  <c r="AC934" i="3" s="1"/>
  <c r="Q1022" i="3"/>
  <c r="AC1022" i="3" s="1"/>
  <c r="Q1110" i="3"/>
  <c r="AC1110" i="3" s="1"/>
  <c r="Q219" i="3"/>
  <c r="AC219" i="3" s="1"/>
  <c r="Q452" i="3"/>
  <c r="AC452" i="3" s="1"/>
  <c r="Q683" i="3"/>
  <c r="AC683" i="3" s="1"/>
  <c r="Q767" i="3"/>
  <c r="AC767" i="3" s="1"/>
  <c r="Q855" i="3"/>
  <c r="AC855" i="3" s="1"/>
  <c r="Q943" i="3"/>
  <c r="AC943" i="3" s="1"/>
  <c r="Q1023" i="3"/>
  <c r="AC1023" i="3" s="1"/>
  <c r="Q540" i="3"/>
  <c r="AC540" i="3" s="1"/>
  <c r="Q984" i="3"/>
  <c r="AC984" i="3" s="1"/>
  <c r="Q1158" i="3"/>
  <c r="AC1158" i="3" s="1"/>
  <c r="Q752" i="3"/>
  <c r="AC752" i="3" s="1"/>
  <c r="Q116" i="3"/>
  <c r="AC116" i="3" s="1"/>
  <c r="Q793" i="3"/>
  <c r="AC793" i="3" s="1"/>
  <c r="Q1103" i="3"/>
  <c r="AC1103" i="3" s="1"/>
  <c r="Q1104" i="3"/>
  <c r="AC1104" i="3" s="1"/>
  <c r="Q1186" i="3"/>
  <c r="Q307" i="3"/>
  <c r="AC307" i="3" s="1"/>
  <c r="Q896" i="3"/>
  <c r="AC896" i="3" s="1"/>
  <c r="Q520" i="3"/>
  <c r="AC520" i="3" s="1"/>
  <c r="Q308" i="3"/>
  <c r="AC308" i="3" s="1"/>
  <c r="Q897" i="3"/>
  <c r="AC897" i="3" s="1"/>
  <c r="Q1129" i="3"/>
  <c r="AC1129" i="3" s="1"/>
  <c r="Q179" i="3"/>
  <c r="AC179" i="3" s="1"/>
  <c r="Q156" i="3"/>
  <c r="AC156" i="3" s="1"/>
  <c r="Q808" i="3"/>
  <c r="AC808" i="3" s="1"/>
  <c r="Q1106" i="3"/>
  <c r="AC1106" i="3" s="1"/>
  <c r="Q1132" i="3"/>
  <c r="AC1132" i="3" s="1"/>
  <c r="Q96" i="3"/>
  <c r="AC96" i="3" s="1"/>
  <c r="Q587" i="3"/>
  <c r="AC587" i="3" s="1"/>
  <c r="Q1001" i="3"/>
  <c r="AC1001" i="3" s="1"/>
  <c r="Q1213" i="3"/>
  <c r="AC1213" i="3" s="1"/>
  <c r="Q1188" i="3"/>
  <c r="AC1188" i="3" s="1"/>
  <c r="Q77" i="3"/>
  <c r="AC77" i="3" s="1"/>
  <c r="Q38" i="3"/>
  <c r="AC38" i="3" s="1"/>
  <c r="Q63" i="3"/>
  <c r="AC63" i="3" s="1"/>
  <c r="Q89" i="3"/>
  <c r="AC89" i="3" s="1"/>
  <c r="Q74" i="3"/>
  <c r="AC74" i="3" s="1"/>
  <c r="Q248" i="3"/>
  <c r="AC248" i="3" s="1"/>
  <c r="Q464" i="3"/>
  <c r="AC464" i="3" s="1"/>
  <c r="Q1004" i="3"/>
  <c r="AC1004" i="3" s="1"/>
  <c r="Q876" i="3"/>
  <c r="AC876" i="3" s="1"/>
  <c r="Q64" i="3"/>
  <c r="AC64" i="3" s="1"/>
  <c r="Q276" i="3"/>
  <c r="AC276" i="3" s="1"/>
  <c r="Q512" i="3"/>
  <c r="AC512" i="3" s="1"/>
  <c r="Q709" i="3"/>
  <c r="AC709" i="3" s="1"/>
  <c r="Q789" i="3"/>
  <c r="Q877" i="3"/>
  <c r="AC877" i="3" s="1"/>
  <c r="Q965" i="3"/>
  <c r="AC965" i="3" s="1"/>
  <c r="Q1045" i="3"/>
  <c r="AC1045" i="3" s="1"/>
  <c r="Q1133" i="3"/>
  <c r="AC1133" i="3" s="1"/>
  <c r="Q108" i="3"/>
  <c r="AC108" i="3" s="1"/>
  <c r="Q323" i="3"/>
  <c r="AC323" i="3" s="1"/>
  <c r="Q556" i="3"/>
  <c r="AC556" i="3" s="1"/>
  <c r="Q726" i="3"/>
  <c r="AC726" i="3" s="1"/>
  <c r="Q806" i="3"/>
  <c r="AC806" i="3" s="1"/>
  <c r="Q894" i="3"/>
  <c r="AC894" i="3" s="1"/>
  <c r="Q982" i="3"/>
  <c r="AC982" i="3" s="1"/>
  <c r="Q1062" i="3"/>
  <c r="AC1062" i="3" s="1"/>
  <c r="Q112" i="3"/>
  <c r="AC112" i="3" s="1"/>
  <c r="Q347" i="3"/>
  <c r="AC347" i="3" s="1"/>
  <c r="Q560" i="3"/>
  <c r="AC560" i="3" s="1"/>
  <c r="Q727" i="3"/>
  <c r="AC727" i="3" s="1"/>
  <c r="Q815" i="3"/>
  <c r="AC815" i="3" s="1"/>
  <c r="Q895" i="3"/>
  <c r="AC895" i="3" s="1"/>
  <c r="Q983" i="3"/>
  <c r="AC983" i="3" s="1"/>
  <c r="Q115" i="3"/>
  <c r="AC115" i="3" s="1"/>
  <c r="Q792" i="3"/>
  <c r="AC792" i="3" s="1"/>
  <c r="Q1098" i="3"/>
  <c r="AC1098" i="3" s="1"/>
  <c r="Q1088" i="3"/>
  <c r="AC1088" i="3" s="1"/>
  <c r="Q267" i="3"/>
  <c r="AC267" i="3" s="1"/>
  <c r="Q544" i="3"/>
  <c r="AC544" i="3" s="1"/>
  <c r="Q985" i="3"/>
  <c r="Q1159" i="3"/>
  <c r="AC1159" i="3" s="1"/>
  <c r="Q348" i="3"/>
  <c r="AC348" i="3" s="1"/>
  <c r="Q1145" i="3"/>
  <c r="AC1145" i="3" s="1"/>
  <c r="Q704" i="3"/>
  <c r="AC704" i="3" s="1"/>
  <c r="Q1056" i="3"/>
  <c r="AC1056" i="3" s="1"/>
  <c r="Q1041" i="3"/>
  <c r="AC1041" i="3" s="1"/>
  <c r="Q705" i="3"/>
  <c r="AC705" i="3" s="1"/>
  <c r="Q1057" i="3"/>
  <c r="AC1057" i="3" s="1"/>
  <c r="Q1192" i="3"/>
  <c r="AC1192" i="3" s="1"/>
  <c r="Q753" i="3"/>
  <c r="AC753" i="3" s="1"/>
  <c r="Q584" i="3"/>
  <c r="AC584" i="3" s="1"/>
  <c r="Q1000" i="3"/>
  <c r="AC1000" i="3" s="1"/>
  <c r="Q1162" i="3"/>
  <c r="AC1162" i="3" s="1"/>
  <c r="Q784" i="3"/>
  <c r="AC784" i="3" s="1"/>
  <c r="Q160" i="3"/>
  <c r="AC160" i="3" s="1"/>
  <c r="Q809" i="3"/>
  <c r="AC809" i="3" s="1"/>
  <c r="Q1111" i="3"/>
  <c r="AC1111" i="3" s="1"/>
  <c r="Q1176" i="3"/>
  <c r="AC1176" i="3" s="1"/>
  <c r="Q205" i="3"/>
  <c r="AC205" i="3" s="1"/>
  <c r="Q486" i="3"/>
  <c r="AC486" i="3" s="1"/>
  <c r="Q639" i="3"/>
  <c r="AC639" i="3" s="1"/>
  <c r="Q266" i="3"/>
  <c r="AC266" i="3" s="1"/>
  <c r="Q970" i="3"/>
  <c r="AC970" i="3" s="1"/>
  <c r="Q1179" i="3"/>
  <c r="AC1179" i="3" s="1"/>
  <c r="Q940" i="3"/>
  <c r="AC940" i="3" s="1"/>
  <c r="Q192" i="3"/>
  <c r="AC192" i="3" s="1"/>
  <c r="Q491" i="3"/>
  <c r="AC491" i="3" s="1"/>
  <c r="Q725" i="3"/>
  <c r="AC725" i="3" s="1"/>
  <c r="Q845" i="3"/>
  <c r="AC845" i="3" s="1"/>
  <c r="Q949" i="3"/>
  <c r="AC949" i="3" s="1"/>
  <c r="Q1069" i="3"/>
  <c r="AC1069" i="3" s="1"/>
  <c r="Q24" i="3"/>
  <c r="AC24" i="3" s="1"/>
  <c r="Q300" i="3"/>
  <c r="AC300" i="3" s="1"/>
  <c r="Q620" i="3"/>
  <c r="AC620" i="3" s="1"/>
  <c r="Q774" i="3"/>
  <c r="AC774" i="3" s="1"/>
  <c r="Q886" i="3"/>
  <c r="AC886" i="3" s="1"/>
  <c r="Q998" i="3"/>
  <c r="AC998" i="3" s="1"/>
  <c r="Q27" i="3"/>
  <c r="AC27" i="3" s="1"/>
  <c r="Q304" i="3"/>
  <c r="AC304" i="3" s="1"/>
  <c r="Q624" i="3"/>
  <c r="AC624" i="3" s="1"/>
  <c r="Q783" i="3"/>
  <c r="AC783" i="3" s="1"/>
  <c r="Q887" i="3"/>
  <c r="AC887" i="3" s="1"/>
  <c r="Q1007" i="3"/>
  <c r="AC1007" i="3" s="1"/>
  <c r="Q627" i="3"/>
  <c r="AC627" i="3" s="1"/>
  <c r="Q1082" i="3"/>
  <c r="AC1082" i="3" s="1"/>
  <c r="Q1170" i="3"/>
  <c r="AC1170" i="3" s="1"/>
  <c r="Q203" i="3"/>
  <c r="AC203" i="3" s="1"/>
  <c r="Q921" i="3"/>
  <c r="AC921" i="3" s="1"/>
  <c r="Q1190" i="3"/>
  <c r="AC1190" i="3" s="1"/>
  <c r="Q608" i="3"/>
  <c r="AC608" i="3" s="1"/>
  <c r="Q648" i="3"/>
  <c r="AC648" i="3" s="1"/>
  <c r="Q1150" i="3"/>
  <c r="AC1150" i="3" s="1"/>
  <c r="Q395" i="3"/>
  <c r="AC395" i="3" s="1"/>
  <c r="Q1025" i="3"/>
  <c r="AC1025" i="3" s="1"/>
  <c r="Q1210" i="3"/>
  <c r="AC1210" i="3" s="1"/>
  <c r="Q243" i="3"/>
  <c r="AC243" i="3" s="1"/>
  <c r="Q936" i="3"/>
  <c r="AC936" i="3" s="1"/>
  <c r="Q1193" i="3"/>
  <c r="AC1193" i="3" s="1"/>
  <c r="Q977" i="3"/>
  <c r="AC977" i="3" s="1"/>
  <c r="Q777" i="3"/>
  <c r="AC777" i="3" s="1"/>
  <c r="Q1153" i="3"/>
  <c r="AC1153" i="3" s="1"/>
  <c r="Q333" i="3"/>
  <c r="AC333" i="3" s="1"/>
  <c r="Q461" i="3"/>
  <c r="AC461" i="3" s="1"/>
  <c r="Q678" i="3"/>
  <c r="AC678" i="3" s="1"/>
  <c r="Q217" i="3"/>
  <c r="Q522" i="3"/>
  <c r="AC522" i="3" s="1"/>
  <c r="Q123" i="3"/>
  <c r="AC123" i="3" s="1"/>
  <c r="Q316" i="3"/>
  <c r="AC316" i="3" s="1"/>
  <c r="Q1068" i="3"/>
  <c r="AC1068" i="3" s="1"/>
  <c r="Q256" i="3"/>
  <c r="AC256" i="3" s="1"/>
  <c r="Q576" i="3"/>
  <c r="AC576" i="3" s="1"/>
  <c r="Q757" i="3"/>
  <c r="AC757" i="3" s="1"/>
  <c r="Q869" i="3"/>
  <c r="AC869" i="3" s="1"/>
  <c r="Q981" i="3"/>
  <c r="AC981" i="3" s="1"/>
  <c r="Q1101" i="3"/>
  <c r="AC1101" i="3" s="1"/>
  <c r="Q67" i="3"/>
  <c r="AC67" i="3" s="1"/>
  <c r="Q387" i="3"/>
  <c r="AC387" i="3" s="1"/>
  <c r="Q694" i="3"/>
  <c r="AC694" i="3" s="1"/>
  <c r="Q798" i="3"/>
  <c r="AC798" i="3" s="1"/>
  <c r="Q918" i="3"/>
  <c r="AC918" i="3" s="1"/>
  <c r="Q1030" i="3"/>
  <c r="AC1030" i="3" s="1"/>
  <c r="Q91" i="3"/>
  <c r="AC91" i="3" s="1"/>
  <c r="Q388" i="3"/>
  <c r="AC388" i="3" s="1"/>
  <c r="Q695" i="3"/>
  <c r="AC695" i="3" s="1"/>
  <c r="Q799" i="3"/>
  <c r="AC799" i="3" s="1"/>
  <c r="Q919" i="3"/>
  <c r="AC919" i="3" s="1"/>
  <c r="Q1039" i="3"/>
  <c r="AC1039" i="3" s="1"/>
  <c r="Q760" i="3"/>
  <c r="AC760" i="3" s="1"/>
  <c r="Q1136" i="3"/>
  <c r="AC1136" i="3" s="1"/>
  <c r="Q848" i="3"/>
  <c r="AC848" i="3" s="1"/>
  <c r="Q459" i="3"/>
  <c r="AC459" i="3" s="1"/>
  <c r="Q1049" i="3"/>
  <c r="AC1049" i="3" s="1"/>
  <c r="Q1128" i="3"/>
  <c r="AC1128" i="3" s="1"/>
  <c r="Q945" i="3"/>
  <c r="AC945" i="3" s="1"/>
  <c r="Q800" i="3"/>
  <c r="AC800" i="3" s="1"/>
  <c r="Q1144" i="3"/>
  <c r="AC1144" i="3" s="1"/>
  <c r="Q651" i="3"/>
  <c r="AC651" i="3" s="1"/>
  <c r="Q1105" i="3"/>
  <c r="AC1105" i="3" s="1"/>
  <c r="Q880" i="3"/>
  <c r="AC880" i="3" s="1"/>
  <c r="Q499" i="3"/>
  <c r="AC499" i="3" s="1"/>
  <c r="Q1058" i="3"/>
  <c r="AC1058" i="3" s="1"/>
  <c r="Q1175" i="3"/>
  <c r="AC1175" i="3" s="1"/>
  <c r="Q1167" i="3"/>
  <c r="AC1167" i="3" s="1"/>
  <c r="Q905" i="3"/>
  <c r="AC905" i="3" s="1"/>
  <c r="Q684" i="3"/>
  <c r="AC684" i="3" s="1"/>
  <c r="Q589" i="3"/>
  <c r="AC589" i="3" s="1"/>
  <c r="Q127" i="3"/>
  <c r="AC127" i="3" s="1"/>
  <c r="Q345" i="3"/>
  <c r="AC345" i="3" s="1"/>
  <c r="Q586" i="3"/>
  <c r="AC586" i="3" s="1"/>
  <c r="Q635" i="3"/>
  <c r="AC635" i="3" s="1"/>
  <c r="Q488" i="3"/>
  <c r="AC488" i="3" s="1"/>
  <c r="Q1100" i="3"/>
  <c r="AC1100" i="3" s="1"/>
  <c r="Q320" i="3"/>
  <c r="AC320" i="3" s="1"/>
  <c r="Q596" i="3"/>
  <c r="AC596" i="3" s="1"/>
  <c r="Q773" i="3"/>
  <c r="AC773" i="3" s="1"/>
  <c r="Q885" i="3"/>
  <c r="AC885" i="3" s="1"/>
  <c r="Q997" i="3"/>
  <c r="AC997" i="3" s="1"/>
  <c r="Q1109" i="3"/>
  <c r="AC1109" i="3" s="1"/>
  <c r="Q131" i="3"/>
  <c r="AC131" i="3" s="1"/>
  <c r="Q408" i="3"/>
  <c r="AC408" i="3" s="1"/>
  <c r="Q702" i="3"/>
  <c r="AC702" i="3" s="1"/>
  <c r="Q822" i="3"/>
  <c r="AC822" i="3" s="1"/>
  <c r="Q926" i="3"/>
  <c r="AC926" i="3" s="1"/>
  <c r="Q1046" i="3"/>
  <c r="AC1046" i="3" s="1"/>
  <c r="Q132" i="3"/>
  <c r="AC132" i="3" s="1"/>
  <c r="Q432" i="3"/>
  <c r="AC432" i="3" s="1"/>
  <c r="Q703" i="3"/>
  <c r="AC703" i="3" s="1"/>
  <c r="Q823" i="3"/>
  <c r="AC823" i="3" s="1"/>
  <c r="Q927" i="3"/>
  <c r="AC927" i="3" s="1"/>
  <c r="Q1047" i="3"/>
  <c r="AC1047" i="3" s="1"/>
  <c r="Q856" i="3"/>
  <c r="AC856" i="3" s="1"/>
  <c r="Q1146" i="3"/>
  <c r="AC1146" i="3" s="1"/>
  <c r="Q1134" i="3"/>
  <c r="AC1134" i="3" s="1"/>
  <c r="Q628" i="3"/>
  <c r="AC628" i="3" s="1"/>
  <c r="Q1087" i="3"/>
  <c r="AC1087" i="3" s="1"/>
  <c r="Q1160" i="3"/>
  <c r="AC1160" i="3" s="1"/>
  <c r="Q1197" i="3"/>
  <c r="AC1197" i="3" s="1"/>
  <c r="Q832" i="3"/>
  <c r="AC832" i="3" s="1"/>
  <c r="Q1214" i="3"/>
  <c r="Q769" i="3"/>
  <c r="AC769" i="3" s="1"/>
  <c r="Q1119" i="3"/>
  <c r="AC1119" i="3" s="1"/>
  <c r="Q1166" i="3"/>
  <c r="AC1166" i="3" s="1"/>
  <c r="Q668" i="3"/>
  <c r="AC668" i="3" s="1"/>
  <c r="Q1090" i="3"/>
  <c r="AC1090" i="3" s="1"/>
  <c r="Q1204" i="3"/>
  <c r="AC1204" i="3" s="1"/>
  <c r="Q244" i="3"/>
  <c r="AC244" i="3" s="1"/>
  <c r="Q937" i="3"/>
  <c r="AC937" i="3" s="1"/>
  <c r="Q816" i="3"/>
  <c r="AC816" i="3" s="1"/>
  <c r="Q653" i="3"/>
  <c r="AC653" i="3" s="1"/>
  <c r="Q255" i="3"/>
  <c r="AC255" i="3" s="1"/>
  <c r="Q473" i="3"/>
  <c r="AC473" i="3" s="1"/>
  <c r="Q76" i="3"/>
  <c r="AC76" i="3" s="1"/>
  <c r="Q731" i="3"/>
  <c r="AC731" i="3" s="1"/>
  <c r="Q748" i="3"/>
  <c r="AC748" i="3" s="1"/>
  <c r="Q20" i="3"/>
  <c r="AC20" i="3" s="1"/>
  <c r="Q340" i="3"/>
  <c r="AC340" i="3" s="1"/>
  <c r="Q660" i="3"/>
  <c r="AC660" i="3" s="1"/>
  <c r="Q781" i="3"/>
  <c r="AC781" i="3" s="1"/>
  <c r="Q901" i="3"/>
  <c r="AC901" i="3" s="1"/>
  <c r="Q1013" i="3"/>
  <c r="AC1013" i="3" s="1"/>
  <c r="Q1125" i="3"/>
  <c r="AC1125" i="3" s="1"/>
  <c r="Q152" i="3"/>
  <c r="AC152" i="3" s="1"/>
  <c r="Q472" i="3"/>
  <c r="AC472" i="3" s="1"/>
  <c r="Q710" i="3"/>
  <c r="AC710" i="3" s="1"/>
  <c r="Q830" i="3"/>
  <c r="AC830" i="3" s="1"/>
  <c r="Q950" i="3"/>
  <c r="AC950" i="3" s="1"/>
  <c r="Q1054" i="3"/>
  <c r="AC1054" i="3" s="1"/>
  <c r="Q176" i="3"/>
  <c r="AC176" i="3" s="1"/>
  <c r="Q475" i="3"/>
  <c r="AC475" i="3" s="1"/>
  <c r="Q719" i="3"/>
  <c r="AC719" i="3" s="1"/>
  <c r="Q831" i="3"/>
  <c r="AC831" i="3" s="1"/>
  <c r="Q951" i="3"/>
  <c r="AC951" i="3" s="1"/>
  <c r="Q1055" i="3"/>
  <c r="AC1055" i="3" s="1"/>
  <c r="Q888" i="3"/>
  <c r="AC888" i="3" s="1"/>
  <c r="Q1178" i="3"/>
  <c r="AC1178" i="3" s="1"/>
  <c r="Q1196" i="3"/>
  <c r="AC1196" i="3" s="1"/>
  <c r="Q729" i="3"/>
  <c r="AC729" i="3" s="1"/>
  <c r="Q1116" i="3"/>
  <c r="AC1116" i="3" s="1"/>
  <c r="Q1200" i="3"/>
  <c r="AC1200" i="3" s="1"/>
  <c r="Q51" i="3"/>
  <c r="AC51" i="3" s="1"/>
  <c r="Q928" i="3"/>
  <c r="AC928" i="3" s="1"/>
  <c r="Q523" i="3"/>
  <c r="AC523" i="3" s="1"/>
  <c r="Q801" i="3"/>
  <c r="AC801" i="3" s="1"/>
  <c r="Q1151" i="3"/>
  <c r="AC1151" i="3" s="1"/>
  <c r="Q436" i="3"/>
  <c r="AC436" i="3" s="1"/>
  <c r="Q744" i="3"/>
  <c r="AC744" i="3" s="1"/>
  <c r="Q1120" i="3"/>
  <c r="AC1120" i="3" s="1"/>
  <c r="Q604" i="3"/>
  <c r="AC604" i="3" s="1"/>
  <c r="Q331" i="3"/>
  <c r="AC331" i="3" s="1"/>
  <c r="Q1033" i="3"/>
  <c r="AC1033" i="3" s="1"/>
  <c r="Q944" i="3"/>
  <c r="AC944" i="3" s="1"/>
  <c r="Q230" i="3"/>
  <c r="AC230" i="3" s="1"/>
  <c r="Q511" i="3"/>
  <c r="AC511" i="3" s="1"/>
  <c r="Q665" i="3"/>
  <c r="AC665" i="3" s="1"/>
  <c r="Q714" i="3"/>
  <c r="AC714" i="3" s="1"/>
  <c r="Q987" i="3"/>
  <c r="AC987" i="3" s="1"/>
  <c r="Q868" i="3"/>
  <c r="AC868" i="3" s="1"/>
  <c r="Q107" i="3"/>
  <c r="AC107" i="3" s="1"/>
  <c r="Q427" i="3"/>
  <c r="AC427" i="3" s="1"/>
  <c r="Q693" i="3"/>
  <c r="AC693" i="3" s="1"/>
  <c r="Q813" i="3"/>
  <c r="AC813" i="3" s="1"/>
  <c r="Q933" i="3"/>
  <c r="AC933" i="3" s="1"/>
  <c r="Q1037" i="3"/>
  <c r="AC1037" i="3" s="1"/>
  <c r="Q1157" i="3"/>
  <c r="AC1157" i="3" s="1"/>
  <c r="Q236" i="3"/>
  <c r="AC236" i="3" s="1"/>
  <c r="Q536" i="3"/>
  <c r="AC536" i="3" s="1"/>
  <c r="Q742" i="3"/>
  <c r="AC742" i="3" s="1"/>
  <c r="Q862" i="3"/>
  <c r="AC862" i="3" s="1"/>
  <c r="Q966" i="3"/>
  <c r="AC966" i="3" s="1"/>
  <c r="Q1086" i="3"/>
  <c r="AC1086" i="3" s="1"/>
  <c r="Q260" i="3"/>
  <c r="AC260" i="3" s="1"/>
  <c r="Q539" i="3"/>
  <c r="AC539" i="3" s="1"/>
  <c r="Q751" i="3"/>
  <c r="AC751" i="3" s="1"/>
  <c r="Q863" i="3"/>
  <c r="AC863" i="3" s="1"/>
  <c r="Q975" i="3"/>
  <c r="AC975" i="3" s="1"/>
  <c r="Q284" i="3"/>
  <c r="AC284" i="3" s="1"/>
  <c r="Q1016" i="3"/>
  <c r="AC1016" i="3" s="1"/>
  <c r="Q1198" i="3"/>
  <c r="AC1198" i="3" s="1"/>
  <c r="Q1124" i="3"/>
  <c r="Q857" i="3"/>
  <c r="AC857" i="3" s="1"/>
  <c r="Q1148" i="3"/>
  <c r="AC1148" i="3" s="1"/>
  <c r="Q1064" i="3"/>
  <c r="AC1064" i="3" s="1"/>
  <c r="Q392" i="3"/>
  <c r="AC392" i="3" s="1"/>
  <c r="Q1024" i="3"/>
  <c r="AC1024" i="3" s="1"/>
  <c r="Q52" i="3"/>
  <c r="AC52" i="3" s="1"/>
  <c r="Q929" i="3"/>
  <c r="AC929" i="3" s="1"/>
  <c r="Q1172" i="3"/>
  <c r="AC1172" i="3" s="1"/>
  <c r="Q1135" i="3"/>
  <c r="AC1135" i="3" s="1"/>
  <c r="Q872" i="3"/>
  <c r="AC872" i="3" s="1"/>
  <c r="Q1152" i="3"/>
  <c r="AC1152" i="3" s="1"/>
  <c r="Q1154" i="3"/>
  <c r="AC1154" i="3" s="1"/>
  <c r="Q672" i="3"/>
  <c r="AC672" i="3" s="1"/>
  <c r="Q1095" i="3"/>
  <c r="AC1095" i="3" s="1"/>
  <c r="Q688" i="3"/>
  <c r="AC688" i="3" s="1"/>
  <c r="Q141" i="3"/>
  <c r="AC141" i="3" s="1"/>
  <c r="Q294" i="3"/>
  <c r="AC294" i="3" s="1"/>
  <c r="Q575" i="3"/>
  <c r="AC575" i="3" s="1"/>
  <c r="Q202" i="3"/>
  <c r="AC202" i="3" s="1"/>
  <c r="Q778" i="3"/>
  <c r="AC778" i="3" s="1"/>
  <c r="Q1115" i="3"/>
  <c r="AC1115" i="3" s="1"/>
  <c r="Q892" i="3"/>
  <c r="AC892" i="3" s="1"/>
  <c r="Q148" i="3"/>
  <c r="AC148" i="3" s="1"/>
  <c r="Q448" i="3"/>
  <c r="AC448" i="3" s="1"/>
  <c r="Q717" i="3"/>
  <c r="AC717" i="3" s="1"/>
  <c r="Q821" i="3"/>
  <c r="AC821" i="3" s="1"/>
  <c r="Q941" i="3"/>
  <c r="AC941" i="3" s="1"/>
  <c r="Q1061" i="3"/>
  <c r="AC1061" i="3" s="1"/>
  <c r="Q1165" i="3"/>
  <c r="AC1165" i="3" s="1"/>
  <c r="Q280" i="3"/>
  <c r="AC280" i="3" s="1"/>
  <c r="Q579" i="3"/>
  <c r="AC579" i="3" s="1"/>
  <c r="Q758" i="3"/>
  <c r="AC758" i="3" s="1"/>
  <c r="Q870" i="3"/>
  <c r="AC870" i="3" s="1"/>
  <c r="Q990" i="3"/>
  <c r="AC990" i="3" s="1"/>
  <c r="Q1094" i="3"/>
  <c r="AC1094" i="3" s="1"/>
  <c r="Q283" i="3"/>
  <c r="AC283" i="3" s="1"/>
  <c r="Q603" i="3"/>
  <c r="AC603" i="3" s="1"/>
  <c r="Q759" i="3"/>
  <c r="AC759" i="3" s="1"/>
  <c r="Q879" i="3"/>
  <c r="AC879" i="3" s="1"/>
  <c r="Q991" i="3"/>
  <c r="AC991" i="3" s="1"/>
  <c r="Q456" i="3"/>
  <c r="AC456" i="3" s="1"/>
  <c r="Q1048" i="3"/>
  <c r="AC1048" i="3" s="1"/>
  <c r="Q1138" i="3"/>
  <c r="AC1138" i="3" s="1"/>
  <c r="Q1177" i="3"/>
  <c r="AC1177" i="3" s="1"/>
  <c r="Q889" i="3"/>
  <c r="AC889" i="3" s="1"/>
  <c r="Q1180" i="3"/>
  <c r="AC1180" i="3" s="1"/>
  <c r="Q1122" i="3"/>
  <c r="AC1122" i="3" s="1"/>
  <c r="Q563" i="3"/>
  <c r="AC563" i="3" s="1"/>
  <c r="Q1072" i="3"/>
  <c r="AC1072" i="3" s="1"/>
  <c r="Q224" i="3"/>
  <c r="AC224" i="3" s="1"/>
  <c r="Q961" i="3"/>
  <c r="AC961" i="3" s="1"/>
  <c r="Q1201" i="3"/>
  <c r="AC1201" i="3" s="1"/>
  <c r="Q1206" i="3"/>
  <c r="AC1206" i="3" s="1"/>
  <c r="Q904" i="3"/>
  <c r="AC904" i="3" s="1"/>
  <c r="Q1184" i="3"/>
  <c r="AC1184" i="3" s="1"/>
  <c r="Q1205" i="3"/>
  <c r="AC1205" i="3" s="1"/>
  <c r="Q745" i="3"/>
  <c r="AC745" i="3" s="1"/>
  <c r="Q1121" i="3"/>
  <c r="AC1121" i="3" s="1"/>
  <c r="Q1113" i="3"/>
  <c r="AC1113" i="3" s="1"/>
  <c r="Q153" i="3"/>
  <c r="AC153" i="3" s="1"/>
  <c r="Q948" i="3"/>
  <c r="AC948" i="3" s="1"/>
  <c r="Q853" i="3"/>
  <c r="AC853" i="3" s="1"/>
  <c r="Q364" i="3"/>
  <c r="AC364" i="3" s="1"/>
  <c r="Q1014" i="3"/>
  <c r="AC1014" i="3" s="1"/>
  <c r="Q791" i="3"/>
  <c r="AC791" i="3" s="1"/>
  <c r="Q1114" i="3"/>
  <c r="AC1114" i="3" s="1"/>
  <c r="Q1199" i="3"/>
  <c r="AC1199" i="3" s="1"/>
  <c r="Q564" i="3"/>
  <c r="AC564" i="3" s="1"/>
  <c r="Q1032" i="3"/>
  <c r="AC1032" i="3" s="1"/>
  <c r="Q1185" i="3"/>
  <c r="AC1185" i="3" s="1"/>
  <c r="Q601" i="3"/>
  <c r="AC601" i="3" s="1"/>
  <c r="Q84" i="3"/>
  <c r="AC84" i="3" s="1"/>
  <c r="Q909" i="3"/>
  <c r="AC909" i="3" s="1"/>
  <c r="Q492" i="3"/>
  <c r="AC492" i="3" s="1"/>
  <c r="Q1078" i="3"/>
  <c r="AC1078" i="3" s="1"/>
  <c r="Q847" i="3"/>
  <c r="AC847" i="3" s="1"/>
  <c r="Q1189" i="3"/>
  <c r="AC1189" i="3" s="1"/>
  <c r="Q720" i="3"/>
  <c r="AC720" i="3" s="1"/>
  <c r="Q833" i="3"/>
  <c r="AC833" i="3" s="1"/>
  <c r="Q1142" i="3"/>
  <c r="AC1142" i="3" s="1"/>
  <c r="Q180" i="3"/>
  <c r="AC180" i="3" s="1"/>
  <c r="Q1034" i="3"/>
  <c r="AC1034" i="3" s="1"/>
  <c r="Q532" i="3"/>
  <c r="AC532" i="3" s="1"/>
  <c r="Q1077" i="3"/>
  <c r="AC1077" i="3" s="1"/>
  <c r="Q790" i="3"/>
  <c r="AC790" i="3" s="1"/>
  <c r="Q368" i="3"/>
  <c r="AC368" i="3" s="1"/>
  <c r="Q1015" i="3"/>
  <c r="AC1015" i="3" s="1"/>
  <c r="Q288" i="3"/>
  <c r="AC288" i="3" s="1"/>
  <c r="Q768" i="3"/>
  <c r="AC768" i="3" s="1"/>
  <c r="Q1194" i="3"/>
  <c r="AC1194" i="3" s="1"/>
  <c r="Q1097" i="3"/>
  <c r="AC1097" i="3" s="1"/>
  <c r="Q166" i="3"/>
  <c r="AC166" i="3" s="1"/>
  <c r="Q859" i="3"/>
  <c r="AC859" i="3" s="1"/>
  <c r="Q680" i="3"/>
  <c r="AC680" i="3" s="1"/>
  <c r="Q1141" i="3"/>
  <c r="AC1141" i="3" s="1"/>
  <c r="Q838" i="3"/>
  <c r="AC838" i="3" s="1"/>
  <c r="Q516" i="3"/>
  <c r="AC516" i="3" s="1"/>
  <c r="Q200" i="3"/>
  <c r="AC200" i="3" s="1"/>
  <c r="Q761" i="3"/>
  <c r="AC761" i="3" s="1"/>
  <c r="Q960" i="3"/>
  <c r="AC960" i="3" s="1"/>
  <c r="Q1065" i="3"/>
  <c r="AC1065" i="3" s="1"/>
  <c r="Q500" i="3"/>
  <c r="AC500" i="3" s="1"/>
  <c r="Q319" i="3"/>
  <c r="AC319" i="3" s="1"/>
  <c r="Q805" i="3"/>
  <c r="AC805" i="3" s="1"/>
  <c r="Q958" i="3"/>
  <c r="AC958" i="3" s="1"/>
  <c r="Q920" i="3"/>
  <c r="AC920" i="3" s="1"/>
  <c r="Q1156" i="3"/>
  <c r="AC1156" i="3" s="1"/>
  <c r="Q1063" i="3"/>
  <c r="AC1063" i="3" s="1"/>
  <c r="Q330" i="3"/>
  <c r="AC330" i="3" s="1"/>
  <c r="Q973" i="3"/>
  <c r="AC973" i="3" s="1"/>
  <c r="Q419" i="3"/>
  <c r="AC419" i="3" s="1"/>
  <c r="Q1029" i="3"/>
  <c r="AC1029" i="3" s="1"/>
  <c r="Q196" i="3"/>
  <c r="AC196" i="3" s="1"/>
  <c r="Q1009" i="3"/>
  <c r="AC1009" i="3" s="1"/>
  <c r="Q1161" i="3"/>
  <c r="AC1161" i="3" s="1"/>
  <c r="Q147" i="3"/>
  <c r="AC147" i="3" s="1"/>
  <c r="Q44" i="3"/>
  <c r="AC44" i="3" s="1"/>
  <c r="Q644" i="3"/>
  <c r="AC644" i="3" s="1"/>
  <c r="Q1017" i="3"/>
  <c r="AC1017" i="3" s="1"/>
  <c r="Q328" i="3"/>
  <c r="AC328" i="3" s="1"/>
  <c r="Q804" i="3"/>
  <c r="AC804" i="3" s="1"/>
  <c r="Q195" i="3"/>
  <c r="AC195" i="3" s="1"/>
  <c r="Q735" i="3"/>
  <c r="AC735" i="3" s="1"/>
  <c r="Q1137" i="3"/>
  <c r="AC1137" i="3" s="1"/>
  <c r="Q776" i="3"/>
  <c r="AC776" i="3" s="1"/>
  <c r="Q235" i="3"/>
  <c r="AC235" i="3" s="1"/>
  <c r="Q643" i="3"/>
  <c r="AC643" i="3" s="1"/>
  <c r="Q363" i="3"/>
  <c r="AC363" i="3" s="1"/>
  <c r="Q734" i="3"/>
  <c r="AC734" i="3" s="1"/>
  <c r="Q959" i="3"/>
  <c r="AC959" i="3" s="1"/>
  <c r="Q220" i="3"/>
  <c r="AC220" i="3" s="1"/>
  <c r="Q976" i="3"/>
  <c r="AC976" i="3" s="1"/>
  <c r="Q550" i="3"/>
  <c r="AC550" i="3" s="1"/>
  <c r="Q741" i="3"/>
  <c r="AC741" i="3" s="1"/>
  <c r="Q902" i="3"/>
  <c r="AC902" i="3" s="1"/>
  <c r="Q728" i="3"/>
  <c r="AC728" i="3" s="1"/>
  <c r="Q1209" i="3"/>
  <c r="AC1209" i="3" s="1"/>
  <c r="Q873" i="3"/>
  <c r="AC873" i="3" s="1"/>
  <c r="Q911" i="3"/>
  <c r="AC911" i="3" s="1"/>
  <c r="Q435" i="3"/>
  <c r="AC435" i="3" s="1"/>
  <c r="Q817" i="3"/>
  <c r="AC817" i="3" s="1"/>
  <c r="Q1073" i="3"/>
  <c r="AC1073" i="3" s="1"/>
  <c r="Q1202" i="3"/>
  <c r="Q48" i="3"/>
  <c r="AC48" i="3" s="1"/>
  <c r="R788" i="3" l="1"/>
  <c r="AE789" i="3" s="1"/>
  <c r="AC789" i="3"/>
  <c r="R13" i="3"/>
  <c r="AE14" i="3" s="1"/>
  <c r="AF14" i="3" s="1"/>
  <c r="AC14" i="3"/>
  <c r="R216" i="3"/>
  <c r="AE217" i="3" s="1"/>
  <c r="AC217" i="3"/>
  <c r="R985" i="3"/>
  <c r="AE986" i="3" s="1"/>
  <c r="AC985" i="3"/>
  <c r="R1123" i="3"/>
  <c r="AE1124" i="3" s="1"/>
  <c r="AC1124" i="3"/>
  <c r="R1202" i="3"/>
  <c r="AE1203" i="3" s="1"/>
  <c r="AC1202" i="3"/>
  <c r="R1186" i="3"/>
  <c r="AE1187" i="3" s="1"/>
  <c r="AC1186" i="3"/>
  <c r="R1105" i="3"/>
  <c r="AE1106" i="3" s="1"/>
  <c r="G8" i="3"/>
  <c r="H8" i="3"/>
  <c r="R479" i="3"/>
  <c r="AE480" i="3" s="1"/>
  <c r="R885" i="3"/>
  <c r="AE886" i="3" s="1"/>
  <c r="R619" i="3"/>
  <c r="AE620" i="3" s="1"/>
  <c r="R785" i="3"/>
  <c r="AE786" i="3" s="1"/>
  <c r="R776" i="3"/>
  <c r="AE777" i="3" s="1"/>
  <c r="R121" i="3"/>
  <c r="AE122" i="3" s="1"/>
  <c r="R343" i="3"/>
  <c r="AE344" i="3" s="1"/>
  <c r="R176" i="3"/>
  <c r="AE177" i="3" s="1"/>
  <c r="R1187" i="3"/>
  <c r="AE1188" i="3" s="1"/>
  <c r="R616" i="3"/>
  <c r="AE617" i="3" s="1"/>
  <c r="R1075" i="3"/>
  <c r="AE1076" i="3" s="1"/>
  <c r="R1059" i="3"/>
  <c r="AE1060" i="3" s="1"/>
  <c r="R546" i="3"/>
  <c r="AE547" i="3" s="1"/>
  <c r="R504" i="3"/>
  <c r="AE505" i="3" s="1"/>
  <c r="R368" i="3"/>
  <c r="AE369" i="3" s="1"/>
  <c r="R800" i="3"/>
  <c r="AE801" i="3" s="1"/>
  <c r="R490" i="3"/>
  <c r="AE491" i="3" s="1"/>
  <c r="R1083" i="3"/>
  <c r="AE1084" i="3" s="1"/>
  <c r="R578" i="3"/>
  <c r="AE579" i="3" s="1"/>
  <c r="R208" i="3"/>
  <c r="AE209" i="3" s="1"/>
  <c r="R872" i="3"/>
  <c r="AE873" i="3" s="1"/>
  <c r="R279" i="3"/>
  <c r="AE280" i="3" s="1"/>
  <c r="R1118" i="3"/>
  <c r="AE1119" i="3" s="1"/>
  <c r="R403" i="3"/>
  <c r="AE404" i="3" s="1"/>
  <c r="R144" i="3"/>
  <c r="AE145" i="3" s="1"/>
  <c r="R671" i="3"/>
  <c r="AE672" i="3" s="1"/>
  <c r="R83" i="3"/>
  <c r="AE84" i="3" s="1"/>
  <c r="R510" i="3"/>
  <c r="AE511" i="3" s="1"/>
  <c r="R832" i="3"/>
  <c r="AE833" i="3" s="1"/>
  <c r="R949" i="3"/>
  <c r="AE950" i="3" s="1"/>
  <c r="R1108" i="3"/>
  <c r="AE1109" i="3" s="1"/>
  <c r="R854" i="3"/>
  <c r="AE855" i="3" s="1"/>
  <c r="R549" i="3"/>
  <c r="AE550" i="3" s="1"/>
  <c r="R939" i="3"/>
  <c r="AE940" i="3" s="1"/>
  <c r="R440" i="3"/>
  <c r="AE441" i="3" s="1"/>
  <c r="R1021" i="3"/>
  <c r="AE1022" i="3" s="1"/>
  <c r="R811" i="3"/>
  <c r="AE812" i="3" s="1"/>
  <c r="R240" i="3"/>
  <c r="AE241" i="3" s="1"/>
  <c r="R88" i="3"/>
  <c r="AE89" i="3" s="1"/>
  <c r="R837" i="3"/>
  <c r="AE838" i="3" s="1"/>
  <c r="R520" i="3"/>
  <c r="AE521" i="3" s="1"/>
  <c r="R93" i="3"/>
  <c r="AE94" i="3" s="1"/>
  <c r="R305" i="3"/>
  <c r="AE306" i="3" s="1"/>
  <c r="R270" i="3"/>
  <c r="AE271" i="3" s="1"/>
  <c r="R572" i="3"/>
  <c r="AE573" i="3" s="1"/>
  <c r="R610" i="3"/>
  <c r="AE611" i="3" s="1"/>
  <c r="R691" i="3"/>
  <c r="AE692" i="3" s="1"/>
  <c r="R40" i="3"/>
  <c r="AE41" i="3" s="1"/>
  <c r="R541" i="3"/>
  <c r="AE542" i="3" s="1"/>
  <c r="R223" i="3"/>
  <c r="AE224" i="3" s="1"/>
  <c r="R390" i="3"/>
  <c r="AE391" i="3" s="1"/>
  <c r="R908" i="3"/>
  <c r="AE909" i="3" s="1"/>
  <c r="R205" i="3"/>
  <c r="AE206" i="3" s="1"/>
  <c r="R915" i="3"/>
  <c r="AE916" i="3" s="1"/>
  <c r="R642" i="3"/>
  <c r="AE643" i="3" s="1"/>
  <c r="R374" i="3"/>
  <c r="AE375" i="3" s="1"/>
  <c r="R177" i="3"/>
  <c r="AE178" i="3" s="1"/>
  <c r="R859" i="3"/>
  <c r="AE860" i="3" s="1"/>
  <c r="R677" i="3"/>
  <c r="AE678" i="3" s="1"/>
  <c r="R1003" i="3"/>
  <c r="AE1004" i="3" s="1"/>
  <c r="R408" i="3"/>
  <c r="AE409" i="3" s="1"/>
  <c r="R196" i="3"/>
  <c r="AE197" i="3" s="1"/>
  <c r="R180" i="3"/>
  <c r="AE181" i="3" s="1"/>
  <c r="R346" i="3"/>
  <c r="AE347" i="3" s="1"/>
  <c r="R1116" i="3"/>
  <c r="AE1117" i="3" s="1"/>
  <c r="R790" i="3"/>
  <c r="AE791" i="3" s="1"/>
  <c r="R864" i="3"/>
  <c r="AE865" i="3" s="1"/>
  <c r="R1080" i="3"/>
  <c r="AE1081" i="3" s="1"/>
  <c r="R744" i="3"/>
  <c r="AE745" i="3" s="1"/>
  <c r="R525" i="3"/>
  <c r="AE526" i="3" s="1"/>
  <c r="R363" i="3"/>
  <c r="AE364" i="3" s="1"/>
  <c r="R1141" i="3"/>
  <c r="AE1142" i="3" s="1"/>
  <c r="R712" i="3"/>
  <c r="AE713" i="3" s="1"/>
  <c r="R1181" i="3"/>
  <c r="AE1182" i="3" s="1"/>
  <c r="R771" i="3"/>
  <c r="AE772" i="3" s="1"/>
  <c r="R907" i="3"/>
  <c r="AE908" i="3" s="1"/>
  <c r="R664" i="3"/>
  <c r="AE665" i="3" s="1"/>
  <c r="R748" i="3"/>
  <c r="AE749" i="3" s="1"/>
  <c r="R1144" i="3"/>
  <c r="AE1145" i="3" s="1"/>
  <c r="R1173" i="3"/>
  <c r="AE1174" i="3" s="1"/>
  <c r="R1207" i="3"/>
  <c r="AE1208" i="3" s="1"/>
  <c r="R1019" i="3"/>
  <c r="AE1020" i="3" s="1"/>
  <c r="R450" i="3"/>
  <c r="AE451" i="3" s="1"/>
  <c r="R430" i="3"/>
  <c r="AE431" i="3" s="1"/>
  <c r="R597" i="3"/>
  <c r="AE598" i="3" s="1"/>
  <c r="R85" i="3"/>
  <c r="AE86" i="3" s="1"/>
  <c r="R198" i="3"/>
  <c r="AE199" i="3" s="1"/>
  <c r="R726" i="3"/>
  <c r="AE727" i="3" s="1"/>
  <c r="R74" i="3"/>
  <c r="AE75" i="3" s="1"/>
  <c r="R1168" i="3"/>
  <c r="AE1169" i="3" s="1"/>
  <c r="R250" i="3"/>
  <c r="AE251" i="3" s="1"/>
  <c r="R736" i="3"/>
  <c r="AE737" i="3" s="1"/>
  <c r="R649" i="3"/>
  <c r="AE650" i="3" s="1"/>
  <c r="R896" i="3"/>
  <c r="AE897" i="3" s="1"/>
  <c r="R456" i="3"/>
  <c r="AE457" i="3" s="1"/>
  <c r="R444" i="3"/>
  <c r="AE445" i="3" s="1"/>
  <c r="R423" i="3"/>
  <c r="AE424" i="3" s="1"/>
  <c r="R1013" i="3"/>
  <c r="AE1014" i="3" s="1"/>
  <c r="R1084" i="3"/>
  <c r="AE1085" i="3" s="1"/>
  <c r="R80" i="3"/>
  <c r="AE81" i="3" s="1"/>
  <c r="R700" i="3"/>
  <c r="AE701" i="3" s="1"/>
  <c r="R561" i="3"/>
  <c r="AE562" i="3" s="1"/>
  <c r="R14" i="3"/>
  <c r="AE15" i="3" s="1"/>
  <c r="R378" i="3"/>
  <c r="AE379" i="3" s="1"/>
  <c r="R925" i="3"/>
  <c r="AE926" i="3" s="1"/>
  <c r="R418" i="3"/>
  <c r="AE419" i="3" s="1"/>
  <c r="R274" i="3"/>
  <c r="AE275" i="3" s="1"/>
  <c r="R894" i="3"/>
  <c r="AE895" i="3" s="1"/>
  <c r="R530" i="3"/>
  <c r="AE531" i="3" s="1"/>
  <c r="R856" i="3"/>
  <c r="AE857" i="3" s="1"/>
  <c r="R1145" i="3"/>
  <c r="AE1146" i="3" s="1"/>
  <c r="R765" i="3"/>
  <c r="AE766" i="3" s="1"/>
  <c r="R326" i="3"/>
  <c r="AE327" i="3" s="1"/>
  <c r="R122" i="3"/>
  <c r="AE123" i="3" s="1"/>
  <c r="R1007" i="3"/>
  <c r="AE1008" i="3" s="1"/>
  <c r="R931" i="3"/>
  <c r="AE932" i="3" s="1"/>
  <c r="R260" i="3"/>
  <c r="AE261" i="3" s="1"/>
  <c r="R589" i="3"/>
  <c r="AE590" i="3" s="1"/>
  <c r="R1096" i="3"/>
  <c r="AE1097" i="3" s="1"/>
  <c r="R256" i="3"/>
  <c r="AE257" i="3" s="1"/>
  <c r="R1120" i="3"/>
  <c r="AE1121" i="3" s="1"/>
  <c r="R1048" i="3"/>
  <c r="AE1049" i="3" s="1"/>
  <c r="R1147" i="3"/>
  <c r="AE1148" i="3" s="1"/>
  <c r="R653" i="3"/>
  <c r="AE654" i="3" s="1"/>
  <c r="R792" i="3"/>
  <c r="AE793" i="3" s="1"/>
  <c r="R723" i="3"/>
  <c r="AE724" i="3" s="1"/>
  <c r="R745" i="3"/>
  <c r="AE746" i="3" s="1"/>
  <c r="R56" i="3"/>
  <c r="AE57" i="3" s="1"/>
  <c r="R29" i="3"/>
  <c r="AE30" i="3" s="1"/>
  <c r="R49" i="3"/>
  <c r="AE50" i="3" s="1"/>
  <c r="R680" i="3"/>
  <c r="AE681" i="3" s="1"/>
  <c r="R720" i="3"/>
  <c r="AE721" i="3" s="1"/>
  <c r="R904" i="3"/>
  <c r="AE905" i="3" s="1"/>
  <c r="R1180" i="3"/>
  <c r="AE1181" i="3" s="1"/>
  <c r="R891" i="3"/>
  <c r="AE892" i="3" s="1"/>
  <c r="R52" i="3"/>
  <c r="AE53" i="3" s="1"/>
  <c r="R1015" i="3"/>
  <c r="AE1016" i="3" s="1"/>
  <c r="R729" i="3"/>
  <c r="AE730" i="3" s="1"/>
  <c r="R731" i="3"/>
  <c r="AE732" i="3" s="1"/>
  <c r="R1204" i="3"/>
  <c r="AE1205" i="3" s="1"/>
  <c r="R701" i="3"/>
  <c r="AE702" i="3" s="1"/>
  <c r="R320" i="3"/>
  <c r="AE321" i="3" s="1"/>
  <c r="R650" i="3"/>
  <c r="AE651" i="3" s="1"/>
  <c r="R1135" i="3"/>
  <c r="AE1136" i="3" s="1"/>
  <c r="R1029" i="3"/>
  <c r="AE1030" i="3" s="1"/>
  <c r="R936" i="3"/>
  <c r="AE937" i="3" s="1"/>
  <c r="R981" i="3"/>
  <c r="AE982" i="3" s="1"/>
  <c r="R1044" i="3"/>
  <c r="AE1045" i="3" s="1"/>
  <c r="R875" i="3"/>
  <c r="AE876" i="3" s="1"/>
  <c r="R808" i="3"/>
  <c r="AE809" i="3" s="1"/>
  <c r="R984" i="3"/>
  <c r="AE985" i="3" s="1"/>
  <c r="R218" i="3"/>
  <c r="AE219" i="3" s="1"/>
  <c r="R215" i="3"/>
  <c r="AE216" i="3" s="1"/>
  <c r="R382" i="3"/>
  <c r="AE383" i="3" s="1"/>
  <c r="R1149" i="3"/>
  <c r="AE1150" i="3" s="1"/>
  <c r="R881" i="3"/>
  <c r="AE882" i="3" s="1"/>
  <c r="R138" i="3"/>
  <c r="AE139" i="3" s="1"/>
  <c r="R410" i="3"/>
  <c r="AE411" i="3" s="1"/>
  <c r="R795" i="3"/>
  <c r="AE796" i="3" s="1"/>
  <c r="R1171" i="3"/>
  <c r="AE1172" i="3" s="1"/>
  <c r="R656" i="3"/>
  <c r="AE657" i="3" s="1"/>
  <c r="R477" i="3"/>
  <c r="AE478" i="3" s="1"/>
  <c r="R103" i="3"/>
  <c r="AE104" i="3" s="1"/>
  <c r="R661" i="3"/>
  <c r="AE662" i="3" s="1"/>
  <c r="R149" i="3"/>
  <c r="AE150" i="3" s="1"/>
  <c r="R753" i="3"/>
  <c r="AE754" i="3" s="1"/>
  <c r="R607" i="3"/>
  <c r="AE608" i="3" s="1"/>
  <c r="R262" i="3"/>
  <c r="AE263" i="3" s="1"/>
  <c r="R359" i="3"/>
  <c r="AE360" i="3" s="1"/>
  <c r="R688" i="3"/>
  <c r="AE689" i="3" s="1"/>
  <c r="R1062" i="3"/>
  <c r="AE1063" i="3" s="1"/>
  <c r="R152" i="3"/>
  <c r="AE153" i="3" s="1"/>
  <c r="R1176" i="3"/>
  <c r="AE1177" i="3" s="1"/>
  <c r="R392" i="3"/>
  <c r="AE393" i="3" s="1"/>
  <c r="R426" i="3"/>
  <c r="AE427" i="3" s="1"/>
  <c r="R130" i="3"/>
  <c r="AE131" i="3" s="1"/>
  <c r="R304" i="3"/>
  <c r="AE305" i="3" s="1"/>
  <c r="R704" i="3"/>
  <c r="AE705" i="3" s="1"/>
  <c r="R544" i="3"/>
  <c r="AE545" i="3" s="1"/>
  <c r="R806" i="3"/>
  <c r="AE807" i="3" s="1"/>
  <c r="R1104" i="3"/>
  <c r="AE1105" i="3" s="1"/>
  <c r="R860" i="3"/>
  <c r="AE861" i="3" s="1"/>
  <c r="R568" i="3"/>
  <c r="AE569" i="3" s="1"/>
  <c r="R533" i="3"/>
  <c r="AE534" i="3" s="1"/>
  <c r="R768" i="3"/>
  <c r="AE769" i="3" s="1"/>
  <c r="R328" i="3"/>
  <c r="AE329" i="3" s="1"/>
  <c r="R316" i="3"/>
  <c r="AE317" i="3" s="1"/>
  <c r="R779" i="3"/>
  <c r="AE780" i="3" s="1"/>
  <c r="R498" i="3"/>
  <c r="AE499" i="3" s="1"/>
  <c r="R640" i="3"/>
  <c r="AE641" i="3" s="1"/>
  <c r="R116" i="3"/>
  <c r="AE117" i="3" s="1"/>
  <c r="R95" i="3"/>
  <c r="AE96" i="3" s="1"/>
  <c r="R764" i="3"/>
  <c r="AE765" i="3" s="1"/>
  <c r="R1139" i="3"/>
  <c r="AE1140" i="3" s="1"/>
  <c r="R624" i="3"/>
  <c r="AE625" i="3" s="1"/>
  <c r="R113" i="3"/>
  <c r="AE114" i="3" s="1"/>
  <c r="R1049" i="3"/>
  <c r="AE1050" i="3" s="1"/>
  <c r="R246" i="3"/>
  <c r="AE247" i="3" s="1"/>
  <c r="R413" i="3"/>
  <c r="AE414" i="3" s="1"/>
  <c r="R508" i="3"/>
  <c r="AE509" i="3" s="1"/>
  <c r="R995" i="3"/>
  <c r="AE996" i="3" s="1"/>
  <c r="R376" i="3"/>
  <c r="AE377" i="3" s="1"/>
  <c r="R272" i="3"/>
  <c r="AE273" i="3" s="1"/>
  <c r="R552" i="3"/>
  <c r="AE553" i="3" s="1"/>
  <c r="R483" i="3"/>
  <c r="AE484" i="3" s="1"/>
  <c r="R362" i="3"/>
  <c r="AE363" i="3" s="1"/>
  <c r="R634" i="3"/>
  <c r="AE635" i="3" s="1"/>
  <c r="R1102" i="3"/>
  <c r="AE1103" i="3" s="1"/>
  <c r="R934" i="3"/>
  <c r="AE935" i="3" s="1"/>
  <c r="R787" i="3"/>
  <c r="AE788" i="3" s="1"/>
  <c r="R506" i="3"/>
  <c r="AE507" i="3" s="1"/>
  <c r="R637" i="3"/>
  <c r="AE638" i="3" s="1"/>
  <c r="R48" i="3"/>
  <c r="AE49" i="3" s="1"/>
  <c r="R1213" i="3"/>
  <c r="R1043" i="3"/>
  <c r="AE1044" i="3" s="1"/>
  <c r="R851" i="3"/>
  <c r="AE852" i="3" s="1"/>
  <c r="R1160" i="3"/>
  <c r="AE1161" i="3" s="1"/>
  <c r="R1032" i="3"/>
  <c r="AE1033" i="3" s="1"/>
  <c r="R888" i="3"/>
  <c r="AE889" i="3" s="1"/>
  <c r="R968" i="3"/>
  <c r="AE969" i="3" s="1"/>
  <c r="R962" i="3"/>
  <c r="AE963" i="3" s="1"/>
  <c r="R355" i="3"/>
  <c r="AE356" i="3" s="1"/>
  <c r="R1052" i="3"/>
  <c r="AE1053" i="3" s="1"/>
  <c r="R70" i="3"/>
  <c r="AE71" i="3" s="1"/>
  <c r="R454" i="3"/>
  <c r="AE455" i="3" s="1"/>
  <c r="R817" i="3"/>
  <c r="AE818" i="3" s="1"/>
  <c r="R816" i="3"/>
  <c r="AE817" i="3" s="1"/>
  <c r="R264" i="3"/>
  <c r="AE265" i="3" s="1"/>
  <c r="R230" i="3"/>
  <c r="AE231" i="3" s="1"/>
  <c r="R231" i="3"/>
  <c r="AE232" i="3" s="1"/>
  <c r="H9" i="3"/>
  <c r="G9" i="3"/>
  <c r="H17" i="3"/>
  <c r="G17" i="3"/>
  <c r="R1125" i="3"/>
  <c r="AE1126" i="3" s="1"/>
  <c r="H21" i="3"/>
  <c r="G21" i="3"/>
  <c r="H18" i="3"/>
  <c r="G18" i="3"/>
  <c r="R693" i="3"/>
  <c r="AE694" i="3" s="1"/>
  <c r="R1024" i="3"/>
  <c r="AE1025" i="3" s="1"/>
  <c r="R1004" i="3"/>
  <c r="AE1005" i="3" s="1"/>
  <c r="R24" i="3"/>
  <c r="AE25" i="3" s="1"/>
  <c r="R761" i="3"/>
  <c r="AE762" i="3" s="1"/>
  <c r="H22" i="3"/>
  <c r="G22" i="3"/>
  <c r="R564" i="3"/>
  <c r="AE565" i="3" s="1"/>
  <c r="R778" i="3"/>
  <c r="AE779" i="3" s="1"/>
  <c r="R397" i="3"/>
  <c r="AE398" i="3" s="1"/>
  <c r="R68" i="3"/>
  <c r="AE69" i="3" s="1"/>
  <c r="R349" i="3"/>
  <c r="AE350" i="3" s="1"/>
  <c r="R715" i="3"/>
  <c r="AE716" i="3" s="1"/>
  <c r="R188" i="3"/>
  <c r="AE189" i="3" s="1"/>
  <c r="G16" i="3"/>
  <c r="H16" i="3"/>
  <c r="G14" i="3"/>
  <c r="H14" i="3"/>
  <c r="R920" i="3"/>
  <c r="AE921" i="3" s="1"/>
  <c r="R330" i="3"/>
  <c r="AE331" i="3" s="1"/>
  <c r="R394" i="3"/>
  <c r="AE395" i="3" s="1"/>
  <c r="R1056" i="3"/>
  <c r="AE1057" i="3" s="1"/>
  <c r="R560" i="3"/>
  <c r="AE561" i="3" s="1"/>
  <c r="R917" i="3"/>
  <c r="AE918" i="3" s="1"/>
  <c r="R400" i="3"/>
  <c r="AE401" i="3" s="1"/>
  <c r="R405" i="3"/>
  <c r="AE406" i="3" s="1"/>
  <c r="R252" i="3"/>
  <c r="AE253" i="3" s="1"/>
  <c r="R699" i="3"/>
  <c r="AE700" i="3" s="1"/>
  <c r="H12" i="3"/>
  <c r="G12" i="3"/>
  <c r="G23" i="3"/>
  <c r="H23" i="3"/>
  <c r="H19" i="3"/>
  <c r="G19" i="3"/>
  <c r="H20" i="3"/>
  <c r="G20" i="3"/>
  <c r="H11" i="3"/>
  <c r="G11" i="3"/>
  <c r="G10" i="3"/>
  <c r="H13" i="3"/>
  <c r="G13" i="3"/>
  <c r="H15" i="3"/>
  <c r="G15" i="3"/>
  <c r="R35" i="3"/>
  <c r="AE36" i="3" s="1"/>
  <c r="R280" i="3"/>
  <c r="AE281" i="3" s="1"/>
  <c r="R644" i="3"/>
  <c r="AE645" i="3" s="1"/>
  <c r="R112" i="3"/>
  <c r="AE113" i="3" s="1"/>
  <c r="R1045" i="3"/>
  <c r="AE1046" i="3" s="1"/>
  <c r="R282" i="3"/>
  <c r="AE283" i="3" s="1"/>
  <c r="R742" i="3"/>
  <c r="AE743" i="3" s="1"/>
  <c r="R461" i="3"/>
  <c r="AE462" i="3" s="1"/>
  <c r="R876" i="3"/>
  <c r="AE877" i="3" s="1"/>
  <c r="R514" i="3"/>
  <c r="AE515" i="3" s="1"/>
  <c r="R613" i="3"/>
  <c r="AE614" i="3" s="1"/>
  <c r="R606" i="3"/>
  <c r="AE607" i="3" s="1"/>
  <c r="R1155" i="3"/>
  <c r="AE1156" i="3" s="1"/>
  <c r="R1094" i="3"/>
  <c r="AE1095" i="3" s="1"/>
  <c r="R780" i="3"/>
  <c r="AE781" i="3" s="1"/>
  <c r="R628" i="3"/>
  <c r="AE629" i="3" s="1"/>
  <c r="R740" i="3"/>
  <c r="AE741" i="3" s="1"/>
  <c r="R953" i="3"/>
  <c r="AE954" i="3" s="1"/>
  <c r="R912" i="3"/>
  <c r="AE913" i="3" s="1"/>
  <c r="R796" i="3"/>
  <c r="AE797" i="3" s="1"/>
  <c r="R452" i="3"/>
  <c r="AE453" i="3" s="1"/>
  <c r="R424" i="3"/>
  <c r="AE425" i="3" s="1"/>
  <c r="R615" i="3"/>
  <c r="AE616" i="3" s="1"/>
  <c r="R763" i="3"/>
  <c r="AE764" i="3" s="1"/>
  <c r="R132" i="3"/>
  <c r="AE133" i="3" s="1"/>
  <c r="R1088" i="3"/>
  <c r="AE1089" i="3" s="1"/>
  <c r="R600" i="3"/>
  <c r="AE601" i="3" s="1"/>
  <c r="R1190" i="3"/>
  <c r="AE1191" i="3" s="1"/>
  <c r="R733" i="3"/>
  <c r="AE734" i="3" s="1"/>
  <c r="R295" i="3"/>
  <c r="AE296" i="3" s="1"/>
  <c r="R441" i="3"/>
  <c r="AE442" i="3" s="1"/>
  <c r="R584" i="3"/>
  <c r="AE585" i="3" s="1"/>
  <c r="R72" i="3"/>
  <c r="AE73" i="3" s="1"/>
  <c r="R1211" i="3"/>
  <c r="AE1212" i="3" s="1"/>
  <c r="R351" i="3"/>
  <c r="AE352" i="3" s="1"/>
  <c r="R157" i="3"/>
  <c r="AE158" i="3" s="1"/>
  <c r="R557" i="3"/>
  <c r="AE558" i="3" s="1"/>
  <c r="R1137" i="3"/>
  <c r="AE1138" i="3" s="1"/>
  <c r="R960" i="3"/>
  <c r="AE961" i="3" s="1"/>
  <c r="R464" i="3"/>
  <c r="AE465" i="3" s="1"/>
  <c r="R697" i="3"/>
  <c r="AE698" i="3" s="1"/>
  <c r="R899" i="3"/>
  <c r="AE900" i="3" s="1"/>
  <c r="R1009" i="3"/>
  <c r="AE1010" i="3" s="1"/>
  <c r="R184" i="3"/>
  <c r="AE185" i="3" s="1"/>
  <c r="R23" i="3"/>
  <c r="AE24" i="3" s="1"/>
  <c r="R538" i="3"/>
  <c r="AE539" i="3" s="1"/>
  <c r="R46" i="3"/>
  <c r="AE47" i="3" s="1"/>
  <c r="R213" i="3"/>
  <c r="AE214" i="3" s="1"/>
  <c r="R344" i="3"/>
  <c r="AE345" i="3" s="1"/>
  <c r="R1148" i="3"/>
  <c r="AE1149" i="3" s="1"/>
  <c r="R1054" i="3"/>
  <c r="AE1055" i="3" s="1"/>
  <c r="R1068" i="3"/>
  <c r="AE1069" i="3" s="1"/>
  <c r="R372" i="3"/>
  <c r="AE373" i="3" s="1"/>
  <c r="R227" i="3"/>
  <c r="AE228" i="3" s="1"/>
  <c r="R1113" i="3"/>
  <c r="AE1114" i="3" s="1"/>
  <c r="R535" i="3"/>
  <c r="AE536" i="3" s="1"/>
  <c r="R26" i="3"/>
  <c r="AE27" i="3" s="1"/>
  <c r="R739" i="3"/>
  <c r="AE740" i="3" s="1"/>
  <c r="R849" i="3"/>
  <c r="AE850" i="3" s="1"/>
  <c r="R42" i="3"/>
  <c r="AE43" i="3" s="1"/>
  <c r="R1163" i="3"/>
  <c r="AE1164" i="3" s="1"/>
  <c r="R732" i="3"/>
  <c r="AE733" i="3" s="1"/>
  <c r="R202" i="3"/>
  <c r="AE203" i="3" s="1"/>
  <c r="R682" i="3"/>
  <c r="AE683" i="3" s="1"/>
  <c r="R170" i="3"/>
  <c r="AE171" i="3" s="1"/>
  <c r="R902" i="3"/>
  <c r="AE903" i="3" s="1"/>
  <c r="R448" i="3"/>
  <c r="AE449" i="3" s="1"/>
  <c r="R1051" i="3"/>
  <c r="AE1052" i="3" s="1"/>
  <c r="R415" i="3"/>
  <c r="AE416" i="3" s="1"/>
  <c r="R380" i="3"/>
  <c r="AE381" i="3" s="1"/>
  <c r="R398" i="3"/>
  <c r="AE399" i="3" s="1"/>
  <c r="R565" i="3"/>
  <c r="AE566" i="3" s="1"/>
  <c r="R621" i="3"/>
  <c r="AE622" i="3" s="1"/>
  <c r="R784" i="3"/>
  <c r="AE785" i="3" s="1"/>
  <c r="R248" i="3"/>
  <c r="AE249" i="3" s="1"/>
  <c r="R747" i="3"/>
  <c r="AE748" i="3" s="1"/>
  <c r="R602" i="3"/>
  <c r="AE603" i="3" s="1"/>
  <c r="R90" i="3"/>
  <c r="AE91" i="3" s="1"/>
  <c r="R1107" i="3"/>
  <c r="AE1108" i="3" s="1"/>
  <c r="R277" i="3"/>
  <c r="AE278" i="3" s="1"/>
  <c r="R848" i="3"/>
  <c r="AE849" i="3" s="1"/>
  <c r="R1112" i="3"/>
  <c r="AE1113" i="3" s="1"/>
  <c r="R921" i="3"/>
  <c r="AE922" i="3" s="1"/>
  <c r="R285" i="3"/>
  <c r="AE286" i="3" s="1"/>
  <c r="R99" i="3"/>
  <c r="AE100" i="3" s="1"/>
  <c r="R812" i="3"/>
  <c r="AE813" i="3" s="1"/>
  <c r="R1093" i="3"/>
  <c r="AE1094" i="3" s="1"/>
  <c r="R536" i="3"/>
  <c r="AE537" i="3" s="1"/>
  <c r="R1078" i="3"/>
  <c r="AE1079" i="3" s="1"/>
  <c r="R386" i="3"/>
  <c r="AE387" i="3" s="1"/>
  <c r="R516" i="3"/>
  <c r="AE517" i="3" s="1"/>
  <c r="R852" i="3"/>
  <c r="AE853" i="3" s="1"/>
  <c r="R972" i="3"/>
  <c r="AE973" i="3" s="1"/>
  <c r="R825" i="3"/>
  <c r="AE826" i="3" s="1"/>
  <c r="R570" i="3"/>
  <c r="AE571" i="3" s="1"/>
  <c r="R58" i="3"/>
  <c r="AE59" i="3" s="1"/>
  <c r="R200" i="3"/>
  <c r="AE201" i="3" s="1"/>
  <c r="R594" i="3"/>
  <c r="AE595" i="3" s="1"/>
  <c r="R679" i="3"/>
  <c r="AE680" i="3" s="1"/>
  <c r="R334" i="3"/>
  <c r="AE335" i="3" s="1"/>
  <c r="R979" i="3"/>
  <c r="AE980" i="3" s="1"/>
  <c r="R60" i="3"/>
  <c r="AE61" i="3" s="1"/>
  <c r="R312" i="3"/>
  <c r="AE313" i="3" s="1"/>
  <c r="R134" i="3"/>
  <c r="AE135" i="3" s="1"/>
  <c r="R1011" i="3"/>
  <c r="AE1012" i="3" s="1"/>
  <c r="R956" i="3"/>
  <c r="AE957" i="3" s="1"/>
  <c r="R18" i="3"/>
  <c r="AE19" i="3" s="1"/>
  <c r="R666" i="3"/>
  <c r="AE667" i="3" s="1"/>
  <c r="R154" i="3"/>
  <c r="AE155" i="3" s="1"/>
  <c r="R629" i="3"/>
  <c r="AE630" i="3" s="1"/>
  <c r="R118" i="3"/>
  <c r="AE119" i="3" s="1"/>
  <c r="R518" i="3"/>
  <c r="AE519" i="3" s="1"/>
  <c r="R174" i="3"/>
  <c r="AE175" i="3" s="1"/>
  <c r="R341" i="3"/>
  <c r="AE342" i="3" s="1"/>
  <c r="R805" i="3"/>
  <c r="AE806" i="3" s="1"/>
  <c r="R543" i="3"/>
  <c r="AE544" i="3" s="1"/>
  <c r="R515" i="3"/>
  <c r="AE516" i="3" s="1"/>
  <c r="R721" i="3"/>
  <c r="AE722" i="3" s="1"/>
  <c r="R1162" i="3"/>
  <c r="AE1163" i="3" s="1"/>
  <c r="R1041" i="3"/>
  <c r="AE1042" i="3" s="1"/>
  <c r="R868" i="3"/>
  <c r="AE869" i="3" s="1"/>
  <c r="R432" i="3"/>
  <c r="AE433" i="3" s="1"/>
  <c r="R458" i="3"/>
  <c r="AE459" i="3" s="1"/>
  <c r="R803" i="3"/>
  <c r="AE804" i="3" s="1"/>
  <c r="R1132" i="3"/>
  <c r="AE1133" i="3" s="1"/>
  <c r="R1072" i="3"/>
  <c r="AE1073" i="3" s="1"/>
  <c r="R645" i="3"/>
  <c r="AE646" i="3" s="1"/>
  <c r="R1067" i="3"/>
  <c r="AE1068" i="3" s="1"/>
  <c r="R487" i="3"/>
  <c r="AE488" i="3" s="1"/>
  <c r="R324" i="3"/>
  <c r="AE325" i="3" s="1"/>
  <c r="R718" i="3"/>
  <c r="AE719" i="3" s="1"/>
  <c r="R1169" i="3"/>
  <c r="AE1170" i="3" s="1"/>
  <c r="R760" i="3"/>
  <c r="AE761" i="3" s="1"/>
  <c r="R755" i="3"/>
  <c r="AE756" i="3" s="1"/>
  <c r="R469" i="3"/>
  <c r="AE470" i="3" s="1"/>
  <c r="R120" i="3"/>
  <c r="AE121" i="3" s="1"/>
  <c r="R658" i="3"/>
  <c r="AE659" i="3" s="1"/>
  <c r="R632" i="3"/>
  <c r="AE633" i="3" s="1"/>
  <c r="R1158" i="3"/>
  <c r="AE1159" i="3" s="1"/>
  <c r="R417" i="3"/>
  <c r="AE418" i="3" s="1"/>
  <c r="R998" i="3"/>
  <c r="AE999" i="3" s="1"/>
  <c r="R976" i="3"/>
  <c r="AE977" i="3" s="1"/>
  <c r="R234" i="3"/>
  <c r="AE235" i="3" s="1"/>
  <c r="R1027" i="3"/>
  <c r="AE1028" i="3" s="1"/>
  <c r="R1110" i="3"/>
  <c r="AE1111" i="3" s="1"/>
  <c r="R924" i="3"/>
  <c r="AE925" i="3" s="1"/>
  <c r="R916" i="3"/>
  <c r="AE917" i="3" s="1"/>
  <c r="R636" i="3"/>
  <c r="AE637" i="3" s="1"/>
  <c r="R965" i="3"/>
  <c r="AE966" i="3" s="1"/>
  <c r="R611" i="3"/>
  <c r="AE612" i="3" s="1"/>
  <c r="R1026" i="3"/>
  <c r="AE1027" i="3" s="1"/>
  <c r="R1115" i="3"/>
  <c r="AE1116" i="3" s="1"/>
  <c r="R599" i="3"/>
  <c r="AE600" i="3" s="1"/>
  <c r="R87" i="3"/>
  <c r="AE88" i="3" s="1"/>
  <c r="R254" i="3"/>
  <c r="AE255" i="3" s="1"/>
  <c r="R269" i="3"/>
  <c r="AE270" i="3" s="1"/>
  <c r="R436" i="3"/>
  <c r="AE437" i="3" s="1"/>
  <c r="R928" i="3"/>
  <c r="AE929" i="3" s="1"/>
  <c r="R1064" i="3"/>
  <c r="AE1065" i="3" s="1"/>
  <c r="R1081" i="3"/>
  <c r="AE1082" i="3" s="1"/>
  <c r="R728" i="3"/>
  <c r="AE729" i="3" s="1"/>
  <c r="R287" i="3"/>
  <c r="AE288" i="3" s="1"/>
  <c r="R124" i="3"/>
  <c r="AE125" i="3" s="1"/>
  <c r="R797" i="3"/>
  <c r="AE798" i="3" s="1"/>
  <c r="R433" i="3"/>
  <c r="AE434" i="3" s="1"/>
  <c r="R862" i="3"/>
  <c r="AE863" i="3" s="1"/>
  <c r="R940" i="3"/>
  <c r="AE941" i="3" s="1"/>
  <c r="R709" i="3"/>
  <c r="AE710" i="3" s="1"/>
  <c r="R1035" i="3"/>
  <c r="AE1036" i="3" s="1"/>
  <c r="R974" i="3"/>
  <c r="AE975" i="3" s="1"/>
  <c r="R1099" i="3"/>
  <c r="AE1100" i="3" s="1"/>
  <c r="R1177" i="3"/>
  <c r="AE1178" i="3" s="1"/>
  <c r="R1000" i="3"/>
  <c r="AE1001" i="3" s="1"/>
  <c r="R526" i="3"/>
  <c r="AE527" i="3" s="1"/>
  <c r="R592" i="3"/>
  <c r="AE593" i="3" s="1"/>
  <c r="R724" i="3"/>
  <c r="AE725" i="3" s="1"/>
  <c r="R462" i="3"/>
  <c r="AE463" i="3" s="1"/>
  <c r="R947" i="3"/>
  <c r="AE948" i="3" s="1"/>
  <c r="R64" i="3"/>
  <c r="AE65" i="3" s="1"/>
  <c r="R31" i="3"/>
  <c r="AE32" i="3" s="1"/>
  <c r="R266" i="3"/>
  <c r="AE267" i="3" s="1"/>
  <c r="R987" i="3"/>
  <c r="AE988" i="3" s="1"/>
  <c r="R167" i="3"/>
  <c r="AE168" i="3" s="1"/>
  <c r="R159" i="3"/>
  <c r="AE160" i="3" s="1"/>
  <c r="R466" i="3"/>
  <c r="AE467" i="3" s="1"/>
  <c r="R471" i="3"/>
  <c r="AE472" i="3" s="1"/>
  <c r="R126" i="3"/>
  <c r="AE127" i="3" s="1"/>
  <c r="R141" i="3"/>
  <c r="AE142" i="3" s="1"/>
  <c r="R308" i="3"/>
  <c r="AE309" i="3" s="1"/>
  <c r="R586" i="3"/>
  <c r="AE587" i="3" s="1"/>
  <c r="R161" i="3"/>
  <c r="AE162" i="3" s="1"/>
  <c r="R339" i="3"/>
  <c r="AE340" i="3" s="1"/>
  <c r="R38" i="3"/>
  <c r="AE39" i="3" s="1"/>
  <c r="R1194" i="3"/>
  <c r="AE1195" i="3" s="1"/>
  <c r="R706" i="3"/>
  <c r="AE707" i="3" s="1"/>
  <c r="R830" i="3"/>
  <c r="AE831" i="3" s="1"/>
  <c r="R971" i="3"/>
  <c r="AE972" i="3" s="1"/>
  <c r="R977" i="3"/>
  <c r="AE978" i="3" s="1"/>
  <c r="R1085" i="3"/>
  <c r="AE1086" i="3" s="1"/>
  <c r="R879" i="3"/>
  <c r="AE880" i="3" s="1"/>
  <c r="R773" i="3"/>
  <c r="AE774" i="3" s="1"/>
  <c r="R1184" i="3"/>
  <c r="AE1185" i="3" s="1"/>
  <c r="R1091" i="3"/>
  <c r="AE1092" i="3" s="1"/>
  <c r="R1192" i="3"/>
  <c r="AE1193" i="3" s="1"/>
  <c r="R1157" i="3"/>
  <c r="AE1158" i="3" s="1"/>
  <c r="R106" i="3"/>
  <c r="AE107" i="3" s="1"/>
  <c r="R1172" i="3"/>
  <c r="AE1173" i="3" s="1"/>
  <c r="R827" i="3"/>
  <c r="AE828" i="3" s="1"/>
  <c r="R695" i="3"/>
  <c r="AE696" i="3" s="1"/>
  <c r="R206" i="3"/>
  <c r="AE207" i="3" s="1"/>
  <c r="R883" i="3"/>
  <c r="AE884" i="3" s="1"/>
  <c r="R291" i="3"/>
  <c r="AE292" i="3" s="1"/>
  <c r="R194" i="3"/>
  <c r="AE195" i="3" s="1"/>
  <c r="R580" i="3"/>
  <c r="AE581" i="3" s="1"/>
  <c r="R528" i="3"/>
  <c r="AE529" i="3" s="1"/>
  <c r="R923" i="3"/>
  <c r="AE924" i="3" s="1"/>
  <c r="R582" i="3"/>
  <c r="AE583" i="3" s="1"/>
  <c r="R407" i="3"/>
  <c r="AE408" i="3" s="1"/>
  <c r="R62" i="3"/>
  <c r="AE63" i="3" s="1"/>
  <c r="R77" i="3"/>
  <c r="AE78" i="3" s="1"/>
  <c r="R244" i="3"/>
  <c r="AE245" i="3" s="1"/>
  <c r="R438" i="3"/>
  <c r="AE439" i="3" s="1"/>
  <c r="R238" i="3"/>
  <c r="AE239" i="3" s="1"/>
  <c r="R486" i="3"/>
  <c r="AE487" i="3" s="1"/>
  <c r="R789" i="3"/>
  <c r="AE790" i="3" s="1"/>
  <c r="R824" i="3"/>
  <c r="AE825" i="3" s="1"/>
  <c r="R950" i="3"/>
  <c r="AE951" i="3" s="1"/>
  <c r="R1109" i="3"/>
  <c r="AE1110" i="3" s="1"/>
  <c r="R1006" i="3"/>
  <c r="AE1007" i="3" s="1"/>
  <c r="R190" i="3"/>
  <c r="AE191" i="3" s="1"/>
  <c r="R988" i="3"/>
  <c r="AE989" i="3" s="1"/>
  <c r="R1174" i="3"/>
  <c r="AE1175" i="3" s="1"/>
  <c r="R992" i="3"/>
  <c r="AE993" i="3" s="1"/>
  <c r="R842" i="3"/>
  <c r="AE843" i="3" s="1"/>
  <c r="R821" i="3"/>
  <c r="AE822" i="3" s="1"/>
  <c r="R21" i="3"/>
  <c r="AE22" i="3" s="1"/>
  <c r="R982" i="3"/>
  <c r="AE983" i="3" s="1"/>
  <c r="R844" i="3"/>
  <c r="AE845" i="3" s="1"/>
  <c r="R793" i="3"/>
  <c r="AE794" i="3" s="1"/>
  <c r="R1040" i="3"/>
  <c r="AE1041" i="3" s="1"/>
  <c r="R472" i="3"/>
  <c r="AE473" i="3" s="1"/>
  <c r="R168" i="3"/>
  <c r="AE169" i="3" s="1"/>
  <c r="R958" i="3"/>
  <c r="AE959" i="3" s="1"/>
  <c r="R943" i="3"/>
  <c r="AE944" i="3" s="1"/>
  <c r="R1038" i="3"/>
  <c r="AE1039" i="3" s="1"/>
  <c r="R522" i="3"/>
  <c r="AE523" i="3" s="1"/>
  <c r="R1131" i="3"/>
  <c r="AE1132" i="3" s="1"/>
  <c r="R496" i="3"/>
  <c r="AE497" i="3" s="1"/>
  <c r="R210" i="3"/>
  <c r="AE211" i="3" s="1"/>
  <c r="R233" i="3"/>
  <c r="AE234" i="3" s="1"/>
  <c r="R354" i="3"/>
  <c r="AE355" i="3" s="1"/>
  <c r="R609" i="3"/>
  <c r="AE610" i="3" s="1"/>
  <c r="R587" i="3"/>
  <c r="AE588" i="3" s="1"/>
  <c r="R1152" i="3"/>
  <c r="AE1153" i="3" s="1"/>
  <c r="R1030" i="3"/>
  <c r="AE1031" i="3" s="1"/>
  <c r="R751" i="3"/>
  <c r="AE752" i="3" s="1"/>
  <c r="R298" i="3"/>
  <c r="AE299" i="3" s="1"/>
  <c r="R819" i="3"/>
  <c r="AE820" i="3" s="1"/>
  <c r="R422" i="3"/>
  <c r="AE423" i="3" s="1"/>
  <c r="R710" i="3"/>
  <c r="AE711" i="3" s="1"/>
  <c r="R941" i="3"/>
  <c r="AE942" i="3" s="1"/>
  <c r="R185" i="3"/>
  <c r="AE186" i="3" s="1"/>
  <c r="R573" i="3"/>
  <c r="AE574" i="3" s="1"/>
  <c r="R1201" i="3"/>
  <c r="AE1202" i="3" s="1"/>
  <c r="R314" i="3"/>
  <c r="AE315" i="3" s="1"/>
  <c r="R136" i="3"/>
  <c r="AE137" i="3" s="1"/>
  <c r="R221" i="3"/>
  <c r="AE222" i="3" s="1"/>
  <c r="R1077" i="3"/>
  <c r="AE1078" i="3" s="1"/>
  <c r="R242" i="3"/>
  <c r="AE243" i="3" s="1"/>
  <c r="R446" i="3"/>
  <c r="AE447" i="3" s="1"/>
  <c r="R512" i="3"/>
  <c r="AE513" i="3" s="1"/>
  <c r="R481" i="3"/>
  <c r="AE482" i="3" s="1"/>
  <c r="R310" i="3"/>
  <c r="AE311" i="3" s="1"/>
  <c r="R147" i="3"/>
  <c r="AE148" i="3" s="1"/>
  <c r="R402" i="3"/>
  <c r="AE403" i="3" s="1"/>
  <c r="R110" i="3"/>
  <c r="AE111" i="3" s="1"/>
  <c r="R17" i="3"/>
  <c r="AE18" i="3" s="1"/>
  <c r="R358" i="3"/>
  <c r="AE359" i="3" s="1"/>
  <c r="R352" i="3"/>
  <c r="AE353" i="3" s="1"/>
  <c r="R840" i="3"/>
  <c r="AE841" i="3" s="1"/>
  <c r="R1001" i="3"/>
  <c r="AE1002" i="3" s="1"/>
  <c r="R980" i="3"/>
  <c r="AE981" i="3" s="1"/>
  <c r="R892" i="3"/>
  <c r="AE893" i="3" s="1"/>
  <c r="R834" i="3"/>
  <c r="AE835" i="3" s="1"/>
  <c r="R685" i="3"/>
  <c r="AE686" i="3" s="1"/>
  <c r="R1034" i="3"/>
  <c r="AE1035" i="3" s="1"/>
  <c r="R551" i="3"/>
  <c r="AE552" i="3" s="1"/>
  <c r="R388" i="3"/>
  <c r="AE389" i="3" s="1"/>
  <c r="R1179" i="3"/>
  <c r="AE1180" i="3" s="1"/>
  <c r="R663" i="3"/>
  <c r="AE664" i="3" s="1"/>
  <c r="R151" i="3"/>
  <c r="AE152" i="3" s="1"/>
  <c r="R318" i="3"/>
  <c r="AE319" i="3" s="1"/>
  <c r="R333" i="3"/>
  <c r="AE334" i="3" s="1"/>
  <c r="R500" i="3"/>
  <c r="AE501" i="3" s="1"/>
  <c r="R674" i="3"/>
  <c r="AE675" i="3" s="1"/>
  <c r="R846" i="3"/>
  <c r="AE847" i="3" s="1"/>
  <c r="R1100" i="3"/>
  <c r="AE1101" i="3" s="1"/>
  <c r="R861" i="3"/>
  <c r="AE862" i="3" s="1"/>
  <c r="R474" i="3"/>
  <c r="AE475" i="3" s="1"/>
  <c r="R142" i="3"/>
  <c r="AE143" i="3" s="1"/>
  <c r="R948" i="3"/>
  <c r="AE949" i="3" s="1"/>
  <c r="R467" i="3"/>
  <c r="AE468" i="3" s="1"/>
  <c r="R322" i="3"/>
  <c r="AE323" i="3" s="1"/>
  <c r="R166" i="3"/>
  <c r="AE167" i="3" s="1"/>
  <c r="R384" i="3"/>
  <c r="AE385" i="3" s="1"/>
  <c r="R449" i="3"/>
  <c r="AE450" i="3" s="1"/>
  <c r="R627" i="3"/>
  <c r="AE628" i="3" s="1"/>
  <c r="R336" i="3"/>
  <c r="AE337" i="3" s="1"/>
  <c r="R1197" i="3"/>
  <c r="AE1198" i="3" s="1"/>
  <c r="R867" i="3"/>
  <c r="AE868" i="3" s="1"/>
  <c r="R1128" i="3"/>
  <c r="AE1129" i="3" s="1"/>
  <c r="R162" i="3"/>
  <c r="AE163" i="3" s="1"/>
  <c r="R813" i="3"/>
  <c r="AE814" i="3" s="1"/>
  <c r="R759" i="3"/>
  <c r="AE760" i="3" s="1"/>
  <c r="R1016" i="3"/>
  <c r="AE1017" i="3" s="1"/>
  <c r="R646" i="3"/>
  <c r="AE647" i="3" s="1"/>
  <c r="R955" i="3"/>
  <c r="AE956" i="3" s="1"/>
  <c r="R39" i="3"/>
  <c r="AE40" i="3" s="1"/>
  <c r="R555" i="3"/>
  <c r="AE556" i="3" s="1"/>
  <c r="R901" i="3"/>
  <c r="AE902" i="3" s="1"/>
  <c r="R54" i="3"/>
  <c r="AE55" i="3" s="1"/>
  <c r="R66" i="3"/>
  <c r="AE67" i="3" s="1"/>
  <c r="R366" i="3"/>
  <c r="AE367" i="3" s="1"/>
  <c r="R1195" i="3"/>
  <c r="AE1196" i="3" s="1"/>
  <c r="R1153" i="3"/>
  <c r="AE1154" i="3" s="1"/>
  <c r="R869" i="3"/>
  <c r="AE870" i="3" s="1"/>
  <c r="R843" i="3"/>
  <c r="AE844" i="3" s="1"/>
  <c r="R838" i="3"/>
  <c r="AE839" i="3" s="1"/>
  <c r="R1198" i="3"/>
  <c r="AE1199" i="3" s="1"/>
  <c r="R1129" i="3"/>
  <c r="AE1130" i="3" s="1"/>
  <c r="R996" i="3"/>
  <c r="AE997" i="3" s="1"/>
  <c r="R1022" i="3"/>
  <c r="AE1023" i="3" s="1"/>
  <c r="R1142" i="3"/>
  <c r="AE1143" i="3" s="1"/>
  <c r="R1089" i="3"/>
  <c r="AE1090" i="3" s="1"/>
  <c r="R873" i="3"/>
  <c r="AE874" i="3" s="1"/>
  <c r="R918" i="3"/>
  <c r="AE919" i="3" s="1"/>
  <c r="R833" i="3"/>
  <c r="AE834" i="3" s="1"/>
  <c r="R1200" i="3"/>
  <c r="AE1201" i="3" s="1"/>
  <c r="R1150" i="3"/>
  <c r="AE1151" i="3" s="1"/>
  <c r="R296" i="3"/>
  <c r="AE297" i="3" s="1"/>
  <c r="R945" i="3"/>
  <c r="AE946" i="3" s="1"/>
  <c r="R841" i="3"/>
  <c r="AE842" i="3" s="1"/>
  <c r="R951" i="3"/>
  <c r="AE952" i="3" s="1"/>
  <c r="R299" i="3"/>
  <c r="AE300" i="3" s="1"/>
  <c r="R547" i="3"/>
  <c r="AE548" i="3" s="1"/>
  <c r="R1166" i="3"/>
  <c r="AE1167" i="3" s="1"/>
  <c r="R913" i="3"/>
  <c r="AE914" i="3" s="1"/>
  <c r="R757" i="3"/>
  <c r="AE758" i="3" s="1"/>
  <c r="R1196" i="3"/>
  <c r="AE1197" i="3" s="1"/>
  <c r="R1028" i="3"/>
  <c r="AE1029" i="3" s="1"/>
  <c r="R672" i="3"/>
  <c r="AE673" i="3" s="1"/>
  <c r="R313" i="3"/>
  <c r="AE314" i="3" s="1"/>
  <c r="R758" i="3"/>
  <c r="AE759" i="3" s="1"/>
  <c r="R750" i="3"/>
  <c r="AE751" i="3" s="1"/>
  <c r="R845" i="3"/>
  <c r="AE846" i="3" s="1"/>
  <c r="R1033" i="3"/>
  <c r="AE1034" i="3" s="1"/>
  <c r="R820" i="3"/>
  <c r="AE821" i="3" s="1"/>
  <c r="R683" i="3"/>
  <c r="AE684" i="3" s="1"/>
  <c r="R562" i="3"/>
  <c r="AE563" i="3" s="1"/>
  <c r="R675" i="3"/>
  <c r="AE676" i="3" s="1"/>
  <c r="R954" i="3"/>
  <c r="AE955" i="3" s="1"/>
  <c r="R1127" i="3"/>
  <c r="AE1128" i="3" s="1"/>
  <c r="R297" i="3"/>
  <c r="AE298" i="3" s="1"/>
  <c r="R638" i="3"/>
  <c r="AE639" i="3" s="1"/>
  <c r="R475" i="3"/>
  <c r="AE476" i="3" s="1"/>
  <c r="R818" i="3"/>
  <c r="AE819" i="3" s="1"/>
  <c r="R991" i="3"/>
  <c r="AE992" i="3" s="1"/>
  <c r="R673" i="3"/>
  <c r="AE674" i="3" s="1"/>
  <c r="R335" i="3"/>
  <c r="AE336" i="3" s="1"/>
  <c r="R502" i="3"/>
  <c r="AE503" i="3" s="1"/>
  <c r="R517" i="3"/>
  <c r="AE518" i="3" s="1"/>
  <c r="R684" i="3"/>
  <c r="AE685" i="3" s="1"/>
  <c r="R172" i="3"/>
  <c r="AE173" i="3" s="1"/>
  <c r="R1130" i="3"/>
  <c r="AE1131" i="3" s="1"/>
  <c r="R480" i="3"/>
  <c r="AE481" i="3" s="1"/>
  <c r="R791" i="3"/>
  <c r="AE792" i="3" s="1"/>
  <c r="R473" i="3"/>
  <c r="AE474" i="3" s="1"/>
  <c r="R647" i="3"/>
  <c r="AE648" i="3" s="1"/>
  <c r="R135" i="3"/>
  <c r="AE136" i="3" s="1"/>
  <c r="R302" i="3"/>
  <c r="AE303" i="3" s="1"/>
  <c r="R317" i="3"/>
  <c r="AE318" i="3" s="1"/>
  <c r="R484" i="3"/>
  <c r="AE485" i="3" s="1"/>
  <c r="R651" i="3"/>
  <c r="AE652" i="3" s="1"/>
  <c r="R139" i="3"/>
  <c r="AE140" i="3" s="1"/>
  <c r="R866" i="3"/>
  <c r="AE867" i="3" s="1"/>
  <c r="R1039" i="3"/>
  <c r="AE1040" i="3" s="1"/>
  <c r="R114" i="3"/>
  <c r="AE115" i="3" s="1"/>
  <c r="R209" i="3"/>
  <c r="AE210" i="3" s="1"/>
  <c r="R383" i="3"/>
  <c r="AE384" i="3" s="1"/>
  <c r="R550" i="3"/>
  <c r="AE551" i="3" s="1"/>
  <c r="R53" i="3"/>
  <c r="AE54" i="3" s="1"/>
  <c r="R220" i="3"/>
  <c r="AE221" i="3" s="1"/>
  <c r="R387" i="3"/>
  <c r="AE388" i="3" s="1"/>
  <c r="R1178" i="3"/>
  <c r="AE1179" i="3" s="1"/>
  <c r="R626" i="3"/>
  <c r="AE627" i="3" s="1"/>
  <c r="R839" i="3"/>
  <c r="AE840" i="3" s="1"/>
  <c r="R521" i="3"/>
  <c r="AE522" i="3" s="1"/>
  <c r="R16" i="3"/>
  <c r="AE17" i="3" s="1"/>
  <c r="R183" i="3"/>
  <c r="AE184" i="3" s="1"/>
  <c r="R350" i="3"/>
  <c r="AE351" i="3" s="1"/>
  <c r="R365" i="3"/>
  <c r="AE366" i="3" s="1"/>
  <c r="R532" i="3"/>
  <c r="AE533" i="3" s="1"/>
  <c r="R20" i="3"/>
  <c r="AE21" i="3" s="1"/>
  <c r="R187" i="3"/>
  <c r="AE188" i="3" s="1"/>
  <c r="R978" i="3"/>
  <c r="AE979" i="3" s="1"/>
  <c r="R1151" i="3"/>
  <c r="AE1152" i="3" s="1"/>
  <c r="R554" i="3"/>
  <c r="AE555" i="3" s="1"/>
  <c r="R321" i="3"/>
  <c r="AE322" i="3" s="1"/>
  <c r="R495" i="3"/>
  <c r="AE496" i="3" s="1"/>
  <c r="R662" i="3"/>
  <c r="AE663" i="3" s="1"/>
  <c r="R150" i="3"/>
  <c r="AE151" i="3" s="1"/>
  <c r="R165" i="3"/>
  <c r="AE166" i="3" s="1"/>
  <c r="R332" i="3"/>
  <c r="AE333" i="3" s="1"/>
  <c r="R499" i="3"/>
  <c r="AE500" i="3" s="1"/>
  <c r="R989" i="3"/>
  <c r="AE990" i="3" s="1"/>
  <c r="R1086" i="3"/>
  <c r="AE1087" i="3" s="1"/>
  <c r="R766" i="3"/>
  <c r="AE767" i="3" s="1"/>
  <c r="R997" i="3"/>
  <c r="AE998" i="3" s="1"/>
  <c r="R801" i="3"/>
  <c r="AE802" i="3" s="1"/>
  <c r="R713" i="3"/>
  <c r="AE714" i="3" s="1"/>
  <c r="R43" i="3"/>
  <c r="AE44" i="3" s="1"/>
  <c r="R1133" i="3"/>
  <c r="AE1134" i="3" s="1"/>
  <c r="R964" i="3"/>
  <c r="AE965" i="3" s="1"/>
  <c r="R57" i="3"/>
  <c r="AE58" i="3" s="1"/>
  <c r="R1025" i="3"/>
  <c r="AE1026" i="3" s="1"/>
  <c r="R717" i="3"/>
  <c r="AE718" i="3" s="1"/>
  <c r="R905" i="3"/>
  <c r="AE906" i="3" s="1"/>
  <c r="R756" i="3"/>
  <c r="AE757" i="3" s="1"/>
  <c r="R1079" i="3"/>
  <c r="AE1080" i="3" s="1"/>
  <c r="R590" i="3"/>
  <c r="AE591" i="3" s="1"/>
  <c r="R427" i="3"/>
  <c r="AE428" i="3" s="1"/>
  <c r="R1071" i="3"/>
  <c r="AE1072" i="3" s="1"/>
  <c r="R419" i="3"/>
  <c r="AE420" i="3" s="1"/>
  <c r="R890" i="3"/>
  <c r="AE891" i="3" s="1"/>
  <c r="R1063" i="3"/>
  <c r="AE1064" i="3" s="1"/>
  <c r="R574" i="3"/>
  <c r="AE575" i="3" s="1"/>
  <c r="R411" i="3"/>
  <c r="AE412" i="3" s="1"/>
  <c r="R754" i="3"/>
  <c r="AE755" i="3" s="1"/>
  <c r="R927" i="3"/>
  <c r="AE928" i="3" s="1"/>
  <c r="R97" i="3"/>
  <c r="AE98" i="3" s="1"/>
  <c r="R271" i="3"/>
  <c r="AE272" i="3" s="1"/>
  <c r="R453" i="3"/>
  <c r="AE454" i="3" s="1"/>
  <c r="R620" i="3"/>
  <c r="AE621" i="3" s="1"/>
  <c r="R108" i="3"/>
  <c r="AE109" i="3" s="1"/>
  <c r="R275" i="3"/>
  <c r="AE276" i="3" s="1"/>
  <c r="R1066" i="3"/>
  <c r="AE1067" i="3" s="1"/>
  <c r="R224" i="3"/>
  <c r="AE225" i="3" s="1"/>
  <c r="R727" i="3"/>
  <c r="AE728" i="3" s="1"/>
  <c r="R409" i="3"/>
  <c r="AE410" i="3" s="1"/>
  <c r="R583" i="3"/>
  <c r="AE584" i="3" s="1"/>
  <c r="R71" i="3"/>
  <c r="AE72" i="3" s="1"/>
  <c r="R253" i="3"/>
  <c r="AE254" i="3" s="1"/>
  <c r="R420" i="3"/>
  <c r="AE421" i="3" s="1"/>
  <c r="R75" i="3"/>
  <c r="AE76" i="3" s="1"/>
  <c r="R802" i="3"/>
  <c r="AE803" i="3" s="1"/>
  <c r="R975" i="3"/>
  <c r="AE976" i="3" s="1"/>
  <c r="R657" i="3"/>
  <c r="AE658" i="3" s="1"/>
  <c r="R145" i="3"/>
  <c r="AE146" i="3" s="1"/>
  <c r="R319" i="3"/>
  <c r="AE320" i="3" s="1"/>
  <c r="R501" i="3"/>
  <c r="AE502" i="3" s="1"/>
  <c r="R668" i="3"/>
  <c r="AE669" i="3" s="1"/>
  <c r="R156" i="3"/>
  <c r="AE157" i="3" s="1"/>
  <c r="R323" i="3"/>
  <c r="AE324" i="3" s="1"/>
  <c r="R1114" i="3"/>
  <c r="AE1115" i="3" s="1"/>
  <c r="R416" i="3"/>
  <c r="AE417" i="3" s="1"/>
  <c r="R775" i="3"/>
  <c r="AE776" i="3" s="1"/>
  <c r="R457" i="3"/>
  <c r="AE458" i="3" s="1"/>
  <c r="R631" i="3"/>
  <c r="AE632" i="3" s="1"/>
  <c r="R119" i="3"/>
  <c r="AE120" i="3" s="1"/>
  <c r="R286" i="3"/>
  <c r="AE287" i="3" s="1"/>
  <c r="R301" i="3"/>
  <c r="AE302" i="3" s="1"/>
  <c r="R468" i="3"/>
  <c r="AE469" i="3" s="1"/>
  <c r="R635" i="3"/>
  <c r="AE636" i="3" s="1"/>
  <c r="R123" i="3"/>
  <c r="AE124" i="3" s="1"/>
  <c r="R914" i="3"/>
  <c r="AE915" i="3" s="1"/>
  <c r="R1087" i="3"/>
  <c r="AE1088" i="3" s="1"/>
  <c r="R306" i="3"/>
  <c r="AE307" i="3" s="1"/>
  <c r="R257" i="3"/>
  <c r="AE258" i="3" s="1"/>
  <c r="R431" i="3"/>
  <c r="AE432" i="3" s="1"/>
  <c r="R598" i="3"/>
  <c r="AE599" i="3" s="1"/>
  <c r="R86" i="3"/>
  <c r="AE87" i="3" s="1"/>
  <c r="R101" i="3"/>
  <c r="AE102" i="3" s="1"/>
  <c r="R268" i="3"/>
  <c r="AE269" i="3" s="1"/>
  <c r="R435" i="3"/>
  <c r="AE436" i="3" s="1"/>
  <c r="R1164" i="3"/>
  <c r="AE1165" i="3" s="1"/>
  <c r="R893" i="3"/>
  <c r="AE894" i="3" s="1"/>
  <c r="R107" i="3"/>
  <c r="AE108" i="3" s="1"/>
  <c r="R734" i="3"/>
  <c r="AE735" i="3" s="1"/>
  <c r="R741" i="3"/>
  <c r="AE742" i="3" s="1"/>
  <c r="R933" i="3"/>
  <c r="AE934" i="3" s="1"/>
  <c r="R633" i="3"/>
  <c r="AE634" i="3" s="1"/>
  <c r="R910" i="3"/>
  <c r="AE911" i="3" s="1"/>
  <c r="R1005" i="3"/>
  <c r="AE1006" i="3" s="1"/>
  <c r="R1189" i="3"/>
  <c r="AE1190" i="3" s="1"/>
  <c r="R952" i="3"/>
  <c r="AE953" i="3" s="1"/>
  <c r="R900" i="3"/>
  <c r="AE901" i="3" s="1"/>
  <c r="R970" i="3"/>
  <c r="AE971" i="3" s="1"/>
  <c r="R865" i="3"/>
  <c r="AE866" i="3" s="1"/>
  <c r="R1210" i="3"/>
  <c r="AE1211" i="3" s="1"/>
  <c r="R777" i="3"/>
  <c r="AE778" i="3" s="1"/>
  <c r="R692" i="3"/>
  <c r="AE693" i="3" s="1"/>
  <c r="R823" i="3"/>
  <c r="AE824" i="3" s="1"/>
  <c r="R171" i="3"/>
  <c r="AE172" i="3" s="1"/>
  <c r="R815" i="3"/>
  <c r="AE816" i="3" s="1"/>
  <c r="R163" i="3"/>
  <c r="AE164" i="3" s="1"/>
  <c r="R826" i="3"/>
  <c r="AE827" i="3" s="1"/>
  <c r="R999" i="3"/>
  <c r="AE1000" i="3" s="1"/>
  <c r="R681" i="3"/>
  <c r="AE682" i="3" s="1"/>
  <c r="R169" i="3"/>
  <c r="AE170" i="3" s="1"/>
  <c r="R347" i="3"/>
  <c r="AE348" i="3" s="1"/>
  <c r="R98" i="3"/>
  <c r="AE99" i="3" s="1"/>
  <c r="R690" i="3"/>
  <c r="AE691" i="3" s="1"/>
  <c r="R863" i="3"/>
  <c r="AE864" i="3" s="1"/>
  <c r="R545" i="3"/>
  <c r="AE546" i="3" s="1"/>
  <c r="R33" i="3"/>
  <c r="AE34" i="3" s="1"/>
  <c r="R207" i="3"/>
  <c r="AE208" i="3" s="1"/>
  <c r="R389" i="3"/>
  <c r="AE390" i="3" s="1"/>
  <c r="R556" i="3"/>
  <c r="AE557" i="3" s="1"/>
  <c r="R44" i="3"/>
  <c r="AE45" i="3" s="1"/>
  <c r="R211" i="3"/>
  <c r="AE212" i="3" s="1"/>
  <c r="R1002" i="3"/>
  <c r="AE1003" i="3" s="1"/>
  <c r="R1175" i="3"/>
  <c r="AE1176" i="3" s="1"/>
  <c r="R618" i="3"/>
  <c r="AE619" i="3" s="1"/>
  <c r="R345" i="3"/>
  <c r="AE346" i="3" s="1"/>
  <c r="R519" i="3"/>
  <c r="AE520" i="3" s="1"/>
  <c r="R686" i="3"/>
  <c r="AE687" i="3" s="1"/>
  <c r="R189" i="3"/>
  <c r="AE190" i="3" s="1"/>
  <c r="R356" i="3"/>
  <c r="AE357" i="3" s="1"/>
  <c r="R523" i="3"/>
  <c r="AE524" i="3" s="1"/>
  <c r="R290" i="3"/>
  <c r="AE291" i="3" s="1"/>
  <c r="R738" i="3"/>
  <c r="AE739" i="3" s="1"/>
  <c r="R911" i="3"/>
  <c r="AE912" i="3" s="1"/>
  <c r="R593" i="3"/>
  <c r="AE594" i="3" s="1"/>
  <c r="R81" i="3"/>
  <c r="AE82" i="3" s="1"/>
  <c r="R255" i="3"/>
  <c r="AE256" i="3" s="1"/>
  <c r="R437" i="3"/>
  <c r="AE438" i="3" s="1"/>
  <c r="R604" i="3"/>
  <c r="AE605" i="3" s="1"/>
  <c r="R92" i="3"/>
  <c r="AE93" i="3" s="1"/>
  <c r="R259" i="3"/>
  <c r="AE260" i="3" s="1"/>
  <c r="R1050" i="3"/>
  <c r="AE1051" i="3" s="1"/>
  <c r="R160" i="3"/>
  <c r="AE161" i="3" s="1"/>
  <c r="R711" i="3"/>
  <c r="AE712" i="3" s="1"/>
  <c r="R393" i="3"/>
  <c r="AE394" i="3" s="1"/>
  <c r="R567" i="3"/>
  <c r="AE568" i="3" s="1"/>
  <c r="R55" i="3"/>
  <c r="AE56" i="3" s="1"/>
  <c r="R222" i="3"/>
  <c r="AE223" i="3" s="1"/>
  <c r="R237" i="3"/>
  <c r="AE238" i="3" s="1"/>
  <c r="R404" i="3"/>
  <c r="AE405" i="3" s="1"/>
  <c r="R571" i="3"/>
  <c r="AE572" i="3" s="1"/>
  <c r="R59" i="3"/>
  <c r="AE60" i="3" s="1"/>
  <c r="R850" i="3"/>
  <c r="AE851" i="3" s="1"/>
  <c r="R1023" i="3"/>
  <c r="AE1024" i="3" s="1"/>
  <c r="R50" i="3"/>
  <c r="AE51" i="3" s="1"/>
  <c r="R193" i="3"/>
  <c r="AE194" i="3" s="1"/>
  <c r="R367" i="3"/>
  <c r="AE368" i="3" s="1"/>
  <c r="R534" i="3"/>
  <c r="AE535" i="3" s="1"/>
  <c r="R22" i="3"/>
  <c r="AE23" i="3" s="1"/>
  <c r="R37" i="3"/>
  <c r="AE38" i="3" s="1"/>
  <c r="R204" i="3"/>
  <c r="AE205" i="3" s="1"/>
  <c r="R371" i="3"/>
  <c r="AE372" i="3" s="1"/>
  <c r="R1060" i="3"/>
  <c r="AE1061" i="3" s="1"/>
  <c r="R1199" i="3"/>
  <c r="AE1200" i="3" s="1"/>
  <c r="R1036" i="3"/>
  <c r="AE1037" i="3" s="1"/>
  <c r="R1098" i="3"/>
  <c r="AE1099" i="3" s="1"/>
  <c r="R1193" i="3"/>
  <c r="AE1194" i="3" s="1"/>
  <c r="R1046" i="3"/>
  <c r="AE1047" i="3" s="1"/>
  <c r="R1124" i="3"/>
  <c r="AE1125" i="3" s="1"/>
  <c r="R944" i="3"/>
  <c r="AE945" i="3" s="1"/>
  <c r="R1191" i="3"/>
  <c r="AE1192" i="3" s="1"/>
  <c r="R1057" i="3"/>
  <c r="AE1058" i="3" s="1"/>
  <c r="R1212" i="3"/>
  <c r="AE1213" i="3" s="1"/>
  <c r="R377" i="3"/>
  <c r="AE378" i="3" s="1"/>
  <c r="R360" i="3"/>
  <c r="AE361" i="3" s="1"/>
  <c r="R625" i="3"/>
  <c r="AE626" i="3" s="1"/>
  <c r="R782" i="3"/>
  <c r="AE783" i="3" s="1"/>
  <c r="R877" i="3"/>
  <c r="AE878" i="3" s="1"/>
  <c r="R1065" i="3"/>
  <c r="AE1066" i="3" s="1"/>
  <c r="R836" i="3"/>
  <c r="AE837" i="3" s="1"/>
  <c r="R714" i="3"/>
  <c r="AE715" i="3" s="1"/>
  <c r="R1136" i="3"/>
  <c r="AE1137" i="3" s="1"/>
  <c r="R737" i="3"/>
  <c r="AE738" i="3" s="1"/>
  <c r="R1061" i="3"/>
  <c r="AE1062" i="3" s="1"/>
  <c r="R581" i="3"/>
  <c r="AE582" i="3" s="1"/>
  <c r="R1140" i="3"/>
  <c r="AE1141" i="3" s="1"/>
  <c r="R78" i="3"/>
  <c r="AE79" i="3" s="1"/>
  <c r="R488" i="3"/>
  <c r="AE489" i="3" s="1"/>
  <c r="R762" i="3"/>
  <c r="AE763" i="3" s="1"/>
  <c r="R935" i="3"/>
  <c r="AE936" i="3" s="1"/>
  <c r="R617" i="3"/>
  <c r="AE618" i="3" s="1"/>
  <c r="R105" i="3"/>
  <c r="AE106" i="3" s="1"/>
  <c r="R283" i="3"/>
  <c r="AE284" i="3" s="1"/>
  <c r="R1138" i="3"/>
  <c r="AE1139" i="3" s="1"/>
  <c r="R799" i="3"/>
  <c r="AE800" i="3" s="1"/>
  <c r="R655" i="3"/>
  <c r="AE656" i="3" s="1"/>
  <c r="R143" i="3"/>
  <c r="AE144" i="3" s="1"/>
  <c r="R325" i="3"/>
  <c r="AE326" i="3" s="1"/>
  <c r="R492" i="3"/>
  <c r="AE493" i="3" s="1"/>
  <c r="R659" i="3"/>
  <c r="AE660" i="3" s="1"/>
  <c r="R938" i="3"/>
  <c r="AE939" i="3" s="1"/>
  <c r="R1111" i="3"/>
  <c r="AE1112" i="3" s="1"/>
  <c r="R281" i="3"/>
  <c r="AE282" i="3" s="1"/>
  <c r="R455" i="3"/>
  <c r="AE456" i="3" s="1"/>
  <c r="R622" i="3"/>
  <c r="AE623" i="3" s="1"/>
  <c r="R125" i="3"/>
  <c r="AE126" i="3" s="1"/>
  <c r="R292" i="3"/>
  <c r="AE293" i="3" s="1"/>
  <c r="R459" i="3"/>
  <c r="AE460" i="3" s="1"/>
  <c r="R34" i="3"/>
  <c r="AE35" i="3" s="1"/>
  <c r="R648" i="3"/>
  <c r="AE649" i="3" s="1"/>
  <c r="R847" i="3"/>
  <c r="AE848" i="3" s="1"/>
  <c r="R529" i="3"/>
  <c r="AE530" i="3" s="1"/>
  <c r="R191" i="3"/>
  <c r="AE192" i="3" s="1"/>
  <c r="R373" i="3"/>
  <c r="AE374" i="3" s="1"/>
  <c r="R540" i="3"/>
  <c r="AE541" i="3" s="1"/>
  <c r="R28" i="3"/>
  <c r="AE29" i="3" s="1"/>
  <c r="R195" i="3"/>
  <c r="AE196" i="3" s="1"/>
  <c r="R986" i="3"/>
  <c r="AE987" i="3" s="1"/>
  <c r="R1159" i="3"/>
  <c r="AE1160" i="3" s="1"/>
  <c r="R576" i="3"/>
  <c r="AE577" i="3" s="1"/>
  <c r="R329" i="3"/>
  <c r="AE330" i="3" s="1"/>
  <c r="R503" i="3"/>
  <c r="AE504" i="3" s="1"/>
  <c r="R670" i="3"/>
  <c r="AE671" i="3" s="1"/>
  <c r="R158" i="3"/>
  <c r="AE159" i="3" s="1"/>
  <c r="R173" i="3"/>
  <c r="AE174" i="3" s="1"/>
  <c r="R340" i="3"/>
  <c r="AE341" i="3" s="1"/>
  <c r="R507" i="3"/>
  <c r="AE508" i="3" s="1"/>
  <c r="R482" i="3"/>
  <c r="AE483" i="3" s="1"/>
  <c r="R786" i="3"/>
  <c r="AE787" i="3" s="1"/>
  <c r="R959" i="3"/>
  <c r="AE960" i="3" s="1"/>
  <c r="R641" i="3"/>
  <c r="AE642" i="3" s="1"/>
  <c r="R129" i="3"/>
  <c r="AE130" i="3" s="1"/>
  <c r="R303" i="3"/>
  <c r="AE304" i="3" s="1"/>
  <c r="R470" i="3"/>
  <c r="AE471" i="3" s="1"/>
  <c r="R485" i="3"/>
  <c r="AE486" i="3" s="1"/>
  <c r="R652" i="3"/>
  <c r="AE653" i="3" s="1"/>
  <c r="R140" i="3"/>
  <c r="AE141" i="3" s="1"/>
  <c r="R307" i="3"/>
  <c r="AE308" i="3" s="1"/>
  <c r="R1121" i="3"/>
  <c r="AE1122" i="3" s="1"/>
  <c r="R889" i="3"/>
  <c r="AE890" i="3" s="1"/>
  <c r="R1208" i="3"/>
  <c r="AE1209" i="3" s="1"/>
  <c r="R990" i="3"/>
  <c r="AE991" i="3" s="1"/>
  <c r="R926" i="3"/>
  <c r="AE927" i="3" s="1"/>
  <c r="R870" i="3"/>
  <c r="AE871" i="3" s="1"/>
  <c r="R957" i="3"/>
  <c r="AE958" i="3" s="1"/>
  <c r="R1126" i="3"/>
  <c r="AE1127" i="3" s="1"/>
  <c r="R857" i="3"/>
  <c r="AE858" i="3" s="1"/>
  <c r="R932" i="3"/>
  <c r="AE933" i="3" s="1"/>
  <c r="R1017" i="3"/>
  <c r="AE1018" i="3" s="1"/>
  <c r="R1020" i="3"/>
  <c r="AE1021" i="3" s="1"/>
  <c r="R1090" i="3"/>
  <c r="AE1091" i="3" s="1"/>
  <c r="R1070" i="3"/>
  <c r="AE1071" i="3" s="1"/>
  <c r="R1165" i="3"/>
  <c r="AE1166" i="3" s="1"/>
  <c r="R104" i="3"/>
  <c r="AE105" i="3" s="1"/>
  <c r="R369" i="3"/>
  <c r="AE370" i="3" s="1"/>
  <c r="R1073" i="3"/>
  <c r="AE1074" i="3" s="1"/>
  <c r="R749" i="3"/>
  <c r="AE750" i="3" s="1"/>
  <c r="R937" i="3"/>
  <c r="AE938" i="3" s="1"/>
  <c r="R696" i="3"/>
  <c r="AE697" i="3" s="1"/>
  <c r="R772" i="3"/>
  <c r="AE773" i="3" s="1"/>
  <c r="R1143" i="3"/>
  <c r="AE1144" i="3" s="1"/>
  <c r="R654" i="3"/>
  <c r="AE655" i="3" s="1"/>
  <c r="R491" i="3"/>
  <c r="AE492" i="3" s="1"/>
  <c r="R1008" i="3"/>
  <c r="AE1009" i="3" s="1"/>
  <c r="R442" i="3"/>
  <c r="AE443" i="3" s="1"/>
  <c r="R1185" i="3"/>
  <c r="AE1186" i="3" s="1"/>
  <c r="R853" i="3"/>
  <c r="AE854" i="3" s="1"/>
  <c r="R1076" i="3"/>
  <c r="AE1077" i="3" s="1"/>
  <c r="R505" i="3"/>
  <c r="AE506" i="3" s="1"/>
  <c r="R232" i="3"/>
  <c r="AE233" i="3" s="1"/>
  <c r="R497" i="3"/>
  <c r="AE498" i="3" s="1"/>
  <c r="R698" i="3"/>
  <c r="AE699" i="3" s="1"/>
  <c r="R871" i="3"/>
  <c r="AE872" i="3" s="1"/>
  <c r="R553" i="3"/>
  <c r="AE554" i="3" s="1"/>
  <c r="R41" i="3"/>
  <c r="AE42" i="3" s="1"/>
  <c r="R219" i="3"/>
  <c r="AE220" i="3" s="1"/>
  <c r="R1074" i="3"/>
  <c r="AE1075" i="3" s="1"/>
  <c r="R735" i="3"/>
  <c r="AE736" i="3" s="1"/>
  <c r="R591" i="3"/>
  <c r="AE592" i="3" s="1"/>
  <c r="R79" i="3"/>
  <c r="AE80" i="3" s="1"/>
  <c r="R261" i="3"/>
  <c r="AE262" i="3" s="1"/>
  <c r="R428" i="3"/>
  <c r="AE429" i="3" s="1"/>
  <c r="R595" i="3"/>
  <c r="AE596" i="3" s="1"/>
  <c r="R874" i="3"/>
  <c r="AE875" i="3" s="1"/>
  <c r="R1047" i="3"/>
  <c r="AE1048" i="3" s="1"/>
  <c r="R146" i="3"/>
  <c r="AE147" i="3" s="1"/>
  <c r="R217" i="3"/>
  <c r="AE218" i="3" s="1"/>
  <c r="R391" i="3"/>
  <c r="AE392" i="3" s="1"/>
  <c r="R558" i="3"/>
  <c r="AE559" i="3" s="1"/>
  <c r="R61" i="3"/>
  <c r="AE62" i="3" s="1"/>
  <c r="R228" i="3"/>
  <c r="AE229" i="3" s="1"/>
  <c r="R395" i="3"/>
  <c r="AE396" i="3" s="1"/>
  <c r="R1122" i="3"/>
  <c r="AE1123" i="3" s="1"/>
  <c r="R783" i="3"/>
  <c r="AE784" i="3" s="1"/>
  <c r="R465" i="3"/>
  <c r="AE466" i="3" s="1"/>
  <c r="R639" i="3"/>
  <c r="AE640" i="3" s="1"/>
  <c r="R127" i="3"/>
  <c r="AE128" i="3" s="1"/>
  <c r="R294" i="3"/>
  <c r="AE295" i="3" s="1"/>
  <c r="R309" i="3"/>
  <c r="AE310" i="3" s="1"/>
  <c r="R476" i="3"/>
  <c r="AE477" i="3" s="1"/>
  <c r="R643" i="3"/>
  <c r="AE644" i="3" s="1"/>
  <c r="R131" i="3"/>
  <c r="AE132" i="3" s="1"/>
  <c r="R922" i="3"/>
  <c r="AE923" i="3" s="1"/>
  <c r="R1095" i="3"/>
  <c r="AE1096" i="3" s="1"/>
  <c r="R338" i="3"/>
  <c r="AE339" i="3" s="1"/>
  <c r="R265" i="3"/>
  <c r="AE266" i="3" s="1"/>
  <c r="R439" i="3"/>
  <c r="AE440" i="3" s="1"/>
  <c r="R94" i="3"/>
  <c r="AE95" i="3" s="1"/>
  <c r="R109" i="3"/>
  <c r="AE110" i="3" s="1"/>
  <c r="R276" i="3"/>
  <c r="AE277" i="3" s="1"/>
  <c r="R443" i="3"/>
  <c r="AE444" i="3" s="1"/>
  <c r="R226" i="3"/>
  <c r="AE227" i="3" s="1"/>
  <c r="R722" i="3"/>
  <c r="AE723" i="3" s="1"/>
  <c r="R895" i="3"/>
  <c r="AE896" i="3" s="1"/>
  <c r="R577" i="3"/>
  <c r="AE578" i="3" s="1"/>
  <c r="R65" i="3"/>
  <c r="AE66" i="3" s="1"/>
  <c r="R239" i="3"/>
  <c r="AE240" i="3" s="1"/>
  <c r="R406" i="3"/>
  <c r="AE407" i="3" s="1"/>
  <c r="R421" i="3"/>
  <c r="AE422" i="3" s="1"/>
  <c r="R588" i="3"/>
  <c r="AE589" i="3" s="1"/>
  <c r="R76" i="3"/>
  <c r="AE77" i="3" s="1"/>
  <c r="R243" i="3"/>
  <c r="AE244" i="3" s="1"/>
  <c r="R993" i="3"/>
  <c r="AE994" i="3" s="1"/>
  <c r="R1117" i="3"/>
  <c r="AE1118" i="3" s="1"/>
  <c r="R798" i="3"/>
  <c r="AE799" i="3" s="1"/>
  <c r="R963" i="3"/>
  <c r="AE964" i="3" s="1"/>
  <c r="R804" i="3"/>
  <c r="AE805" i="3" s="1"/>
  <c r="R966" i="3"/>
  <c r="AE967" i="3" s="1"/>
  <c r="R961" i="3"/>
  <c r="AE962" i="3" s="1"/>
  <c r="R1069" i="3"/>
  <c r="AE1070" i="3" s="1"/>
  <c r="R828" i="3"/>
  <c r="AE829" i="3" s="1"/>
  <c r="R689" i="3"/>
  <c r="AE690" i="3" s="1"/>
  <c r="R1209" i="3"/>
  <c r="AE1210" i="3" s="1"/>
  <c r="R186" i="3"/>
  <c r="AE187" i="3" s="1"/>
  <c r="R942" i="3"/>
  <c r="AE943" i="3" s="1"/>
  <c r="R1037" i="3"/>
  <c r="AE1038" i="3" s="1"/>
  <c r="R1205" i="3"/>
  <c r="AE1206" i="3" s="1"/>
  <c r="R897" i="3"/>
  <c r="AE898" i="3" s="1"/>
  <c r="R809" i="3"/>
  <c r="AE810" i="3" s="1"/>
  <c r="R708" i="3"/>
  <c r="AE709" i="3" s="1"/>
  <c r="R887" i="3"/>
  <c r="AE888" i="3" s="1"/>
  <c r="R235" i="3"/>
  <c r="AE236" i="3" s="1"/>
  <c r="R880" i="3"/>
  <c r="AE881" i="3" s="1"/>
  <c r="R1134" i="3"/>
  <c r="AE1135" i="3" s="1"/>
  <c r="R1206" i="3"/>
  <c r="AE1207" i="3" s="1"/>
  <c r="R725" i="3"/>
  <c r="AE726" i="3" s="1"/>
  <c r="R1012" i="3"/>
  <c r="AE1013" i="3" s="1"/>
  <c r="R249" i="3"/>
  <c r="AE250" i="3" s="1"/>
  <c r="R608" i="3"/>
  <c r="AE609" i="3" s="1"/>
  <c r="R241" i="3"/>
  <c r="AE242" i="3" s="1"/>
  <c r="R1146" i="3"/>
  <c r="AE1147" i="3" s="1"/>
  <c r="R807" i="3"/>
  <c r="AE808" i="3" s="1"/>
  <c r="R489" i="3"/>
  <c r="AE490" i="3" s="1"/>
  <c r="R667" i="3"/>
  <c r="AE668" i="3" s="1"/>
  <c r="R155" i="3"/>
  <c r="AE156" i="3" s="1"/>
  <c r="R1010" i="3"/>
  <c r="AE1011" i="3" s="1"/>
  <c r="R1183" i="3"/>
  <c r="AE1184" i="3" s="1"/>
  <c r="R353" i="3"/>
  <c r="AE354" i="3" s="1"/>
  <c r="R527" i="3"/>
  <c r="AE528" i="3" s="1"/>
  <c r="R15" i="3"/>
  <c r="AE16" i="3" s="1"/>
  <c r="R182" i="3"/>
  <c r="AE183" i="3" s="1"/>
  <c r="R197" i="3"/>
  <c r="AE198" i="3" s="1"/>
  <c r="R364" i="3"/>
  <c r="AE365" i="3" s="1"/>
  <c r="R531" i="3"/>
  <c r="AE532" i="3" s="1"/>
  <c r="R19" i="3"/>
  <c r="AE20" i="3" s="1"/>
  <c r="R810" i="3"/>
  <c r="AE811" i="3" s="1"/>
  <c r="R983" i="3"/>
  <c r="AE984" i="3" s="1"/>
  <c r="R665" i="3"/>
  <c r="AE666" i="3" s="1"/>
  <c r="R153" i="3"/>
  <c r="AE154" i="3" s="1"/>
  <c r="R327" i="3"/>
  <c r="AE328" i="3" s="1"/>
  <c r="R494" i="3"/>
  <c r="AE495" i="3" s="1"/>
  <c r="R509" i="3"/>
  <c r="AE510" i="3" s="1"/>
  <c r="R676" i="3"/>
  <c r="AE677" i="3" s="1"/>
  <c r="R164" i="3"/>
  <c r="AE165" i="3" s="1"/>
  <c r="R331" i="3"/>
  <c r="AE332" i="3" s="1"/>
  <c r="R1058" i="3"/>
  <c r="AE1059" i="3" s="1"/>
  <c r="R192" i="3"/>
  <c r="AE193" i="3" s="1"/>
  <c r="R719" i="3"/>
  <c r="AE720" i="3" s="1"/>
  <c r="R401" i="3"/>
  <c r="AE402" i="3" s="1"/>
  <c r="R575" i="3"/>
  <c r="AE576" i="3" s="1"/>
  <c r="R63" i="3"/>
  <c r="AE64" i="3" s="1"/>
  <c r="R245" i="3"/>
  <c r="AE246" i="3" s="1"/>
  <c r="R412" i="3"/>
  <c r="AE413" i="3" s="1"/>
  <c r="R579" i="3"/>
  <c r="AE580" i="3" s="1"/>
  <c r="R67" i="3"/>
  <c r="AE68" i="3" s="1"/>
  <c r="R858" i="3"/>
  <c r="AE859" i="3" s="1"/>
  <c r="R1031" i="3"/>
  <c r="AE1032" i="3" s="1"/>
  <c r="R82" i="3"/>
  <c r="AE83" i="3" s="1"/>
  <c r="R201" i="3"/>
  <c r="AE202" i="3" s="1"/>
  <c r="R375" i="3"/>
  <c r="AE376" i="3" s="1"/>
  <c r="R542" i="3"/>
  <c r="AE543" i="3" s="1"/>
  <c r="R30" i="3"/>
  <c r="AE31" i="3" s="1"/>
  <c r="R45" i="3"/>
  <c r="AE46" i="3" s="1"/>
  <c r="R212" i="3"/>
  <c r="AE213" i="3" s="1"/>
  <c r="R379" i="3"/>
  <c r="AE380" i="3" s="1"/>
  <c r="R1170" i="3"/>
  <c r="AE1171" i="3" s="1"/>
  <c r="R605" i="3"/>
  <c r="AE606" i="3" s="1"/>
  <c r="R831" i="3"/>
  <c r="AE832" i="3" s="1"/>
  <c r="R513" i="3"/>
  <c r="AE514" i="3" s="1"/>
  <c r="R687" i="3"/>
  <c r="AE688" i="3" s="1"/>
  <c r="R175" i="3"/>
  <c r="AE176" i="3" s="1"/>
  <c r="R342" i="3"/>
  <c r="AE343" i="3" s="1"/>
  <c r="R357" i="3"/>
  <c r="AE358" i="3" s="1"/>
  <c r="R524" i="3"/>
  <c r="AE525" i="3" s="1"/>
  <c r="R179" i="3"/>
  <c r="AE180" i="3" s="1"/>
  <c r="R929" i="3"/>
  <c r="AE930" i="3" s="1"/>
  <c r="R1053" i="3"/>
  <c r="AE1054" i="3" s="1"/>
  <c r="R822" i="3"/>
  <c r="AE823" i="3" s="1"/>
  <c r="R814" i="3"/>
  <c r="AE815" i="3" s="1"/>
  <c r="R909" i="3"/>
  <c r="AE910" i="3" s="1"/>
  <c r="R1097" i="3"/>
  <c r="AE1098" i="3" s="1"/>
  <c r="R769" i="3"/>
  <c r="AE770" i="3" s="1"/>
  <c r="R1156" i="3"/>
  <c r="AE1157" i="3" s="1"/>
  <c r="R1014" i="3"/>
  <c r="AE1015" i="3" s="1"/>
  <c r="R752" i="3"/>
  <c r="AE753" i="3" s="1"/>
  <c r="R1101" i="3"/>
  <c r="AE1102" i="3" s="1"/>
  <c r="R1154" i="3"/>
  <c r="AE1155" i="3" s="1"/>
  <c r="R1082" i="3"/>
  <c r="AE1083" i="3" s="1"/>
  <c r="R288" i="3"/>
  <c r="AE289" i="3" s="1"/>
  <c r="R743" i="3"/>
  <c r="AE744" i="3" s="1"/>
  <c r="R425" i="3"/>
  <c r="AE426" i="3" s="1"/>
  <c r="R603" i="3"/>
  <c r="AE604" i="3" s="1"/>
  <c r="R91" i="3"/>
  <c r="AE92" i="3" s="1"/>
  <c r="R946" i="3"/>
  <c r="AE947" i="3" s="1"/>
  <c r="R1119" i="3"/>
  <c r="AE1120" i="3" s="1"/>
  <c r="R434" i="3"/>
  <c r="AE435" i="3" s="1"/>
  <c r="R289" i="3"/>
  <c r="AE290" i="3" s="1"/>
  <c r="R463" i="3"/>
  <c r="AE464" i="3" s="1"/>
  <c r="R630" i="3"/>
  <c r="AE631" i="3" s="1"/>
  <c r="R133" i="3"/>
  <c r="AE134" i="3" s="1"/>
  <c r="R300" i="3"/>
  <c r="AE301" i="3" s="1"/>
  <c r="R746" i="3"/>
  <c r="AE747" i="3" s="1"/>
  <c r="R919" i="3"/>
  <c r="AE920" i="3" s="1"/>
  <c r="R601" i="3"/>
  <c r="AE602" i="3" s="1"/>
  <c r="R89" i="3"/>
  <c r="AE90" i="3" s="1"/>
  <c r="R263" i="3"/>
  <c r="AE264" i="3" s="1"/>
  <c r="R445" i="3"/>
  <c r="AE446" i="3" s="1"/>
  <c r="R612" i="3"/>
  <c r="AE613" i="3" s="1"/>
  <c r="R100" i="3"/>
  <c r="AE101" i="3" s="1"/>
  <c r="R267" i="3"/>
  <c r="AE268" i="3" s="1"/>
  <c r="R994" i="3"/>
  <c r="AE995" i="3" s="1"/>
  <c r="R1167" i="3"/>
  <c r="AE1168" i="3" s="1"/>
  <c r="R337" i="3"/>
  <c r="AE338" i="3" s="1"/>
  <c r="R511" i="3"/>
  <c r="AE512" i="3" s="1"/>
  <c r="R678" i="3"/>
  <c r="AE679" i="3" s="1"/>
  <c r="R181" i="3"/>
  <c r="AE182" i="3" s="1"/>
  <c r="R348" i="3"/>
  <c r="AE349" i="3" s="1"/>
  <c r="R794" i="3"/>
  <c r="AE795" i="3" s="1"/>
  <c r="R967" i="3"/>
  <c r="AE968" i="3" s="1"/>
  <c r="R137" i="3"/>
  <c r="AE138" i="3" s="1"/>
  <c r="R311" i="3"/>
  <c r="AE312" i="3" s="1"/>
  <c r="R478" i="3"/>
  <c r="AE479" i="3" s="1"/>
  <c r="R493" i="3"/>
  <c r="AE494" i="3" s="1"/>
  <c r="R660" i="3"/>
  <c r="AE661" i="3" s="1"/>
  <c r="R148" i="3"/>
  <c r="AE149" i="3" s="1"/>
  <c r="R315" i="3"/>
  <c r="AE316" i="3" s="1"/>
  <c r="R1106" i="3"/>
  <c r="AE1107" i="3" s="1"/>
  <c r="R767" i="3"/>
  <c r="AE768" i="3" s="1"/>
  <c r="R623" i="3"/>
  <c r="AE624" i="3" s="1"/>
  <c r="R111" i="3"/>
  <c r="AE112" i="3" s="1"/>
  <c r="R278" i="3"/>
  <c r="AE279" i="3" s="1"/>
  <c r="R293" i="3"/>
  <c r="AE294" i="3" s="1"/>
  <c r="R460" i="3"/>
  <c r="AE461" i="3" s="1"/>
  <c r="R115" i="3"/>
  <c r="AE116" i="3" s="1"/>
  <c r="R835" i="3"/>
  <c r="AE836" i="3" s="1"/>
  <c r="R707" i="3"/>
  <c r="AE708" i="3" s="1"/>
  <c r="R1203" i="3"/>
  <c r="AE1204" i="3" s="1"/>
  <c r="R702" i="3"/>
  <c r="AE703" i="3" s="1"/>
  <c r="R1182" i="3"/>
  <c r="AE1183" i="3" s="1"/>
  <c r="R774" i="3"/>
  <c r="AE775" i="3" s="1"/>
  <c r="R705" i="3"/>
  <c r="AE706" i="3" s="1"/>
  <c r="R829" i="3"/>
  <c r="AE830" i="3" s="1"/>
  <c r="R1188" i="3"/>
  <c r="AE1189" i="3" s="1"/>
  <c r="R716" i="3"/>
  <c r="AE717" i="3" s="1"/>
  <c r="R694" i="3"/>
  <c r="AE695" i="3" s="1"/>
  <c r="R781" i="3"/>
  <c r="AE782" i="3" s="1"/>
  <c r="R969" i="3"/>
  <c r="AE970" i="3" s="1"/>
  <c r="R96" i="3"/>
  <c r="AE97" i="3" s="1"/>
  <c r="R770" i="3"/>
  <c r="AE771" i="3" s="1"/>
  <c r="R1092" i="3"/>
  <c r="AE1093" i="3" s="1"/>
  <c r="R569" i="3"/>
  <c r="AE570" i="3" s="1"/>
  <c r="R886" i="3"/>
  <c r="AE887" i="3" s="1"/>
  <c r="R878" i="3"/>
  <c r="AE879" i="3" s="1"/>
  <c r="R973" i="3"/>
  <c r="AE974" i="3" s="1"/>
  <c r="R1161" i="3"/>
  <c r="AE1162" i="3" s="1"/>
  <c r="R884" i="3"/>
  <c r="AE885" i="3" s="1"/>
  <c r="R906" i="3"/>
  <c r="AE907" i="3" s="1"/>
  <c r="R898" i="3"/>
  <c r="AE899" i="3" s="1"/>
  <c r="R1018" i="3"/>
  <c r="AE1019" i="3" s="1"/>
  <c r="R32" i="3"/>
  <c r="AE33" i="3" s="1"/>
  <c r="R361" i="3"/>
  <c r="AE362" i="3" s="1"/>
  <c r="R539" i="3"/>
  <c r="AE540" i="3" s="1"/>
  <c r="R27" i="3"/>
  <c r="AE28" i="3" s="1"/>
  <c r="R882" i="3"/>
  <c r="AE883" i="3" s="1"/>
  <c r="R1055" i="3"/>
  <c r="AE1056" i="3" s="1"/>
  <c r="R178" i="3"/>
  <c r="AE179" i="3" s="1"/>
  <c r="R225" i="3"/>
  <c r="AE226" i="3" s="1"/>
  <c r="R399" i="3"/>
  <c r="AE400" i="3" s="1"/>
  <c r="R566" i="3"/>
  <c r="AE567" i="3" s="1"/>
  <c r="R69" i="3"/>
  <c r="AE70" i="3" s="1"/>
  <c r="R236" i="3"/>
  <c r="AE237" i="3" s="1"/>
  <c r="R669" i="3"/>
  <c r="AE670" i="3" s="1"/>
  <c r="R855" i="3"/>
  <c r="AE856" i="3" s="1"/>
  <c r="R537" i="3"/>
  <c r="AE538" i="3" s="1"/>
  <c r="R25" i="3"/>
  <c r="AE26" i="3" s="1"/>
  <c r="R199" i="3"/>
  <c r="AE200" i="3" s="1"/>
  <c r="R381" i="3"/>
  <c r="AE382" i="3" s="1"/>
  <c r="R548" i="3"/>
  <c r="AE549" i="3" s="1"/>
  <c r="R36" i="3"/>
  <c r="AE37" i="3" s="1"/>
  <c r="R203" i="3"/>
  <c r="AE204" i="3" s="1"/>
  <c r="R930" i="3"/>
  <c r="AE931" i="3" s="1"/>
  <c r="R1103" i="3"/>
  <c r="AE1104" i="3" s="1"/>
  <c r="R370" i="3"/>
  <c r="AE371" i="3" s="1"/>
  <c r="R273" i="3"/>
  <c r="AE274" i="3" s="1"/>
  <c r="R447" i="3"/>
  <c r="AE448" i="3" s="1"/>
  <c r="R614" i="3"/>
  <c r="AE615" i="3" s="1"/>
  <c r="R102" i="3"/>
  <c r="AE103" i="3" s="1"/>
  <c r="R117" i="3"/>
  <c r="AE118" i="3" s="1"/>
  <c r="R284" i="3"/>
  <c r="AE285" i="3" s="1"/>
  <c r="R451" i="3"/>
  <c r="AE452" i="3" s="1"/>
  <c r="R258" i="3"/>
  <c r="AE259" i="3" s="1"/>
  <c r="R730" i="3"/>
  <c r="AE731" i="3" s="1"/>
  <c r="R903" i="3"/>
  <c r="AE904" i="3" s="1"/>
  <c r="R585" i="3"/>
  <c r="AE586" i="3" s="1"/>
  <c r="R73" i="3"/>
  <c r="AE74" i="3" s="1"/>
  <c r="R247" i="3"/>
  <c r="AE248" i="3" s="1"/>
  <c r="R414" i="3"/>
  <c r="AE415" i="3" s="1"/>
  <c r="R429" i="3"/>
  <c r="AE430" i="3" s="1"/>
  <c r="R596" i="3"/>
  <c r="AE597" i="3" s="1"/>
  <c r="R84" i="3"/>
  <c r="AE85" i="3" s="1"/>
  <c r="R251" i="3"/>
  <c r="AE252" i="3" s="1"/>
  <c r="R1042" i="3"/>
  <c r="AE1043" i="3" s="1"/>
  <c r="R128" i="3"/>
  <c r="AE129" i="3" s="1"/>
  <c r="R703" i="3"/>
  <c r="AE704" i="3" s="1"/>
  <c r="R385" i="3"/>
  <c r="AE386" i="3" s="1"/>
  <c r="R559" i="3"/>
  <c r="AE560" i="3" s="1"/>
  <c r="R47" i="3"/>
  <c r="AE48" i="3" s="1"/>
  <c r="R214" i="3"/>
  <c r="AE215" i="3" s="1"/>
  <c r="R229" i="3"/>
  <c r="AE230" i="3" s="1"/>
  <c r="R396" i="3"/>
  <c r="AE397" i="3" s="1"/>
  <c r="R563" i="3"/>
  <c r="AE564" i="3" s="1"/>
  <c r="R51" i="3"/>
  <c r="AE52" i="3" s="1"/>
  <c r="S13" i="3" a="1"/>
  <c r="AF15" i="3" l="1"/>
  <c r="S204" i="3"/>
  <c r="S938" i="3"/>
  <c r="S275" i="3"/>
  <c r="S551" i="3"/>
  <c r="S831" i="3"/>
  <c r="S396" i="3"/>
  <c r="S291" i="3"/>
  <c r="S29" i="3"/>
  <c r="S305" i="3"/>
  <c r="S69" i="3"/>
  <c r="S636" i="3"/>
  <c r="S834" i="3"/>
  <c r="S79" i="3"/>
  <c r="S635" i="3"/>
  <c r="S266" i="3"/>
  <c r="S654" i="3"/>
  <c r="S1100" i="3"/>
  <c r="S907" i="3"/>
  <c r="S1119" i="3"/>
  <c r="S475" i="3"/>
  <c r="S1143" i="3"/>
  <c r="S310" i="3"/>
  <c r="S1132" i="3"/>
  <c r="S570" i="3"/>
  <c r="S1155" i="3"/>
  <c r="S357" i="3"/>
  <c r="S36" i="3"/>
  <c r="S60" i="3"/>
  <c r="S601" i="3"/>
  <c r="S873" i="3"/>
  <c r="S43" i="3"/>
  <c r="S860" i="3"/>
  <c r="S1146" i="3"/>
  <c r="S1020" i="3"/>
  <c r="S273" i="3"/>
  <c r="S1130" i="3"/>
  <c r="S708" i="3"/>
  <c r="S99" i="3"/>
  <c r="S1153" i="3"/>
  <c r="S704" i="3"/>
  <c r="S1145" i="3"/>
  <c r="S533" i="3"/>
  <c r="S1138" i="3"/>
  <c r="S740" i="3"/>
  <c r="S55" i="3"/>
  <c r="S492" i="3"/>
  <c r="S785" i="3"/>
  <c r="S553" i="3"/>
  <c r="S405" i="3"/>
  <c r="S943" i="3"/>
  <c r="S1206" i="3"/>
  <c r="S1089" i="3"/>
  <c r="S683" i="3"/>
  <c r="S549" i="3"/>
  <c r="S421" i="3"/>
  <c r="S836" i="3"/>
  <c r="S672" i="3"/>
  <c r="S690" i="3"/>
  <c r="S674" i="3"/>
  <c r="S495" i="3"/>
  <c r="S134" i="3"/>
  <c r="S1159" i="3"/>
  <c r="S176" i="3"/>
  <c r="S477" i="3"/>
  <c r="S42" i="3"/>
  <c r="S827" i="3"/>
  <c r="S871" i="3"/>
  <c r="S528" i="3"/>
  <c r="S435" i="3"/>
  <c r="S677" i="3"/>
  <c r="S375" i="3"/>
  <c r="S629" i="3"/>
  <c r="S237" i="3"/>
  <c r="S945" i="3"/>
  <c r="S986" i="3"/>
  <c r="S367" i="3"/>
  <c r="S424" i="3"/>
  <c r="S220" i="3"/>
  <c r="S30" i="3"/>
  <c r="S1067" i="3"/>
  <c r="S619" i="3"/>
  <c r="S377" i="3"/>
  <c r="S1050" i="3"/>
  <c r="S540" i="3"/>
  <c r="S169" i="3"/>
  <c r="S423" i="3"/>
  <c r="S312" i="3"/>
  <c r="S1005" i="3"/>
  <c r="S822" i="3"/>
  <c r="S1063" i="3"/>
  <c r="S816" i="3"/>
  <c r="S197" i="3"/>
  <c r="S503" i="3"/>
  <c r="S741" i="3"/>
  <c r="S1154" i="3"/>
  <c r="S759" i="3"/>
  <c r="S780" i="3"/>
  <c r="S1016" i="3"/>
  <c r="S642" i="3"/>
  <c r="S217" i="3"/>
  <c r="S530" i="3"/>
  <c r="S47" i="3"/>
  <c r="S1081" i="3"/>
  <c r="S694" i="3"/>
  <c r="S1054" i="3"/>
  <c r="S670" i="3"/>
  <c r="S245" i="3"/>
  <c r="S1149" i="3"/>
  <c r="S990" i="3"/>
  <c r="S308" i="3"/>
  <c r="S277" i="3"/>
  <c r="S446" i="3"/>
  <c r="S293" i="3"/>
  <c r="S599" i="3"/>
  <c r="S820" i="3"/>
  <c r="S372" i="3"/>
  <c r="S863" i="3"/>
  <c r="S1209" i="3"/>
  <c r="S730" i="3"/>
  <c r="S124" i="3"/>
  <c r="S505" i="3"/>
  <c r="S772" i="3"/>
  <c r="S586" i="3"/>
  <c r="S1198" i="3"/>
  <c r="S954" i="3"/>
  <c r="S993" i="3"/>
  <c r="S177" i="3"/>
  <c r="S1034" i="3"/>
  <c r="S916" i="3"/>
  <c r="S634" i="3"/>
  <c r="S988" i="3"/>
  <c r="S1183" i="3"/>
  <c r="S712" i="3"/>
  <c r="S437" i="3"/>
  <c r="S1042" i="3"/>
  <c r="S937" i="3"/>
  <c r="S366" i="3"/>
  <c r="S1051" i="3"/>
  <c r="S889" i="3"/>
  <c r="S180" i="3"/>
  <c r="S49" i="3"/>
  <c r="S962" i="3"/>
  <c r="S701" i="3"/>
  <c r="S54" i="3"/>
  <c r="S729" i="3"/>
  <c r="S825" i="3"/>
  <c r="S303" i="3"/>
  <c r="S429" i="3"/>
  <c r="S951" i="3"/>
  <c r="S343" i="3"/>
  <c r="S17" i="3"/>
  <c r="S638" i="3"/>
  <c r="S389" i="3"/>
  <c r="S597" i="3"/>
  <c r="S1028" i="3"/>
  <c r="S592" i="3"/>
  <c r="S714" i="3"/>
  <c r="S485" i="3"/>
  <c r="S594" i="3"/>
  <c r="S645" i="3"/>
  <c r="S1071" i="3"/>
  <c r="S605" i="3"/>
  <c r="S781" i="3"/>
  <c r="S493" i="3"/>
  <c r="S19" i="3"/>
  <c r="S752" i="3"/>
  <c r="S481" i="3"/>
  <c r="S181" i="3"/>
  <c r="S1044" i="3"/>
  <c r="S454" i="3"/>
  <c r="S464" i="3"/>
  <c r="S39" i="3"/>
  <c r="S335" i="3"/>
  <c r="S845" i="3"/>
  <c r="S1115" i="3"/>
  <c r="S578" i="3"/>
  <c r="S644" i="3"/>
  <c r="S87" i="3"/>
  <c r="S341" i="3"/>
  <c r="S961" i="3"/>
  <c r="S1086" i="3"/>
  <c r="S698" i="3"/>
  <c r="S661" i="3"/>
  <c r="S103" i="3"/>
  <c r="S478" i="3"/>
  <c r="S823" i="3"/>
  <c r="S527" i="3"/>
  <c r="S1080" i="3"/>
  <c r="S415" i="3"/>
  <c r="S921" i="3"/>
  <c r="S576" i="3"/>
  <c r="S267" i="3"/>
  <c r="S1158" i="3"/>
  <c r="S24" i="3"/>
  <c r="S1120" i="3"/>
  <c r="S537" i="3"/>
  <c r="S725" i="3"/>
  <c r="S641" i="3"/>
  <c r="S615" i="3"/>
  <c r="S705" i="3"/>
  <c r="S216" i="3"/>
  <c r="S784" i="3"/>
  <c r="S585" i="3"/>
  <c r="S924" i="3"/>
  <c r="S191" i="3"/>
  <c r="S1023" i="3"/>
  <c r="S380" i="3"/>
  <c r="S120" i="3"/>
  <c r="S808" i="3"/>
  <c r="S544" i="3"/>
  <c r="S1108" i="3"/>
  <c r="S325" i="3"/>
  <c r="S193" i="3"/>
  <c r="S1066" i="3"/>
  <c r="S952" i="3"/>
  <c r="S914" i="3"/>
  <c r="S791" i="3"/>
  <c r="S649" i="3"/>
  <c r="S569" i="3"/>
  <c r="S77" i="3"/>
  <c r="S695" i="3"/>
  <c r="S604" i="3"/>
  <c r="S663" i="3"/>
  <c r="S285" i="3"/>
  <c r="S473" i="3"/>
  <c r="S468" i="3"/>
  <c r="S687" i="3"/>
  <c r="S518" i="3"/>
  <c r="S651" i="3"/>
  <c r="S201" i="3"/>
  <c r="S370" i="3"/>
  <c r="S584" i="3"/>
  <c r="S190" i="3"/>
  <c r="S287" i="3"/>
  <c r="S268" i="3"/>
  <c r="S667" i="3"/>
  <c r="S847" i="3"/>
  <c r="S264" i="3"/>
  <c r="S90" i="3"/>
  <c r="S1177" i="3"/>
  <c r="S258" i="3"/>
  <c r="S512" i="3"/>
  <c r="S26" i="3"/>
  <c r="S653" i="3"/>
  <c r="S412" i="3"/>
  <c r="S436" i="3"/>
  <c r="S1043" i="3"/>
  <c r="S560" i="3"/>
  <c r="S135" i="3"/>
  <c r="S487" i="3"/>
  <c r="S1196" i="3"/>
  <c r="S1211" i="3"/>
  <c r="S155" i="3"/>
  <c r="S887" i="3"/>
  <c r="S73" i="3"/>
  <c r="S374" i="3"/>
  <c r="S139" i="3"/>
  <c r="S726" i="3"/>
  <c r="S1090" i="3"/>
  <c r="S35" i="3"/>
  <c r="S665" i="3"/>
  <c r="S406" i="3"/>
  <c r="S852" i="3"/>
  <c r="S27" i="3"/>
  <c r="S507" i="3"/>
  <c r="S62" i="3"/>
  <c r="S173" i="3"/>
  <c r="S172" i="3"/>
  <c r="S18" i="3"/>
  <c r="S1193" i="3"/>
  <c r="S179" i="3"/>
  <c r="S1025" i="3"/>
  <c r="S699" i="3"/>
  <c r="S141" i="3"/>
  <c r="S369" i="3"/>
  <c r="S571" i="3"/>
  <c r="S1109" i="3"/>
  <c r="S227" i="3"/>
  <c r="S1012" i="3"/>
  <c r="S896" i="3"/>
  <c r="S1096" i="3"/>
  <c r="S407" i="3"/>
  <c r="S927" i="3"/>
  <c r="S1190" i="3"/>
  <c r="S925" i="3"/>
  <c r="S1017" i="3"/>
  <c r="S1147" i="3"/>
  <c r="S301" i="3"/>
  <c r="S523" i="3"/>
  <c r="S225" i="3"/>
  <c r="S1026" i="3"/>
  <c r="S859" i="3"/>
  <c r="S66" i="3"/>
  <c r="S110" i="3"/>
  <c r="S1151" i="3"/>
  <c r="S1009" i="3"/>
  <c r="S222" i="3"/>
  <c r="S282" i="3"/>
  <c r="S1003" i="3"/>
  <c r="S795" i="3"/>
  <c r="S742" i="3"/>
  <c r="S920" i="3"/>
  <c r="S272" i="3"/>
  <c r="S620" i="3"/>
  <c r="S1169" i="3"/>
  <c r="S568" i="3"/>
  <c r="S737" i="3"/>
  <c r="S1072" i="3"/>
  <c r="S278" i="3"/>
  <c r="S1030" i="3"/>
  <c r="S1205" i="3"/>
  <c r="S872" i="3"/>
  <c r="S723" i="3"/>
  <c r="S1160" i="3"/>
  <c r="S1107" i="3"/>
  <c r="S639" i="3"/>
  <c r="S38" i="3"/>
  <c r="S939" i="3"/>
  <c r="S81" i="3"/>
  <c r="S470" i="3"/>
  <c r="S1070" i="3"/>
  <c r="S659" i="3"/>
  <c r="S514" i="3"/>
  <c r="S835" i="3"/>
  <c r="S65" i="3"/>
  <c r="S109" i="3"/>
  <c r="S306" i="3"/>
  <c r="S1031" i="3"/>
  <c r="S640" i="3"/>
  <c r="S789" i="3"/>
  <c r="S876" i="3"/>
  <c r="S997" i="3"/>
  <c r="S354" i="3"/>
  <c r="S608" i="3"/>
  <c r="S146" i="3"/>
  <c r="S166" i="3"/>
  <c r="S948" i="3"/>
  <c r="S819" i="3"/>
  <c r="S443" i="3"/>
  <c r="S259" i="3"/>
  <c r="S288" i="3"/>
  <c r="S627" i="3"/>
  <c r="S1092" i="3"/>
  <c r="S749" i="3"/>
  <c r="S766" i="3"/>
  <c r="S912" i="3"/>
  <c r="S37" i="3"/>
  <c r="S456" i="3"/>
  <c r="S778" i="3"/>
  <c r="S1039" i="3"/>
  <c r="S1008" i="3"/>
  <c r="S506" i="3"/>
  <c r="S183" i="3"/>
  <c r="S52" i="3"/>
  <c r="S504" i="3"/>
  <c r="S794" i="3"/>
  <c r="S249" i="3"/>
  <c r="S85" i="3"/>
  <c r="S145" i="3"/>
  <c r="S92" i="3"/>
  <c r="S881" i="3"/>
  <c r="S344" i="3"/>
  <c r="S499" i="3"/>
  <c r="S676" i="3"/>
  <c r="S157" i="3"/>
  <c r="S897" i="3"/>
  <c r="S46" i="3"/>
  <c r="S691" i="3"/>
  <c r="S188" i="3"/>
  <c r="S40" i="3"/>
  <c r="S525" i="3"/>
  <c r="S1129" i="3"/>
  <c r="S479" i="3"/>
  <c r="S779" i="3"/>
  <c r="S1055" i="3"/>
  <c r="S655" i="3"/>
  <c r="S281" i="3"/>
  <c r="S397" i="3"/>
  <c r="S689" i="3"/>
  <c r="S803" i="3"/>
  <c r="S260" i="3"/>
  <c r="S400" i="3"/>
  <c r="S944" i="3"/>
  <c r="S885" i="3"/>
  <c r="S793" i="3"/>
  <c r="S432" i="3"/>
  <c r="S1150" i="3"/>
  <c r="S546" i="3"/>
  <c r="S351" i="3"/>
  <c r="S365" i="3"/>
  <c r="S74" i="3"/>
  <c r="S501" i="3"/>
  <c r="S218" i="3"/>
  <c r="S746" i="3"/>
  <c r="S219" i="3"/>
  <c r="S226" i="3"/>
  <c r="S398" i="3"/>
  <c r="S315" i="3"/>
  <c r="S239" i="3"/>
  <c r="S767" i="3"/>
  <c r="S870" i="3"/>
  <c r="S739" i="3"/>
  <c r="S1194" i="3"/>
  <c r="S554" i="3"/>
  <c r="S463" i="3"/>
  <c r="S1060" i="3"/>
  <c r="S1195" i="3"/>
  <c r="S736" i="3"/>
  <c r="S1124" i="3"/>
  <c r="S1048" i="3"/>
  <c r="S582" i="3"/>
  <c r="S1015" i="3"/>
  <c r="S850" i="3"/>
  <c r="S147" i="3"/>
  <c r="S295" i="3"/>
  <c r="S384" i="3"/>
  <c r="S1208" i="3"/>
  <c r="S205" i="3"/>
  <c r="S402" i="3"/>
  <c r="S1135" i="3"/>
  <c r="S97" i="3"/>
  <c r="S857" i="3"/>
  <c r="S953" i="3"/>
  <c r="S733" i="3"/>
  <c r="S390" i="3"/>
  <c r="S235" i="3"/>
  <c r="S798" i="3"/>
  <c r="S646" i="3"/>
  <c r="S195" i="3"/>
  <c r="S230" i="3"/>
  <c r="S84" i="3"/>
  <c r="S1056" i="3"/>
  <c r="S70" i="3"/>
  <c r="S703" i="3"/>
  <c r="S132" i="3"/>
  <c r="S678" i="3"/>
  <c r="S946" i="3"/>
  <c r="S455" i="3"/>
  <c r="S922" i="3"/>
  <c r="S842" i="3"/>
  <c r="S386" i="3"/>
  <c r="S975" i="3"/>
  <c r="S486" i="3"/>
  <c r="S420" i="3"/>
  <c r="S761" i="3"/>
  <c r="S1210" i="3"/>
  <c r="S133" i="3"/>
  <c r="S168" i="3"/>
  <c r="S349" i="3"/>
  <c r="S763" i="3"/>
  <c r="S114" i="3"/>
  <c r="S1094" i="3"/>
  <c r="S72" i="3"/>
  <c r="S1104" i="3"/>
  <c r="S185" i="3"/>
  <c r="S548" i="3"/>
  <c r="S459" i="3"/>
  <c r="S515" i="3"/>
  <c r="S787" i="3"/>
  <c r="S1144" i="3"/>
  <c r="S880" i="3"/>
  <c r="S441" i="3"/>
  <c r="S799" i="3"/>
  <c r="S539" i="3"/>
  <c r="S1204" i="3"/>
  <c r="S590" i="3"/>
  <c r="S940" i="3"/>
  <c r="S1032" i="3"/>
  <c r="S856" i="3"/>
  <c r="S488" i="3"/>
  <c r="S854" i="3"/>
  <c r="S490" i="3"/>
  <c r="S328" i="3"/>
  <c r="S1202" i="3"/>
  <c r="S624" i="3"/>
  <c r="S319" i="3"/>
  <c r="S996" i="3"/>
  <c r="S606" i="3"/>
  <c r="S977" i="3"/>
  <c r="S304" i="3"/>
  <c r="S359" i="3"/>
  <c r="S543" i="3"/>
  <c r="S727" i="3"/>
  <c r="S516" i="3"/>
  <c r="S810" i="3"/>
  <c r="S186" i="3"/>
  <c r="S105" i="3"/>
  <c r="S867" i="3"/>
  <c r="S331" i="3"/>
  <c r="S1036" i="3"/>
  <c r="S233" i="3"/>
  <c r="S175" i="3"/>
  <c r="S966" i="3"/>
  <c r="S307" i="3"/>
  <c r="S888" i="3"/>
  <c r="S53" i="3"/>
  <c r="S581" i="3"/>
  <c r="S899" i="3"/>
  <c r="S1053" i="3"/>
  <c r="S524" i="3"/>
  <c r="S290" i="3"/>
  <c r="S472" i="3"/>
  <c r="S782" i="3"/>
  <c r="S130" i="3"/>
  <c r="S511" i="3"/>
  <c r="S1062" i="3"/>
  <c r="S1024" i="3"/>
  <c r="S444" i="3"/>
  <c r="S119" i="3"/>
  <c r="S770" i="3"/>
  <c r="S56" i="3"/>
  <c r="S1188" i="3"/>
  <c r="S215" i="3"/>
  <c r="S484" i="3"/>
  <c r="S395" i="3"/>
  <c r="S547" i="3"/>
  <c r="S164" i="3"/>
  <c r="S360" i="3"/>
  <c r="S722" i="3"/>
  <c r="S957" i="3"/>
  <c r="S460" i="3"/>
  <c r="S1082" i="3"/>
  <c r="S418" i="3"/>
  <c r="S830" i="3"/>
  <c r="S453" i="3"/>
  <c r="S932" i="3"/>
  <c r="S385" i="3"/>
  <c r="S555" i="3"/>
  <c r="S94" i="3"/>
  <c r="S1075" i="3"/>
  <c r="S565" i="3"/>
  <c r="S445" i="3"/>
  <c r="S947" i="3"/>
  <c r="S326" i="3"/>
  <c r="S442" i="3"/>
  <c r="S231" i="3"/>
  <c r="S900" i="3"/>
  <c r="S382" i="3"/>
  <c r="S973" i="3"/>
  <c r="S80" i="3"/>
  <c r="S247" i="3"/>
  <c r="S643" i="3"/>
  <c r="S618" i="3"/>
  <c r="S409" i="3"/>
  <c r="S203" i="3"/>
  <c r="S115" i="3"/>
  <c r="S710" i="3"/>
  <c r="S693" i="3"/>
  <c r="S658" i="3"/>
  <c r="S580" i="3"/>
  <c r="S775" i="3"/>
  <c r="S1164" i="3"/>
  <c r="S809" i="3"/>
  <c r="S906" i="3"/>
  <c r="S1136" i="3"/>
  <c r="S1001" i="3"/>
  <c r="S1095" i="3"/>
  <c r="S1029" i="3"/>
  <c r="S491" i="3"/>
  <c r="S958" i="3"/>
  <c r="S246" i="3"/>
  <c r="S786" i="3"/>
  <c r="S866" i="3"/>
  <c r="S513" i="3"/>
  <c r="S1192" i="3"/>
  <c r="S934" i="3"/>
  <c r="S532" i="3"/>
  <c r="S286" i="3"/>
  <c r="S1019" i="3"/>
  <c r="S1084" i="3"/>
  <c r="S595" i="3"/>
  <c r="S413" i="3"/>
  <c r="S905" i="3"/>
  <c r="S588" i="3"/>
  <c r="S675" i="3"/>
  <c r="S992" i="3"/>
  <c r="S125" i="3"/>
  <c r="S261" i="3"/>
  <c r="S930" i="3"/>
  <c r="S758" i="3"/>
  <c r="S144" i="3"/>
  <c r="S388" i="3"/>
  <c r="S242" i="3"/>
  <c r="S149" i="3"/>
  <c r="S894" i="3"/>
  <c r="S324" i="3"/>
  <c r="S1038" i="3"/>
  <c r="S21" i="3"/>
  <c r="S874" i="3"/>
  <c r="S378" i="3"/>
  <c r="S1142" i="3"/>
  <c r="S213" i="3"/>
  <c r="S299" i="3"/>
  <c r="S964" i="3"/>
  <c r="S567" i="3"/>
  <c r="S660" i="3"/>
  <c r="S980" i="3"/>
  <c r="S1083" i="3"/>
  <c r="S1010" i="3"/>
  <c r="S337" i="3"/>
  <c r="S352" i="3"/>
  <c r="S575" i="3"/>
  <c r="S883" i="3"/>
  <c r="S450" i="3"/>
  <c r="S1173" i="3"/>
  <c r="S297" i="3"/>
  <c r="S587" i="3"/>
  <c r="S797" i="3"/>
  <c r="S702" i="3"/>
  <c r="S633" i="3"/>
  <c r="S669" i="3"/>
  <c r="S843" i="3"/>
  <c r="S613" i="3"/>
  <c r="S1035" i="3"/>
  <c r="S318" i="3"/>
  <c r="S572" i="3"/>
  <c r="S577" i="3"/>
  <c r="S626" i="3"/>
  <c r="S410" i="3"/>
  <c r="S1121" i="3"/>
  <c r="S136" i="3"/>
  <c r="S466" i="3"/>
  <c r="S950" i="3"/>
  <c r="S805" i="3"/>
  <c r="S346" i="3"/>
  <c r="S254" i="3"/>
  <c r="S792" i="3"/>
  <c r="S1116" i="3"/>
  <c r="S353" i="3"/>
  <c r="S804" i="3"/>
  <c r="S893" i="3"/>
  <c r="S802" i="3"/>
  <c r="S853" i="3"/>
  <c r="S408" i="3"/>
  <c r="S381" i="3"/>
  <c r="S960" i="3"/>
  <c r="S709" i="3"/>
  <c r="S1103" i="3"/>
  <c r="S265" i="3"/>
  <c r="S1166" i="3"/>
  <c r="S1174" i="3"/>
  <c r="S942" i="3"/>
  <c r="S363" i="3"/>
  <c r="S557" i="3"/>
  <c r="S743" i="3"/>
  <c r="S520" i="3"/>
  <c r="S1076" i="3"/>
  <c r="S625" i="3"/>
  <c r="S706" i="3"/>
  <c r="S234" i="3"/>
  <c r="S656" i="3"/>
  <c r="S214" i="3"/>
  <c r="S496" i="3"/>
  <c r="S207" i="3"/>
  <c r="S332" i="3"/>
  <c r="S174" i="3"/>
  <c r="S821" i="3"/>
  <c r="S1114" i="3"/>
  <c r="S598" i="3"/>
  <c r="S336" i="3"/>
  <c r="S253" i="3"/>
  <c r="S812" i="3"/>
  <c r="S243" i="3"/>
  <c r="S1022" i="3"/>
  <c r="S1018" i="3"/>
  <c r="S519" i="3"/>
  <c r="S902" i="3"/>
  <c r="S236" i="3"/>
  <c r="S773" i="3"/>
  <c r="S600" i="3"/>
  <c r="S998" i="3"/>
  <c r="S439" i="3"/>
  <c r="S1139" i="3"/>
  <c r="S45" i="3"/>
  <c r="S890" i="3"/>
  <c r="S154" i="3"/>
  <c r="S101" i="3"/>
  <c r="S1137" i="3"/>
  <c r="S440" i="3"/>
  <c r="S558" i="3"/>
  <c r="S561" i="3"/>
  <c r="S1047" i="3"/>
  <c r="S913" i="3"/>
  <c r="S657" i="3"/>
  <c r="S841" i="3"/>
  <c r="S685" i="3"/>
  <c r="S542" i="3"/>
  <c r="S364" i="3"/>
  <c r="S668" i="3"/>
  <c r="S982" i="3"/>
  <c r="S434" i="3"/>
  <c r="S614" i="3"/>
  <c r="S1128" i="3"/>
  <c r="S244" i="3"/>
  <c r="S416" i="3"/>
  <c r="S529" i="3"/>
  <c r="S121" i="3"/>
  <c r="S1197" i="3"/>
  <c r="S878" i="3"/>
  <c r="S1073" i="3"/>
  <c r="S1097" i="3"/>
  <c r="S1117" i="3"/>
  <c r="S163" i="3"/>
  <c r="S909" i="3"/>
  <c r="S153" i="3"/>
  <c r="S848" i="3"/>
  <c r="S926" i="3"/>
  <c r="S198" i="3"/>
  <c r="S78" i="3"/>
  <c r="S673" i="3"/>
  <c r="S838" i="3"/>
  <c r="S828" i="3"/>
  <c r="S104" i="3"/>
  <c r="S1065" i="3"/>
  <c r="S422" i="3"/>
  <c r="S1013" i="3"/>
  <c r="S61" i="3"/>
  <c r="S552" i="3"/>
  <c r="S681" i="3"/>
  <c r="S837" i="3"/>
  <c r="S989" i="3"/>
  <c r="S796" i="3"/>
  <c r="S875" i="3"/>
  <c r="S622" i="3"/>
  <c r="S923" i="3"/>
  <c r="S34" i="3"/>
  <c r="S428" i="3"/>
  <c r="S414" i="3"/>
  <c r="S202" i="3"/>
  <c r="S915" i="3"/>
  <c r="S160" i="3"/>
  <c r="S879" i="3"/>
  <c r="S392" i="3"/>
  <c r="S562" i="3"/>
  <c r="S538" i="3"/>
  <c r="S194" i="3"/>
  <c r="S563" i="3"/>
  <c r="S700" i="3"/>
  <c r="S756" i="3"/>
  <c r="S919" i="3"/>
  <c r="S892" i="3"/>
  <c r="S612" i="3"/>
  <c r="S991" i="3"/>
  <c r="S911" i="3"/>
  <c r="S1014" i="3"/>
  <c r="S1200" i="3"/>
  <c r="S983" i="3"/>
  <c r="S57" i="3"/>
  <c r="S1110" i="3"/>
  <c r="S891" i="3"/>
  <c r="S471" i="3"/>
  <c r="S1157" i="3"/>
  <c r="S347" i="3"/>
  <c r="S1093" i="3"/>
  <c r="S221" i="3"/>
  <c r="S707" i="3"/>
  <c r="S602" i="3"/>
  <c r="S317" i="3"/>
  <c r="S884" i="3"/>
  <c r="S88" i="3"/>
  <c r="S864" i="3"/>
  <c r="S771" i="3"/>
  <c r="S1170" i="3"/>
  <c r="S720" i="3"/>
  <c r="S868" i="3"/>
  <c r="S1207" i="3"/>
  <c r="S662" i="3"/>
  <c r="S447" i="3"/>
  <c r="S159" i="3"/>
  <c r="S289" i="3"/>
  <c r="S302" i="3"/>
  <c r="S886" i="3"/>
  <c r="S682" i="3"/>
  <c r="S137" i="3"/>
  <c r="S713" i="3"/>
  <c r="S419" i="3"/>
  <c r="S118" i="3"/>
  <c r="S928" i="3"/>
  <c r="S817" i="3"/>
  <c r="S350" i="3"/>
  <c r="S910" i="3"/>
  <c r="S591" i="3"/>
  <c r="S628" i="3"/>
  <c r="S861" i="3"/>
  <c r="S732" i="3"/>
  <c r="S1074" i="3"/>
  <c r="S877" i="3"/>
  <c r="S724" i="3"/>
  <c r="S274" i="3"/>
  <c r="S999" i="3"/>
  <c r="S340" i="3"/>
  <c r="S158" i="3"/>
  <c r="S394" i="3"/>
  <c r="S510" i="3"/>
  <c r="S851" i="3"/>
  <c r="S31" i="3"/>
  <c r="S1181" i="3"/>
  <c r="S1069" i="3"/>
  <c r="S467" i="3"/>
  <c r="S1000" i="3"/>
  <c r="S480" i="3"/>
  <c r="S679" i="3"/>
  <c r="S559" i="3"/>
  <c r="S1182" i="3"/>
  <c r="S91" i="3"/>
  <c r="S970" i="3"/>
  <c r="S994" i="3"/>
  <c r="S536" i="3"/>
  <c r="S323" i="3"/>
  <c r="S44" i="3"/>
  <c r="S801" i="3"/>
  <c r="S208" i="3"/>
  <c r="S1175" i="3"/>
  <c r="S28" i="3"/>
  <c r="S426" i="3"/>
  <c r="S411" i="3"/>
  <c r="S126" i="3"/>
  <c r="S768" i="3"/>
  <c r="S316" i="3"/>
  <c r="S978" i="3"/>
  <c r="S974" i="3"/>
  <c r="S855" i="3"/>
  <c r="S718" i="3"/>
  <c r="S76" i="3"/>
  <c r="S48" i="3"/>
  <c r="S1033" i="3"/>
  <c r="S755" i="3"/>
  <c r="S684" i="3"/>
  <c r="S1189" i="3"/>
  <c r="S972" i="3"/>
  <c r="S276" i="3"/>
  <c r="S815" i="3"/>
  <c r="S342" i="3"/>
  <c r="S469" i="3"/>
  <c r="S13" i="3"/>
  <c r="S140" i="3"/>
  <c r="S738" i="3"/>
  <c r="S129" i="3"/>
  <c r="S399" i="3"/>
  <c r="S1162" i="3"/>
  <c r="S908" i="3"/>
  <c r="S517" i="3"/>
  <c r="S269" i="3"/>
  <c r="S362" i="3"/>
  <c r="S1091" i="3"/>
  <c r="S489" i="3"/>
  <c r="S508" i="3"/>
  <c r="S102" i="3"/>
  <c r="S984" i="3"/>
  <c r="S1045" i="3"/>
  <c r="S979" i="3"/>
  <c r="S697" i="3"/>
  <c r="S1171" i="3"/>
  <c r="S762" i="3"/>
  <c r="S971" i="3"/>
  <c r="S106" i="3"/>
  <c r="S869" i="3"/>
  <c r="S826" i="3"/>
  <c r="S461" i="3"/>
  <c r="S371" i="3"/>
  <c r="S116" i="3"/>
  <c r="S858" i="3"/>
  <c r="S596" i="3"/>
  <c r="S995" i="3"/>
  <c r="S152" i="3"/>
  <c r="S334" i="3"/>
  <c r="S611" i="3"/>
  <c r="S1052" i="3"/>
  <c r="S294" i="3"/>
  <c r="S929" i="3"/>
  <c r="S846" i="3"/>
  <c r="S526" i="3"/>
  <c r="S1152" i="3"/>
  <c r="S1191" i="3"/>
  <c r="S270" i="3"/>
  <c r="S688" i="3"/>
  <c r="S113" i="3"/>
  <c r="S898" i="3"/>
  <c r="S162" i="3"/>
  <c r="S1122" i="3"/>
  <c r="S621" i="3"/>
  <c r="S1180" i="3"/>
  <c r="S550" i="3"/>
  <c r="S89" i="3"/>
  <c r="S355" i="3"/>
  <c r="S156" i="3"/>
  <c r="S15" i="3"/>
  <c r="S862" i="3"/>
  <c r="S32" i="3"/>
  <c r="S1214" i="3"/>
  <c r="S93" i="3"/>
  <c r="S949" i="3"/>
  <c r="S321" i="3"/>
  <c r="S223" i="3"/>
  <c r="S41" i="3"/>
  <c r="S138" i="3"/>
  <c r="S379" i="3"/>
  <c r="S376" i="3"/>
  <c r="S968" i="3"/>
  <c r="S167" i="3"/>
  <c r="S1111" i="3"/>
  <c r="S283" i="3"/>
  <c r="S680" i="3"/>
  <c r="S664" i="3"/>
  <c r="S1125" i="3"/>
  <c r="S1046" i="3"/>
  <c r="S1212" i="3"/>
  <c r="S448" i="3"/>
  <c r="S1176" i="3"/>
  <c r="S824" i="3"/>
  <c r="S783" i="3"/>
  <c r="S108" i="3"/>
  <c r="S631" i="3"/>
  <c r="S959" i="3"/>
  <c r="S279" i="3"/>
  <c r="S901" i="3"/>
  <c r="S760" i="3"/>
  <c r="S1167" i="3"/>
  <c r="S383" i="3"/>
  <c r="S209" i="3"/>
  <c r="S1168" i="3"/>
  <c r="S1088" i="3"/>
  <c r="S16" i="3"/>
  <c r="S1077" i="3"/>
  <c r="S64" i="3"/>
  <c r="S112" i="3"/>
  <c r="S345" i="3"/>
  <c r="S430" i="3"/>
  <c r="S865" i="3"/>
  <c r="S1011" i="3"/>
  <c r="S474" i="3"/>
  <c r="S184" i="3"/>
  <c r="S462" i="3"/>
  <c r="S607" i="3"/>
  <c r="S593" i="3"/>
  <c r="S255" i="3"/>
  <c r="S178" i="3"/>
  <c r="S753" i="3"/>
  <c r="S647" i="3"/>
  <c r="S122" i="3"/>
  <c r="S451" i="3"/>
  <c r="S1027" i="3"/>
  <c r="S715" i="3"/>
  <c r="S271" i="3"/>
  <c r="S452" i="3"/>
  <c r="S322" i="3"/>
  <c r="S1185" i="3"/>
  <c r="S609" i="3"/>
  <c r="S192" i="3"/>
  <c r="S189" i="3"/>
  <c r="S882" i="3"/>
  <c r="S777" i="3"/>
  <c r="S666" i="3"/>
  <c r="S1134" i="3"/>
  <c r="S790" i="3"/>
  <c r="S330" i="3"/>
  <c r="S1049" i="3"/>
  <c r="S1068" i="3"/>
  <c r="S356" i="3"/>
  <c r="S734" i="3"/>
  <c r="S1127" i="3"/>
  <c r="S686" i="3"/>
  <c r="S170" i="3"/>
  <c r="S811" i="3"/>
  <c r="S935" i="3"/>
  <c r="S182" i="3"/>
  <c r="S1064" i="3"/>
  <c r="S1184" i="3"/>
  <c r="S171" i="3"/>
  <c r="S535" i="3"/>
  <c r="S33" i="3"/>
  <c r="S1199" i="3"/>
  <c r="S284" i="3"/>
  <c r="S918" i="3"/>
  <c r="S329" i="3"/>
  <c r="S361" i="3"/>
  <c r="S616" i="3"/>
  <c r="S300" i="3"/>
  <c r="S1118" i="3"/>
  <c r="S457" i="3"/>
  <c r="S981" i="3"/>
  <c r="S917" i="3"/>
  <c r="S262" i="3"/>
  <c r="S465" i="3"/>
  <c r="S1058" i="3"/>
  <c r="S844" i="3"/>
  <c r="S541" i="3"/>
  <c r="S142" i="3"/>
  <c r="S117" i="3"/>
  <c r="S1106" i="3"/>
  <c r="S238" i="3"/>
  <c r="S404" i="3"/>
  <c r="S25" i="3"/>
  <c r="S358" i="3"/>
  <c r="S333" i="3"/>
  <c r="S931" i="3"/>
  <c r="S458" i="3"/>
  <c r="S963" i="3"/>
  <c r="S814" i="3"/>
  <c r="S1140" i="3"/>
  <c r="S728" i="3"/>
  <c r="S1141" i="3"/>
  <c r="S51" i="3"/>
  <c r="S603" i="3"/>
  <c r="S1102" i="3"/>
  <c r="S250" i="3"/>
  <c r="S757" i="3"/>
  <c r="S241" i="3"/>
  <c r="S579" i="3"/>
  <c r="S522" i="3"/>
  <c r="S187" i="3"/>
  <c r="S764" i="3"/>
  <c r="S1161" i="3"/>
  <c r="S1105" i="3"/>
  <c r="S107" i="3"/>
  <c r="S1079" i="3"/>
  <c r="S1131" i="3"/>
  <c r="S1099" i="3"/>
  <c r="S22" i="3"/>
  <c r="S833" i="3"/>
  <c r="S58" i="3"/>
  <c r="S71" i="3"/>
  <c r="S832" i="3"/>
  <c r="S719" i="3"/>
  <c r="S63" i="3"/>
  <c r="S774" i="3"/>
  <c r="S1179" i="3"/>
  <c r="S502" i="3"/>
  <c r="S1148" i="3"/>
  <c r="S788" i="3"/>
  <c r="S433" i="3"/>
  <c r="S965" i="3"/>
  <c r="S431" i="3"/>
  <c r="S100" i="3"/>
  <c r="S745" i="3"/>
  <c r="S427" i="3"/>
  <c r="S20" i="3"/>
  <c r="S348" i="3"/>
  <c r="S933" i="3"/>
  <c r="S1041" i="3"/>
  <c r="S68" i="3"/>
  <c r="S711" i="3"/>
  <c r="S637" i="3"/>
  <c r="S232" i="3"/>
  <c r="S111" i="3"/>
  <c r="S632" i="3"/>
  <c r="S976" i="3"/>
  <c r="S339" i="3"/>
  <c r="S196" i="3"/>
  <c r="S1201" i="3"/>
  <c r="S338" i="3"/>
  <c r="S1004" i="3"/>
  <c r="S224" i="3"/>
  <c r="S967" i="3"/>
  <c r="S1213" i="3"/>
  <c r="S320" i="3"/>
  <c r="S1133" i="3"/>
  <c r="S211" i="3"/>
  <c r="S50" i="3"/>
  <c r="S1078" i="3"/>
  <c r="S583" i="3"/>
  <c r="S671" i="3"/>
  <c r="S849" i="3"/>
  <c r="S165" i="3"/>
  <c r="S731" i="3"/>
  <c r="S212" i="3"/>
  <c r="S776" i="3"/>
  <c r="S240" i="3"/>
  <c r="S298" i="3"/>
  <c r="S368" i="3"/>
  <c r="S449" i="3"/>
  <c r="S83" i="3"/>
  <c r="S1101" i="3"/>
  <c r="S956" i="3"/>
  <c r="S1037" i="3"/>
  <c r="S98" i="3"/>
  <c r="S393" i="3"/>
  <c r="S292" i="3"/>
  <c r="S1126" i="3"/>
  <c r="S1061" i="3"/>
  <c r="S610" i="3"/>
  <c r="S482" i="3"/>
  <c r="S131" i="3"/>
  <c r="S123" i="3"/>
  <c r="S500" i="3"/>
  <c r="S564" i="3"/>
  <c r="S150" i="3"/>
  <c r="S257" i="3"/>
  <c r="S256" i="3"/>
  <c r="S531" i="3"/>
  <c r="S1057" i="3"/>
  <c r="S1172" i="3"/>
  <c r="S296" i="3"/>
  <c r="S566" i="3"/>
  <c r="S617" i="3"/>
  <c r="S807" i="3"/>
  <c r="S1113" i="3"/>
  <c r="S1087" i="3"/>
  <c r="S23" i="3"/>
  <c r="S806" i="3"/>
  <c r="S941" i="3"/>
  <c r="S574" i="3"/>
  <c r="S754" i="3"/>
  <c r="S143" i="3"/>
  <c r="S751" i="3"/>
  <c r="S95" i="3"/>
  <c r="S735" i="3"/>
  <c r="S652" i="3"/>
  <c r="S829" i="3"/>
  <c r="S229" i="3"/>
  <c r="S839" i="3"/>
  <c r="S969" i="3"/>
  <c r="S955" i="3"/>
  <c r="S128" i="3"/>
  <c r="S148" i="3"/>
  <c r="S438" i="3"/>
  <c r="S716" i="3"/>
  <c r="S498" i="3"/>
  <c r="S1178" i="3"/>
  <c r="S1123" i="3"/>
  <c r="S744" i="3"/>
  <c r="S309" i="3"/>
  <c r="S151" i="3"/>
  <c r="S14" i="3"/>
  <c r="T13" i="3" s="1"/>
  <c r="S521" i="3"/>
  <c r="S800" i="3"/>
  <c r="S200" i="3"/>
  <c r="S1203" i="3"/>
  <c r="S263" i="3"/>
  <c r="S161" i="3"/>
  <c r="S59" i="3"/>
  <c r="S206" i="3"/>
  <c r="S1112" i="3"/>
  <c r="S813" i="3"/>
  <c r="S650" i="3"/>
  <c r="S483" i="3"/>
  <c r="S692" i="3"/>
  <c r="S903" i="3"/>
  <c r="S403" i="3"/>
  <c r="S556" i="3"/>
  <c r="S96" i="3"/>
  <c r="S589" i="3"/>
  <c r="S373" i="3"/>
  <c r="S417" i="3"/>
  <c r="S1040" i="3"/>
  <c r="S765" i="3"/>
  <c r="S67" i="3"/>
  <c r="S252" i="3"/>
  <c r="S387" i="3"/>
  <c r="S1002" i="3"/>
  <c r="S1186" i="3"/>
  <c r="S623" i="3"/>
  <c r="S476" i="3"/>
  <c r="S401" i="3"/>
  <c r="S86" i="3"/>
  <c r="S311" i="3"/>
  <c r="S210" i="3"/>
  <c r="S748" i="3"/>
  <c r="S895" i="3"/>
  <c r="S1059" i="3"/>
  <c r="S985" i="3"/>
  <c r="S1165" i="3"/>
  <c r="S494" i="3"/>
  <c r="S573" i="3"/>
  <c r="S509" i="3"/>
  <c r="S630" i="3"/>
  <c r="S1007" i="3"/>
  <c r="S1098" i="3"/>
  <c r="S721" i="3"/>
  <c r="S840" i="3"/>
  <c r="S717" i="3"/>
  <c r="S280" i="3"/>
  <c r="S534" i="3"/>
  <c r="S248" i="3"/>
  <c r="S1163" i="3"/>
  <c r="S1021" i="3"/>
  <c r="S228" i="3"/>
  <c r="S199" i="3"/>
  <c r="S127" i="3"/>
  <c r="S497" i="3"/>
  <c r="S818" i="3"/>
  <c r="S987" i="3"/>
  <c r="S75" i="3"/>
  <c r="S648" i="3"/>
  <c r="S82" i="3"/>
  <c r="S1085" i="3"/>
  <c r="S425" i="3"/>
  <c r="S750" i="3"/>
  <c r="S1156" i="3"/>
  <c r="S904" i="3"/>
  <c r="S327" i="3"/>
  <c r="S747" i="3"/>
  <c r="S1187" i="3"/>
  <c r="S1006" i="3"/>
  <c r="S391" i="3"/>
  <c r="S545" i="3"/>
  <c r="S251" i="3"/>
  <c r="S769" i="3"/>
  <c r="S936" i="3"/>
  <c r="S313" i="3"/>
  <c r="S314" i="3"/>
  <c r="S696" i="3"/>
  <c r="U13" i="3" a="1"/>
  <c r="X13" i="3" a="1"/>
  <c r="T501" i="3" l="1"/>
  <c r="T864" i="3"/>
  <c r="T798" i="3"/>
  <c r="AF16" i="3"/>
  <c r="AH15" i="3"/>
  <c r="T1133" i="3"/>
  <c r="T947" i="3"/>
  <c r="T1163" i="3"/>
  <c r="T136" i="3"/>
  <c r="T773" i="3"/>
  <c r="T659" i="3"/>
  <c r="T817" i="3"/>
  <c r="T807" i="3"/>
  <c r="T810" i="3"/>
  <c r="T900" i="3"/>
  <c r="T515" i="3"/>
  <c r="T1030" i="3"/>
  <c r="T163" i="3"/>
  <c r="T626" i="3"/>
  <c r="T956" i="3"/>
  <c r="T1204" i="3"/>
  <c r="T473" i="3"/>
  <c r="T863" i="3"/>
  <c r="T693" i="3"/>
  <c r="T739" i="3"/>
  <c r="T186" i="3"/>
  <c r="T906" i="3"/>
  <c r="T1039" i="3"/>
  <c r="T886" i="3"/>
  <c r="T1110" i="3"/>
  <c r="T601" i="3"/>
  <c r="T707" i="3"/>
  <c r="T246" i="3"/>
  <c r="T696" i="3"/>
  <c r="T438" i="3"/>
  <c r="T456" i="3"/>
  <c r="T517" i="3"/>
  <c r="T218" i="3"/>
  <c r="T1154" i="3"/>
  <c r="U623" i="3"/>
  <c r="U412" i="3"/>
  <c r="U273" i="3"/>
  <c r="U256" i="3"/>
  <c r="U223" i="3"/>
  <c r="U171" i="3"/>
  <c r="U726" i="3"/>
  <c r="U388" i="3"/>
  <c r="U632" i="3"/>
  <c r="U815" i="3"/>
  <c r="U1184" i="3"/>
  <c r="U68" i="3"/>
  <c r="U25" i="3"/>
  <c r="U827" i="3"/>
  <c r="U51" i="3"/>
  <c r="U164" i="3"/>
  <c r="U196" i="3"/>
  <c r="U380" i="3"/>
  <c r="U521" i="3"/>
  <c r="U1044" i="3"/>
  <c r="U339" i="3"/>
  <c r="U476" i="3"/>
  <c r="U524" i="3"/>
  <c r="U660" i="3"/>
  <c r="U305" i="3"/>
  <c r="U510" i="3"/>
  <c r="U589" i="3"/>
  <c r="U578" i="3"/>
  <c r="U1156" i="3"/>
  <c r="U153" i="3"/>
  <c r="U1204" i="3"/>
  <c r="U641" i="3"/>
  <c r="U655" i="3"/>
  <c r="U687" i="3"/>
  <c r="U104" i="3"/>
  <c r="U669" i="3"/>
  <c r="U108" i="3"/>
  <c r="U281" i="3"/>
  <c r="U517" i="3"/>
  <c r="U590" i="3"/>
  <c r="U1179" i="3"/>
  <c r="U430" i="3"/>
  <c r="U993" i="3"/>
  <c r="U419" i="3"/>
  <c r="U320" i="3"/>
  <c r="U308" i="3"/>
  <c r="U657" i="3"/>
  <c r="U219" i="3"/>
  <c r="U978" i="3"/>
  <c r="U40" i="3"/>
  <c r="U239" i="3"/>
  <c r="U604" i="3"/>
  <c r="U283" i="3"/>
  <c r="U307" i="3"/>
  <c r="U403" i="3"/>
  <c r="U1213" i="3"/>
  <c r="U1079" i="3"/>
  <c r="U47" i="3"/>
  <c r="U451" i="3"/>
  <c r="U483" i="3"/>
  <c r="U579" i="3"/>
  <c r="U586" i="3"/>
  <c r="U133" i="3"/>
  <c r="U359" i="3"/>
  <c r="U595" i="3"/>
  <c r="U659" i="3"/>
  <c r="U212" i="3"/>
  <c r="U501" i="3"/>
  <c r="U1168" i="3"/>
  <c r="U1192" i="3"/>
  <c r="U136" i="3"/>
  <c r="U929" i="3"/>
  <c r="U755" i="3"/>
  <c r="U984" i="3"/>
  <c r="U64" i="3"/>
  <c r="U914" i="3"/>
  <c r="U970" i="3"/>
  <c r="U82" i="3"/>
  <c r="U402" i="3"/>
  <c r="U209" i="3"/>
  <c r="U428" i="3"/>
  <c r="U279" i="3"/>
  <c r="U386" i="3"/>
  <c r="U853" i="3"/>
  <c r="U33" i="3"/>
  <c r="U481" i="3"/>
  <c r="U443" i="3"/>
  <c r="U790" i="3"/>
  <c r="U13" i="3"/>
  <c r="U269" i="3"/>
  <c r="U262" i="3"/>
  <c r="U1214" i="3"/>
  <c r="U539" i="3"/>
  <c r="U318" i="3"/>
  <c r="U446" i="3"/>
  <c r="U686" i="3"/>
  <c r="U661" i="3"/>
  <c r="U1138" i="3"/>
  <c r="U635" i="3"/>
  <c r="U711" i="3"/>
  <c r="U753" i="3"/>
  <c r="U540" i="3"/>
  <c r="U31" i="3"/>
  <c r="U110" i="3"/>
  <c r="U355" i="3"/>
  <c r="U746" i="3"/>
  <c r="U849" i="3"/>
  <c r="U174" i="3"/>
  <c r="U904" i="3"/>
  <c r="U66" i="3"/>
  <c r="U1171" i="3"/>
  <c r="U1195" i="3"/>
  <c r="U142" i="3"/>
  <c r="U580" i="3"/>
  <c r="U569" i="3"/>
  <c r="U676" i="3"/>
  <c r="U75" i="3"/>
  <c r="U127" i="3"/>
  <c r="U607" i="3"/>
  <c r="U734" i="3"/>
  <c r="U953" i="3"/>
  <c r="U71" i="3"/>
  <c r="U1068" i="3"/>
  <c r="U1092" i="3"/>
  <c r="U1148" i="3"/>
  <c r="U28" i="3"/>
  <c r="U646" i="3"/>
  <c r="U175" i="3"/>
  <c r="U1164" i="3"/>
  <c r="U1188" i="3"/>
  <c r="U122" i="3"/>
  <c r="U644" i="3"/>
  <c r="U1116" i="3"/>
  <c r="U471" i="3"/>
  <c r="U173" i="3"/>
  <c r="U250" i="3"/>
  <c r="U224" i="3"/>
  <c r="U114" i="3"/>
  <c r="U312" i="3"/>
  <c r="U117" i="3"/>
  <c r="U351" i="3"/>
  <c r="U741" i="3"/>
  <c r="U1183" i="3"/>
  <c r="U843" i="3"/>
  <c r="U272" i="3"/>
  <c r="U956" i="3"/>
  <c r="U983" i="3"/>
  <c r="U440" i="3"/>
  <c r="U335" i="3"/>
  <c r="U123" i="3"/>
  <c r="U882" i="3"/>
  <c r="U227" i="3"/>
  <c r="U275" i="3"/>
  <c r="U639" i="3"/>
  <c r="U396" i="3"/>
  <c r="U363" i="3"/>
  <c r="U829" i="3"/>
  <c r="U856" i="3"/>
  <c r="U304" i="3"/>
  <c r="U218" i="3"/>
  <c r="U266" i="3"/>
  <c r="U459" i="3"/>
  <c r="U939" i="3"/>
  <c r="U966" i="3"/>
  <c r="U648" i="3"/>
  <c r="U807" i="3"/>
  <c r="U1174" i="3"/>
  <c r="U651" i="3"/>
  <c r="U1046" i="3"/>
  <c r="U1070" i="3"/>
  <c r="U1026" i="3"/>
  <c r="U845" i="3"/>
  <c r="U498" i="3"/>
  <c r="U1108" i="3"/>
  <c r="U257" i="3"/>
  <c r="U463" i="3"/>
  <c r="U495" i="3"/>
  <c r="U599" i="3"/>
  <c r="U689" i="3"/>
  <c r="U857" i="3"/>
  <c r="U885" i="3"/>
  <c r="U466" i="3"/>
  <c r="U1132" i="3"/>
  <c r="U268" i="3"/>
  <c r="U1053" i="3"/>
  <c r="U871" i="3"/>
  <c r="U1101" i="3"/>
  <c r="U645" i="3"/>
  <c r="U514" i="3"/>
  <c r="U383" i="3"/>
  <c r="U1027" i="3"/>
  <c r="U658" i="3"/>
  <c r="U92" i="3"/>
  <c r="U169" i="3"/>
  <c r="U492" i="3"/>
  <c r="U449" i="3"/>
  <c r="U131" i="3"/>
  <c r="U194" i="3"/>
  <c r="U732" i="3"/>
  <c r="U594" i="3"/>
  <c r="U782" i="3"/>
  <c r="U65" i="3"/>
  <c r="U588" i="3"/>
  <c r="U473" i="3"/>
  <c r="U739" i="3"/>
  <c r="U771" i="3"/>
  <c r="U526" i="3"/>
  <c r="U865" i="3"/>
  <c r="U684" i="3"/>
  <c r="U665" i="3"/>
  <c r="U859" i="3"/>
  <c r="U886" i="3"/>
  <c r="U863" i="3"/>
  <c r="U1030" i="3"/>
  <c r="U20" i="3"/>
  <c r="U774" i="3"/>
  <c r="U968" i="3"/>
  <c r="U996" i="3"/>
  <c r="U527" i="3"/>
  <c r="U820" i="3"/>
  <c r="U554" i="3"/>
  <c r="U875" i="3"/>
  <c r="U647" i="3"/>
  <c r="U754" i="3"/>
  <c r="U802" i="3"/>
  <c r="U15" i="3"/>
  <c r="U76" i="3"/>
  <c r="U518" i="3"/>
  <c r="U572" i="3"/>
  <c r="U1165" i="3"/>
  <c r="U389" i="3"/>
  <c r="U323" i="3"/>
  <c r="U958" i="3"/>
  <c r="U533" i="3"/>
  <c r="U1013" i="3"/>
  <c r="U460" i="3"/>
  <c r="U509" i="3"/>
  <c r="U1124" i="3"/>
  <c r="U52" i="3"/>
  <c r="U697" i="3"/>
  <c r="U543" i="3"/>
  <c r="U282" i="3"/>
  <c r="U132" i="3"/>
  <c r="U159" i="3"/>
  <c r="U938" i="3"/>
  <c r="U23" i="3"/>
  <c r="U511" i="3"/>
  <c r="U255" i="3"/>
  <c r="U1060" i="3"/>
  <c r="U263" i="3"/>
  <c r="U236" i="3"/>
  <c r="U319" i="3"/>
  <c r="U907" i="3"/>
  <c r="U376" i="3"/>
  <c r="U921" i="3"/>
  <c r="U841" i="3"/>
  <c r="U332" i="3"/>
  <c r="U415" i="3"/>
  <c r="U61" i="3"/>
  <c r="U528" i="3"/>
  <c r="U1103" i="3"/>
  <c r="U997" i="3"/>
  <c r="U252" i="3"/>
  <c r="U100" i="3"/>
  <c r="U1198" i="3"/>
  <c r="U688" i="3"/>
  <c r="U609" i="3"/>
  <c r="U728" i="3"/>
  <c r="U1173" i="3"/>
  <c r="U792" i="3"/>
  <c r="U962" i="3"/>
  <c r="U1075" i="3"/>
  <c r="U1099" i="3"/>
  <c r="U151" i="3"/>
  <c r="U631" i="3"/>
  <c r="U1210" i="3"/>
  <c r="U675" i="3"/>
  <c r="U134" i="3"/>
  <c r="U897" i="3"/>
  <c r="U62" i="3"/>
  <c r="U729" i="3"/>
  <c r="U254" i="3"/>
  <c r="U793" i="3"/>
  <c r="U544" i="3"/>
  <c r="U321" i="3"/>
  <c r="U1128" i="3"/>
  <c r="U884" i="3"/>
  <c r="U719" i="3"/>
  <c r="U59" i="3"/>
  <c r="U625" i="3"/>
  <c r="U348" i="3"/>
  <c r="U640" i="3"/>
  <c r="U124" i="3"/>
  <c r="U35" i="3"/>
  <c r="U99" i="3"/>
  <c r="U243" i="3"/>
  <c r="U300" i="3"/>
  <c r="U251" i="3"/>
  <c r="U423" i="3"/>
  <c r="U587" i="3"/>
  <c r="U295" i="3"/>
  <c r="U546" i="3"/>
  <c r="U961" i="3"/>
  <c r="U479" i="3"/>
  <c r="U519" i="3"/>
  <c r="U145" i="3"/>
  <c r="U487" i="3"/>
  <c r="U233" i="3"/>
  <c r="U1074" i="3"/>
  <c r="U144" i="3"/>
  <c r="U32" i="3"/>
  <c r="U730" i="3"/>
  <c r="U679" i="3"/>
  <c r="U489" i="3"/>
  <c r="U39" i="3"/>
  <c r="U833" i="3"/>
  <c r="U1087" i="3"/>
  <c r="U1162" i="3"/>
  <c r="U176" i="3"/>
  <c r="U846" i="3"/>
  <c r="U873" i="3"/>
  <c r="U512" i="3"/>
  <c r="U105" i="3"/>
  <c r="U664" i="3"/>
  <c r="U775" i="3"/>
  <c r="U532" i="3"/>
  <c r="U778" i="3"/>
  <c r="U536" i="3"/>
  <c r="U1086" i="3"/>
  <c r="U1088" i="3"/>
  <c r="U621" i="3"/>
  <c r="U656" i="3"/>
  <c r="U892" i="3"/>
  <c r="U119" i="3"/>
  <c r="U770" i="3"/>
  <c r="U152" i="3"/>
  <c r="U210" i="3"/>
  <c r="U617" i="3"/>
  <c r="U148" i="3"/>
  <c r="U228" i="3"/>
  <c r="U450" i="3"/>
  <c r="U401" i="3"/>
  <c r="U1163" i="3"/>
  <c r="U545" i="3"/>
  <c r="U626" i="3"/>
  <c r="U667" i="3"/>
  <c r="U1083" i="3"/>
  <c r="U593" i="3"/>
  <c r="U170" i="3"/>
  <c r="U794" i="3"/>
  <c r="U787" i="3"/>
  <c r="U577" i="3"/>
  <c r="U221" i="3"/>
  <c r="U834" i="3"/>
  <c r="U477" i="3"/>
  <c r="U946" i="3"/>
  <c r="U900" i="3"/>
  <c r="U531" i="3"/>
  <c r="U271" i="3"/>
  <c r="U303" i="3"/>
  <c r="U407" i="3"/>
  <c r="U497" i="3"/>
  <c r="U737" i="3"/>
  <c r="U769" i="3"/>
  <c r="U185" i="3"/>
  <c r="U149" i="3"/>
  <c r="U425" i="3"/>
  <c r="U301" i="3"/>
  <c r="U764" i="3"/>
  <c r="U855" i="3"/>
  <c r="U292" i="3"/>
  <c r="U107" i="3"/>
  <c r="U163" i="3"/>
  <c r="U259" i="3"/>
  <c r="U112" i="3"/>
  <c r="U1209" i="3"/>
  <c r="U738" i="3"/>
  <c r="U596" i="3"/>
  <c r="U468" i="3"/>
  <c r="U147" i="3"/>
  <c r="U404" i="3"/>
  <c r="U866" i="3"/>
  <c r="U615" i="3"/>
  <c r="U555" i="3"/>
  <c r="U515" i="3"/>
  <c r="U1063" i="3"/>
  <c r="U745" i="3"/>
  <c r="U1111" i="3"/>
  <c r="U707" i="3"/>
  <c r="U1145" i="3"/>
  <c r="U611" i="3"/>
  <c r="U1159" i="3"/>
  <c r="U864" i="3"/>
  <c r="U29" i="3"/>
  <c r="U923" i="3"/>
  <c r="U1050" i="3"/>
  <c r="U225" i="3"/>
  <c r="U182" i="3"/>
  <c r="U974" i="3"/>
  <c r="U334" i="3"/>
  <c r="U465" i="3"/>
  <c r="U972" i="3"/>
  <c r="U999" i="3"/>
  <c r="U55" i="3"/>
  <c r="U439" i="3"/>
  <c r="U342" i="3"/>
  <c r="U499" i="3"/>
  <c r="U842" i="3"/>
  <c r="U959" i="3"/>
  <c r="U485" i="3"/>
  <c r="U955" i="3"/>
  <c r="U990" i="3"/>
  <c r="U1091" i="3"/>
  <c r="U1187" i="3"/>
  <c r="U963" i="3"/>
  <c r="U26" i="3"/>
  <c r="U313" i="3"/>
  <c r="U704" i="3"/>
  <c r="U671" i="3"/>
  <c r="U529" i="3"/>
  <c r="U1081" i="3"/>
  <c r="U1025" i="3"/>
  <c r="U205" i="3"/>
  <c r="U1104" i="3"/>
  <c r="U1201" i="3"/>
  <c r="U462" i="3"/>
  <c r="U260" i="3"/>
  <c r="U760" i="3"/>
  <c r="U158" i="3"/>
  <c r="U1206" i="3"/>
  <c r="U390" i="3"/>
  <c r="U556" i="3"/>
  <c r="U1095" i="3"/>
  <c r="U706" i="3"/>
  <c r="U826" i="3"/>
  <c r="U751" i="3"/>
  <c r="U906" i="3"/>
  <c r="U573" i="3"/>
  <c r="U410" i="3"/>
  <c r="U414" i="3"/>
  <c r="U474" i="3"/>
  <c r="U345" i="3"/>
  <c r="U207" i="3"/>
  <c r="U801" i="3"/>
  <c r="U896" i="3"/>
  <c r="U776" i="3"/>
  <c r="U294" i="3"/>
  <c r="U280" i="3"/>
  <c r="U976" i="3"/>
  <c r="U1177" i="3"/>
  <c r="U883" i="3"/>
  <c r="U700" i="3"/>
  <c r="U432" i="3"/>
  <c r="U1143" i="3"/>
  <c r="U1058" i="3"/>
  <c r="U948" i="3"/>
  <c r="U472" i="3"/>
  <c r="U508" i="3"/>
  <c r="U973" i="3"/>
  <c r="U713" i="3"/>
  <c r="U433" i="3"/>
  <c r="U286" i="3"/>
  <c r="U575" i="3"/>
  <c r="U989" i="3"/>
  <c r="U562" i="3"/>
  <c r="U287" i="3"/>
  <c r="U1105" i="3"/>
  <c r="U1150" i="3"/>
  <c r="U44" i="3"/>
  <c r="U908" i="3"/>
  <c r="U264" i="3"/>
  <c r="U930" i="3"/>
  <c r="U681" i="3"/>
  <c r="U783" i="3"/>
  <c r="U668" i="3"/>
  <c r="U1133" i="3"/>
  <c r="U767" i="3"/>
  <c r="U1047" i="3"/>
  <c r="U786" i="3"/>
  <c r="U798" i="3"/>
  <c r="U913" i="3"/>
  <c r="U824" i="3"/>
  <c r="U549" i="3"/>
  <c r="U156" i="3"/>
  <c r="U565" i="3"/>
  <c r="U759" i="3"/>
  <c r="U876" i="3"/>
  <c r="U418" i="3"/>
  <c r="U1014" i="3"/>
  <c r="U140" i="3"/>
  <c r="U1169" i="3"/>
  <c r="U705" i="3"/>
  <c r="U1126" i="3"/>
  <c r="U559" i="3"/>
  <c r="U1208" i="3"/>
  <c r="U888" i="3"/>
  <c r="U72" i="3"/>
  <c r="U788" i="3"/>
  <c r="U469" i="3"/>
  <c r="U431" i="3"/>
  <c r="U441" i="3"/>
  <c r="U43" i="3"/>
  <c r="U1205" i="3"/>
  <c r="U1193" i="3"/>
  <c r="U328" i="3"/>
  <c r="U943" i="3"/>
  <c r="U610" i="3"/>
  <c r="U1032" i="3"/>
  <c r="U810" i="3"/>
  <c r="U486" i="3"/>
  <c r="U329" i="3"/>
  <c r="U293" i="3"/>
  <c r="U574" i="3"/>
  <c r="U602" i="3"/>
  <c r="U727" i="3"/>
  <c r="U601" i="3"/>
  <c r="U795" i="3"/>
  <c r="U1131" i="3"/>
  <c r="U817" i="3"/>
  <c r="U848" i="3"/>
  <c r="U825" i="3"/>
  <c r="U805" i="3"/>
  <c r="U808" i="3"/>
  <c r="U919" i="3"/>
  <c r="U490" i="3"/>
  <c r="U944" i="3"/>
  <c r="U731" i="3"/>
  <c r="U45" i="3"/>
  <c r="U1054" i="3"/>
  <c r="U478" i="3"/>
  <c r="U735" i="3"/>
  <c r="U1152" i="3"/>
  <c r="U493" i="3"/>
  <c r="U712" i="3"/>
  <c r="U115" i="3"/>
  <c r="U654" i="3"/>
  <c r="U1134" i="3"/>
  <c r="U278" i="3"/>
  <c r="U1035" i="3"/>
  <c r="U211" i="3"/>
  <c r="U240" i="3"/>
  <c r="U455" i="3"/>
  <c r="U324" i="3"/>
  <c r="U1140" i="3"/>
  <c r="U464" i="3"/>
  <c r="U542" i="3"/>
  <c r="U21" i="3"/>
  <c r="U162" i="3"/>
  <c r="U1107" i="3"/>
  <c r="U277" i="3"/>
  <c r="U694" i="3"/>
  <c r="U1001" i="3"/>
  <c r="U839" i="3"/>
  <c r="U523" i="3"/>
  <c r="U1078" i="3"/>
  <c r="U1167" i="3"/>
  <c r="U58" i="3"/>
  <c r="U971" i="3"/>
  <c r="U570" i="3"/>
  <c r="U740" i="3"/>
  <c r="U448" i="3"/>
  <c r="U1197" i="3"/>
  <c r="U253" i="3"/>
  <c r="U558" i="3"/>
  <c r="U213" i="3"/>
  <c r="U1158" i="3"/>
  <c r="U327" i="3"/>
  <c r="U87" i="3"/>
  <c r="U37" i="3"/>
  <c r="U1203" i="3"/>
  <c r="U613" i="3"/>
  <c r="U1000" i="3"/>
  <c r="U743" i="3"/>
  <c r="U350" i="3"/>
  <c r="U399" i="3"/>
  <c r="U980" i="3"/>
  <c r="U56" i="3"/>
  <c r="U995" i="3"/>
  <c r="U799" i="3"/>
  <c r="U408" i="3"/>
  <c r="U870" i="3"/>
  <c r="U248" i="3"/>
  <c r="U73" i="3"/>
  <c r="U662" i="3"/>
  <c r="U265" i="3"/>
  <c r="U874" i="3"/>
  <c r="U1207" i="3"/>
  <c r="U828" i="3"/>
  <c r="U649" i="3"/>
  <c r="U915" i="3"/>
  <c r="U816" i="3"/>
  <c r="U63" i="3"/>
  <c r="U937" i="3"/>
  <c r="U397" i="3"/>
  <c r="U1185" i="3"/>
  <c r="U936" i="3"/>
  <c r="U120" i="3"/>
  <c r="U1141" i="3"/>
  <c r="U862" i="3"/>
  <c r="U1102" i="3"/>
  <c r="U1037" i="3"/>
  <c r="U296" i="3"/>
  <c r="U74" i="3"/>
  <c r="U744" i="3"/>
  <c r="U934" i="3"/>
  <c r="U1190" i="3"/>
  <c r="U860" i="3"/>
  <c r="U942" i="3"/>
  <c r="U591" i="3"/>
  <c r="U130" i="3"/>
  <c r="U619" i="3"/>
  <c r="U1069" i="3"/>
  <c r="U19" i="3"/>
  <c r="U1034" i="3"/>
  <c r="U748" i="3"/>
  <c r="U1172" i="3"/>
  <c r="U887" i="3"/>
  <c r="U630" i="3"/>
  <c r="U1157" i="3"/>
  <c r="U927" i="3"/>
  <c r="U302" i="3"/>
  <c r="U1073" i="3"/>
  <c r="U879" i="3"/>
  <c r="U534" i="3"/>
  <c r="U30" i="3"/>
  <c r="U716" i="3"/>
  <c r="U551" i="3"/>
  <c r="U347" i="3"/>
  <c r="U400" i="3"/>
  <c r="U998" i="3"/>
  <c r="U552" i="3"/>
  <c r="U757" i="3"/>
  <c r="U98" i="3"/>
  <c r="U1199" i="3"/>
  <c r="U1016" i="3"/>
  <c r="U206" i="3"/>
  <c r="U1049" i="3"/>
  <c r="U372" i="3"/>
  <c r="U375" i="3"/>
  <c r="U905" i="3"/>
  <c r="U1015" i="3"/>
  <c r="U1113" i="3"/>
  <c r="U488" i="3"/>
  <c r="U1045" i="3"/>
  <c r="U17" i="3"/>
  <c r="U193" i="3"/>
  <c r="U247" i="3"/>
  <c r="U234" i="3"/>
  <c r="U568" i="3"/>
  <c r="U1028" i="3"/>
  <c r="U566" i="3"/>
  <c r="U832" i="3"/>
  <c r="U437" i="3"/>
  <c r="U1098" i="3"/>
  <c r="U155" i="3"/>
  <c r="U818" i="3"/>
  <c r="U988" i="3"/>
  <c r="U1004" i="3"/>
  <c r="U1082" i="3"/>
  <c r="U81" i="3"/>
  <c r="U703" i="3"/>
  <c r="U137" i="3"/>
  <c r="U442" i="3"/>
  <c r="U34" i="3"/>
  <c r="U197" i="3"/>
  <c r="U721" i="3"/>
  <c r="U1022" i="3"/>
  <c r="U42" i="3"/>
  <c r="U1176" i="3"/>
  <c r="U502" i="3"/>
  <c r="U981" i="3"/>
  <c r="U1175" i="3"/>
  <c r="U909" i="3"/>
  <c r="U1033" i="3"/>
  <c r="U733" i="3"/>
  <c r="U1076" i="3"/>
  <c r="U438" i="3"/>
  <c r="U326" i="3"/>
  <c r="U773" i="3"/>
  <c r="U854" i="3"/>
  <c r="U198" i="3"/>
  <c r="U813" i="3"/>
  <c r="U1011" i="3"/>
  <c r="U1109" i="3"/>
  <c r="U643" i="3"/>
  <c r="U530" i="3"/>
  <c r="U692" i="3"/>
  <c r="U125" i="3"/>
  <c r="U789" i="3"/>
  <c r="U878" i="3"/>
  <c r="U1127" i="3"/>
  <c r="U917" i="3"/>
  <c r="U330" i="3"/>
  <c r="U237" i="3"/>
  <c r="U420" i="3"/>
  <c r="U1023" i="3"/>
  <c r="U24" i="3"/>
  <c r="U612" i="3"/>
  <c r="U894" i="3"/>
  <c r="U606" i="3"/>
  <c r="U48" i="3"/>
  <c r="U1139" i="3"/>
  <c r="U457" i="3"/>
  <c r="U672" i="3"/>
  <c r="U276" i="3"/>
  <c r="U837" i="3"/>
  <c r="U67" i="3"/>
  <c r="U49" i="3"/>
  <c r="U785" i="3"/>
  <c r="U445" i="3"/>
  <c r="U1080" i="3"/>
  <c r="U1072" i="3"/>
  <c r="U1066" i="3"/>
  <c r="U608" i="3"/>
  <c r="U636" i="3"/>
  <c r="U1003" i="3"/>
  <c r="U346" i="3"/>
  <c r="U603" i="3"/>
  <c r="U1094" i="3"/>
  <c r="U165" i="3"/>
  <c r="U663" i="3"/>
  <c r="U525" i="3"/>
  <c r="U951" i="3"/>
  <c r="U620" i="3"/>
  <c r="U991" i="3"/>
  <c r="U1161" i="3"/>
  <c r="U809" i="3"/>
  <c r="U683" i="3"/>
  <c r="U877" i="3"/>
  <c r="U1170" i="3"/>
  <c r="U60" i="3"/>
  <c r="U89" i="3"/>
  <c r="U584" i="3"/>
  <c r="U235" i="3"/>
  <c r="U724" i="3"/>
  <c r="U447" i="3"/>
  <c r="U949" i="3"/>
  <c r="U215" i="3"/>
  <c r="U200" i="3"/>
  <c r="U1118" i="3"/>
  <c r="U467" i="3"/>
  <c r="U338" i="3"/>
  <c r="U113" i="3"/>
  <c r="U945" i="3"/>
  <c r="U177" i="3"/>
  <c r="U614" i="3"/>
  <c r="U652" i="3"/>
  <c r="U1211" i="3"/>
  <c r="U429" i="3"/>
  <c r="U146" i="3"/>
  <c r="U1040" i="3"/>
  <c r="U83" i="3"/>
  <c r="U844" i="3"/>
  <c r="U1100" i="3"/>
  <c r="U695" i="3"/>
  <c r="U1212" i="3"/>
  <c r="U128" i="3"/>
  <c r="U987" i="3"/>
  <c r="U814" i="3"/>
  <c r="U421" i="3"/>
  <c r="U699" i="3"/>
  <c r="U27" i="3"/>
  <c r="U95" i="3"/>
  <c r="U1097" i="3"/>
  <c r="U1122" i="3"/>
  <c r="U583" i="3"/>
  <c r="U315" i="3"/>
  <c r="U184" i="3"/>
  <c r="U238" i="3"/>
  <c r="U367" i="3"/>
  <c r="U563" i="3"/>
  <c r="U411" i="3"/>
  <c r="U336" i="3"/>
  <c r="U1186" i="3"/>
  <c r="U384" i="3"/>
  <c r="U118" i="3"/>
  <c r="U954" i="3"/>
  <c r="U343" i="3"/>
  <c r="U1135" i="3"/>
  <c r="U38" i="3"/>
  <c r="U178" i="3"/>
  <c r="U628" i="3"/>
  <c r="U141" i="3"/>
  <c r="U677" i="3"/>
  <c r="U186" i="3"/>
  <c r="U847" i="3"/>
  <c r="U1031" i="3"/>
  <c r="U1181" i="3"/>
  <c r="U356" i="3"/>
  <c r="U701" i="3"/>
  <c r="U368" i="3"/>
  <c r="U111" i="3"/>
  <c r="U819" i="3"/>
  <c r="U454" i="3"/>
  <c r="U901" i="3"/>
  <c r="U1182" i="3"/>
  <c r="U627" i="3"/>
  <c r="U436" i="3"/>
  <c r="U564" i="3"/>
  <c r="U231" i="3"/>
  <c r="U561" i="3"/>
  <c r="U1038" i="3"/>
  <c r="U470" i="3"/>
  <c r="U427" i="3"/>
  <c r="U274" i="3"/>
  <c r="U422" i="3"/>
  <c r="U150" i="3"/>
  <c r="U85" i="3"/>
  <c r="U288" i="3"/>
  <c r="U922" i="3"/>
  <c r="U653" i="3"/>
  <c r="U1002" i="3"/>
  <c r="U1093" i="3"/>
  <c r="U361" i="3"/>
  <c r="U409" i="3"/>
  <c r="U893" i="3"/>
  <c r="U505" i="3"/>
  <c r="U53" i="3"/>
  <c r="U1071" i="3"/>
  <c r="U597" i="3"/>
  <c r="U1142" i="3"/>
  <c r="U1153" i="3"/>
  <c r="U424" i="3"/>
  <c r="U270" i="3"/>
  <c r="U691" i="3"/>
  <c r="U358" i="3"/>
  <c r="U96" i="3"/>
  <c r="U520" i="3"/>
  <c r="U581" i="3"/>
  <c r="U698" i="3"/>
  <c r="U940" i="3"/>
  <c r="U97" i="3"/>
  <c r="U616" i="3"/>
  <c r="U765" i="3"/>
  <c r="U1010" i="3"/>
  <c r="U310" i="3"/>
  <c r="U553" i="3"/>
  <c r="U417" i="3"/>
  <c r="U881" i="3"/>
  <c r="U166" i="3"/>
  <c r="U932" i="3"/>
  <c r="U298" i="3"/>
  <c r="U567" i="3"/>
  <c r="U14" i="3"/>
  <c r="V13" i="3" s="1"/>
  <c r="U720" i="3"/>
  <c r="U585" i="3"/>
  <c r="U202" i="3"/>
  <c r="U918" i="3"/>
  <c r="U366" i="3"/>
  <c r="U803" i="3"/>
  <c r="U241" i="3"/>
  <c r="U1160" i="3"/>
  <c r="U179" i="3"/>
  <c r="U291" i="3"/>
  <c r="U812" i="3"/>
  <c r="U910" i="3"/>
  <c r="U969" i="3"/>
  <c r="U90" i="3"/>
  <c r="U920" i="3"/>
  <c r="U957" i="3"/>
  <c r="U1012" i="3"/>
  <c r="U217" i="3"/>
  <c r="U352" i="3"/>
  <c r="U373" i="3"/>
  <c r="U666" i="3"/>
  <c r="U284" i="3"/>
  <c r="U756" i="3"/>
  <c r="U1166" i="3"/>
  <c r="U387" i="3"/>
  <c r="U1067" i="3"/>
  <c r="U325" i="3"/>
  <c r="U985" i="3"/>
  <c r="U1024" i="3"/>
  <c r="U538" i="3"/>
  <c r="U947" i="3"/>
  <c r="U230" i="3"/>
  <c r="U916" i="3"/>
  <c r="U1120" i="3"/>
  <c r="U1117" i="3"/>
  <c r="U967" i="3"/>
  <c r="U157" i="3"/>
  <c r="U685" i="3"/>
  <c r="U618" i="3"/>
  <c r="U102" i="3"/>
  <c r="U516" i="3"/>
  <c r="U379" i="3"/>
  <c r="U811" i="3"/>
  <c r="U1007" i="3"/>
  <c r="U344" i="3"/>
  <c r="U1191" i="3"/>
  <c r="U838" i="3"/>
  <c r="U714" i="3"/>
  <c r="U192" i="3"/>
  <c r="U435" i="3"/>
  <c r="U285" i="3"/>
  <c r="U1021" i="3"/>
  <c r="U57" i="3"/>
  <c r="U289" i="3"/>
  <c r="U762" i="3"/>
  <c r="U1096" i="3"/>
  <c r="U382" i="3"/>
  <c r="U245" i="3"/>
  <c r="U702" i="3"/>
  <c r="U858" i="3"/>
  <c r="U135" i="3"/>
  <c r="U780" i="3"/>
  <c r="U1051" i="3"/>
  <c r="U208" i="3"/>
  <c r="U548" i="3"/>
  <c r="U1112" i="3"/>
  <c r="U93" i="3"/>
  <c r="U160" i="3"/>
  <c r="U187" i="3"/>
  <c r="U941" i="3"/>
  <c r="U46" i="3"/>
  <c r="U822" i="3"/>
  <c r="U453" i="3"/>
  <c r="U201" i="3"/>
  <c r="U1061" i="3"/>
  <c r="U69" i="3"/>
  <c r="U77" i="3"/>
  <c r="U126" i="3"/>
  <c r="U1009" i="3"/>
  <c r="U317" i="3"/>
  <c r="U106" i="3"/>
  <c r="U129" i="3"/>
  <c r="U70" i="3"/>
  <c r="U337" i="3"/>
  <c r="U1149" i="3"/>
  <c r="U872" i="3"/>
  <c r="U722" i="3"/>
  <c r="U1042" i="3"/>
  <c r="U306" i="3"/>
  <c r="U758" i="3"/>
  <c r="U138" i="3"/>
  <c r="U398" i="3"/>
  <c r="U992" i="3"/>
  <c r="U491" i="3"/>
  <c r="U678" i="3"/>
  <c r="U222" i="3"/>
  <c r="U503" i="3"/>
  <c r="U986" i="3"/>
  <c r="U353" i="3"/>
  <c r="U309" i="3"/>
  <c r="U1062" i="3"/>
  <c r="U911" i="3"/>
  <c r="U322" i="3"/>
  <c r="U506" i="3"/>
  <c r="U1144" i="3"/>
  <c r="U571" i="3"/>
  <c r="U203" i="3"/>
  <c r="U1059" i="3"/>
  <c r="U851" i="3"/>
  <c r="U261" i="3"/>
  <c r="U836" i="3"/>
  <c r="U605" i="3"/>
  <c r="U333" i="3"/>
  <c r="U154" i="3"/>
  <c r="U982" i="3"/>
  <c r="U494" i="3"/>
  <c r="U642" i="3"/>
  <c r="U172" i="3"/>
  <c r="U314" i="3"/>
  <c r="U1017" i="3"/>
  <c r="U1194" i="3"/>
  <c r="U800" i="3"/>
  <c r="U902" i="3"/>
  <c r="U1090" i="3"/>
  <c r="U777" i="3"/>
  <c r="U369" i="3"/>
  <c r="U50" i="3"/>
  <c r="U823" i="3"/>
  <c r="U950" i="3"/>
  <c r="U830" i="3"/>
  <c r="U690" i="3"/>
  <c r="U480" i="3"/>
  <c r="U804" i="3"/>
  <c r="U461" i="3"/>
  <c r="U392" i="3"/>
  <c r="U682" i="3"/>
  <c r="U1029" i="3"/>
  <c r="U456" i="3"/>
  <c r="U541" i="3"/>
  <c r="U880" i="3"/>
  <c r="U374" i="3"/>
  <c r="U1018" i="3"/>
  <c r="U482" i="3"/>
  <c r="U550" i="3"/>
  <c r="U903" i="3"/>
  <c r="U216" i="3"/>
  <c r="U709" i="3"/>
  <c r="U195" i="3"/>
  <c r="U796" i="3"/>
  <c r="U638" i="3"/>
  <c r="U868" i="3"/>
  <c r="U624" i="3"/>
  <c r="U226" i="3"/>
  <c r="U1155" i="3"/>
  <c r="U924" i="3"/>
  <c r="U928" i="3"/>
  <c r="U458" i="3"/>
  <c r="U180" i="3"/>
  <c r="U629" i="3"/>
  <c r="U784" i="3"/>
  <c r="U598" i="3"/>
  <c r="U1151" i="3"/>
  <c r="U1119" i="3"/>
  <c r="U723" i="3"/>
  <c r="U674" i="3"/>
  <c r="U341" i="3"/>
  <c r="U88" i="3"/>
  <c r="U79" i="3"/>
  <c r="U931" i="3"/>
  <c r="U434" i="3"/>
  <c r="U867" i="3"/>
  <c r="U101" i="3"/>
  <c r="U1005" i="3"/>
  <c r="U890" i="3"/>
  <c r="U1129" i="3"/>
  <c r="U693" i="3"/>
  <c r="U850" i="3"/>
  <c r="U696" i="3"/>
  <c r="U78" i="3"/>
  <c r="U935" i="3"/>
  <c r="U139" i="3"/>
  <c r="U670" i="3"/>
  <c r="U331" i="3"/>
  <c r="U1041" i="3"/>
  <c r="U1043" i="3"/>
  <c r="U507" i="3"/>
  <c r="U781" i="3"/>
  <c r="U214" i="3"/>
  <c r="U229" i="3"/>
  <c r="U1085" i="3"/>
  <c r="U965" i="3"/>
  <c r="U1089" i="3"/>
  <c r="U1196" i="3"/>
  <c r="U763" i="3"/>
  <c r="U1180" i="3"/>
  <c r="U36" i="3"/>
  <c r="U199" i="3"/>
  <c r="U1008" i="3"/>
  <c r="U365" i="3"/>
  <c r="U349" i="3"/>
  <c r="U761" i="3"/>
  <c r="U1006" i="3"/>
  <c r="U371" i="3"/>
  <c r="U405" i="3"/>
  <c r="U1048" i="3"/>
  <c r="U299" i="3"/>
  <c r="U960" i="3"/>
  <c r="U952" i="3"/>
  <c r="U779" i="3"/>
  <c r="U354" i="3"/>
  <c r="U188" i="3"/>
  <c r="U926" i="3"/>
  <c r="U16" i="3"/>
  <c r="U103" i="3"/>
  <c r="U912" i="3"/>
  <c r="U1178" i="3"/>
  <c r="U18" i="3"/>
  <c r="U1123" i="3"/>
  <c r="U821" i="3"/>
  <c r="U267" i="3"/>
  <c r="U717" i="3"/>
  <c r="U975" i="3"/>
  <c r="U246" i="3"/>
  <c r="U1057" i="3"/>
  <c r="U1020" i="3"/>
  <c r="U258" i="3"/>
  <c r="U977" i="3"/>
  <c r="U899" i="3"/>
  <c r="U840" i="3"/>
  <c r="U1154" i="3"/>
  <c r="U484" i="3"/>
  <c r="U94" i="3"/>
  <c r="U835" i="3"/>
  <c r="U109" i="3"/>
  <c r="U191" i="3"/>
  <c r="U41" i="3"/>
  <c r="U406" i="3"/>
  <c r="U633" i="3"/>
  <c r="U715" i="3"/>
  <c r="U1039" i="3"/>
  <c r="U861" i="3"/>
  <c r="U831" i="3"/>
  <c r="U1121" i="3"/>
  <c r="U290" i="3"/>
  <c r="U249" i="3"/>
  <c r="U791" i="3"/>
  <c r="U1114" i="3"/>
  <c r="U537" i="3"/>
  <c r="U244" i="3"/>
  <c r="U1056" i="3"/>
  <c r="U1064" i="3"/>
  <c r="U54" i="3"/>
  <c r="U1130" i="3"/>
  <c r="U1065" i="3"/>
  <c r="U964" i="3"/>
  <c r="U1146" i="3"/>
  <c r="U547" i="3"/>
  <c r="U370" i="3"/>
  <c r="U504" i="3"/>
  <c r="U522" i="3"/>
  <c r="U168" i="3"/>
  <c r="U1036" i="3"/>
  <c r="U680" i="3"/>
  <c r="U167" i="3"/>
  <c r="U426" i="3"/>
  <c r="U475" i="3"/>
  <c r="U1137" i="3"/>
  <c r="U725" i="3"/>
  <c r="U444" i="3"/>
  <c r="U378" i="3"/>
  <c r="U994" i="3"/>
  <c r="U535" i="3"/>
  <c r="U381" i="3"/>
  <c r="U1019" i="3"/>
  <c r="U1136" i="3"/>
  <c r="U1052" i="3"/>
  <c r="U232" i="3"/>
  <c r="U1125" i="3"/>
  <c r="U1055" i="3"/>
  <c r="U204" i="3"/>
  <c r="U513" i="3"/>
  <c r="U736" i="3"/>
  <c r="U84" i="3"/>
  <c r="U750" i="3"/>
  <c r="U311" i="3"/>
  <c r="U576" i="3"/>
  <c r="U622" i="3"/>
  <c r="U1084" i="3"/>
  <c r="U1106" i="3"/>
  <c r="U1189" i="3"/>
  <c r="U116" i="3"/>
  <c r="U895" i="3"/>
  <c r="U1077" i="3"/>
  <c r="U797" i="3"/>
  <c r="U496" i="3"/>
  <c r="U560" i="3"/>
  <c r="U385" i="3"/>
  <c r="U377" i="3"/>
  <c r="U362" i="3"/>
  <c r="U749" i="3"/>
  <c r="U718" i="3"/>
  <c r="U742" i="3"/>
  <c r="U220" i="3"/>
  <c r="U898" i="3"/>
  <c r="U1147" i="3"/>
  <c r="U806" i="3"/>
  <c r="U391" i="3"/>
  <c r="U143" i="3"/>
  <c r="U500" i="3"/>
  <c r="U766" i="3"/>
  <c r="U852" i="3"/>
  <c r="U772" i="3"/>
  <c r="U891" i="3"/>
  <c r="U889" i="3"/>
  <c r="U395" i="3"/>
  <c r="U710" i="3"/>
  <c r="U747" i="3"/>
  <c r="U86" i="3"/>
  <c r="U340" i="3"/>
  <c r="U869" i="3"/>
  <c r="U1115" i="3"/>
  <c r="U394" i="3"/>
  <c r="U557" i="3"/>
  <c r="U452" i="3"/>
  <c r="U357" i="3"/>
  <c r="U189" i="3"/>
  <c r="U1110" i="3"/>
  <c r="U708" i="3"/>
  <c r="U91" i="3"/>
  <c r="U183" i="3"/>
  <c r="U242" i="3"/>
  <c r="U416" i="3"/>
  <c r="U121" i="3"/>
  <c r="U22" i="3"/>
  <c r="U600" i="3"/>
  <c r="U413" i="3"/>
  <c r="U634" i="3"/>
  <c r="U190" i="3"/>
  <c r="U637" i="3"/>
  <c r="U768" i="3"/>
  <c r="U592" i="3"/>
  <c r="U925" i="3"/>
  <c r="U933" i="3"/>
  <c r="U393" i="3"/>
  <c r="U582" i="3"/>
  <c r="U1202" i="3"/>
  <c r="U673" i="3"/>
  <c r="U80" i="3"/>
  <c r="U364" i="3"/>
  <c r="U752" i="3"/>
  <c r="U181" i="3"/>
  <c r="U979" i="3"/>
  <c r="U360" i="3"/>
  <c r="U1200" i="3"/>
  <c r="U297" i="3"/>
  <c r="U316" i="3"/>
  <c r="U161" i="3"/>
  <c r="U650" i="3"/>
  <c r="X682" i="3"/>
  <c r="X678" i="3"/>
  <c r="X846" i="3"/>
  <c r="X176" i="3"/>
  <c r="X82" i="3"/>
  <c r="X1053" i="3"/>
  <c r="X766" i="3"/>
  <c r="X974" i="3"/>
  <c r="X392" i="3"/>
  <c r="X165" i="3"/>
  <c r="X157" i="3"/>
  <c r="X1194" i="3"/>
  <c r="X277" i="3"/>
  <c r="X810" i="3"/>
  <c r="X474" i="3"/>
  <c r="X1084" i="3"/>
  <c r="X325" i="3"/>
  <c r="X786" i="3"/>
  <c r="X134" i="3"/>
  <c r="X132" i="3"/>
  <c r="X748" i="3"/>
  <c r="X811" i="3"/>
  <c r="X1156" i="3"/>
  <c r="X920" i="3"/>
  <c r="X847" i="3"/>
  <c r="X1116" i="3"/>
  <c r="X288" i="3"/>
  <c r="X428" i="3"/>
  <c r="X1206" i="3"/>
  <c r="X1211" i="3"/>
  <c r="X947" i="3"/>
  <c r="X1069" i="3"/>
  <c r="X1093" i="3"/>
  <c r="X525" i="3"/>
  <c r="X91" i="3"/>
  <c r="X581" i="3"/>
  <c r="X546" i="3"/>
  <c r="X873" i="3"/>
  <c r="X177" i="3"/>
  <c r="X1146" i="3"/>
  <c r="X284" i="3"/>
  <c r="X583" i="3"/>
  <c r="X593" i="3"/>
  <c r="X223" i="3"/>
  <c r="X225" i="3"/>
  <c r="X519" i="3"/>
  <c r="X96" i="3"/>
  <c r="X301" i="3"/>
  <c r="X684" i="3"/>
  <c r="X541" i="3"/>
  <c r="X35" i="3"/>
  <c r="X658" i="3"/>
  <c r="X89" i="3"/>
  <c r="X689" i="3"/>
  <c r="X453" i="3"/>
  <c r="X851" i="3"/>
  <c r="X1136" i="3"/>
  <c r="X316" i="3"/>
  <c r="X75" i="3"/>
  <c r="X475" i="3"/>
  <c r="X275" i="3"/>
  <c r="X1151" i="3"/>
  <c r="X649" i="3"/>
  <c r="X1000" i="3"/>
  <c r="X930" i="3"/>
  <c r="X50" i="3"/>
  <c r="X737" i="3"/>
  <c r="X823" i="3"/>
  <c r="X827" i="3"/>
  <c r="X941" i="3"/>
  <c r="X815" i="3"/>
  <c r="X818" i="3"/>
  <c r="X722" i="3"/>
  <c r="X724" i="3"/>
  <c r="X728" i="3"/>
  <c r="X211" i="3"/>
  <c r="X773" i="3"/>
  <c r="X842" i="3"/>
  <c r="X938" i="3"/>
  <c r="X463" i="3"/>
  <c r="X153" i="3"/>
  <c r="X62" i="3"/>
  <c r="X161" i="3"/>
  <c r="X257" i="3"/>
  <c r="X344" i="3"/>
  <c r="X49" i="3"/>
  <c r="X22" i="3"/>
  <c r="X702" i="3"/>
  <c r="X216" i="3"/>
  <c r="X843" i="3"/>
  <c r="X488" i="3"/>
  <c r="X481" i="3"/>
  <c r="X1181" i="3"/>
  <c r="X696" i="3"/>
  <c r="X972" i="3"/>
  <c r="X939" i="3"/>
  <c r="X386" i="3"/>
  <c r="X982" i="3"/>
  <c r="X512" i="3"/>
  <c r="X880" i="3"/>
  <c r="X768" i="3"/>
  <c r="X980" i="3"/>
  <c r="X353" i="3"/>
  <c r="X1036" i="3"/>
  <c r="X943" i="3"/>
  <c r="X1123" i="3"/>
  <c r="X326" i="3"/>
  <c r="X860" i="3"/>
  <c r="X952" i="3"/>
  <c r="X311" i="3"/>
  <c r="X779" i="3"/>
  <c r="X673" i="3"/>
  <c r="X102" i="3"/>
  <c r="X741" i="3"/>
  <c r="X268" i="3"/>
  <c r="X347" i="3"/>
  <c r="X942" i="3"/>
  <c r="X840" i="3"/>
  <c r="X497" i="3"/>
  <c r="X533" i="3"/>
  <c r="X710" i="3"/>
  <c r="X804" i="3"/>
  <c r="X188" i="3"/>
  <c r="X813" i="3"/>
  <c r="X885" i="3"/>
  <c r="X144" i="3"/>
  <c r="X1107" i="3"/>
  <c r="X384" i="3"/>
  <c r="X509" i="3"/>
  <c r="X460" i="3"/>
  <c r="X441" i="3"/>
  <c r="X455" i="3"/>
  <c r="X206" i="3"/>
  <c r="X198" i="3"/>
  <c r="X1033" i="3"/>
  <c r="X1114" i="3"/>
  <c r="X532" i="3"/>
  <c r="X844" i="3"/>
  <c r="X108" i="3"/>
  <c r="X307" i="3"/>
  <c r="X355" i="3"/>
  <c r="X607" i="3"/>
  <c r="X1020" i="3"/>
  <c r="X121" i="3"/>
  <c r="X30" i="3"/>
  <c r="X936" i="3"/>
  <c r="X77" i="3"/>
  <c r="X997" i="3"/>
  <c r="X617" i="3"/>
  <c r="X946" i="3"/>
  <c r="X1160" i="3"/>
  <c r="X1005" i="3"/>
  <c r="X655" i="3"/>
  <c r="X539" i="3"/>
  <c r="X591" i="3"/>
  <c r="X1076" i="3"/>
  <c r="X791" i="3"/>
  <c r="X217" i="3"/>
  <c r="X169" i="3"/>
  <c r="X295" i="3"/>
  <c r="X287" i="3"/>
  <c r="X21" i="3"/>
  <c r="X334" i="3"/>
  <c r="X52" i="3"/>
  <c r="X430" i="3"/>
  <c r="X626" i="3"/>
  <c r="X917" i="3"/>
  <c r="X789" i="3"/>
  <c r="X979" i="3"/>
  <c r="X26" i="3"/>
  <c r="X490" i="3"/>
  <c r="X921" i="3"/>
  <c r="X596" i="3"/>
  <c r="X1169" i="3"/>
  <c r="X380" i="3"/>
  <c r="X690" i="3"/>
  <c r="X442" i="3"/>
  <c r="X59" i="3"/>
  <c r="X788" i="3"/>
  <c r="X185" i="3"/>
  <c r="X99" i="3"/>
  <c r="X746" i="3"/>
  <c r="X759" i="3"/>
  <c r="X774" i="3"/>
  <c r="X1061" i="3"/>
  <c r="X1159" i="3"/>
  <c r="X418" i="3"/>
  <c r="X857" i="3"/>
  <c r="X143" i="3"/>
  <c r="X598" i="3"/>
  <c r="X1029" i="3"/>
  <c r="X19" i="3"/>
  <c r="X646" i="3"/>
  <c r="X397" i="3"/>
  <c r="X44" i="3"/>
  <c r="X601" i="3"/>
  <c r="X118" i="3"/>
  <c r="X90" i="3"/>
  <c r="X913" i="3"/>
  <c r="X559" i="3"/>
  <c r="X212" i="3"/>
  <c r="X1167" i="3"/>
  <c r="X565" i="3"/>
  <c r="X1170" i="3"/>
  <c r="X901" i="3"/>
  <c r="X725" i="3"/>
  <c r="X700" i="3"/>
  <c r="X1121" i="3"/>
  <c r="X74" i="3"/>
  <c r="X230" i="3"/>
  <c r="X782" i="3"/>
  <c r="X879" i="3"/>
  <c r="X1001" i="3"/>
  <c r="X923" i="3"/>
  <c r="X1080" i="3"/>
  <c r="X244" i="3"/>
  <c r="X955" i="3"/>
  <c r="X187" i="3"/>
  <c r="X83" i="3"/>
  <c r="X912" i="3"/>
  <c r="X168" i="3"/>
  <c r="X1213" i="3"/>
  <c r="X461" i="3"/>
  <c r="X439" i="3"/>
  <c r="X1138" i="3"/>
  <c r="X1058" i="3"/>
  <c r="X340" i="3"/>
  <c r="X749" i="3"/>
  <c r="X84" i="3"/>
  <c r="X587" i="3"/>
  <c r="X491" i="3"/>
  <c r="X232" i="3"/>
  <c r="X365" i="3"/>
  <c r="X123" i="3"/>
  <c r="X1122" i="3"/>
  <c r="X1153" i="3"/>
  <c r="X803" i="3"/>
  <c r="X1003" i="3"/>
  <c r="X1174" i="3"/>
  <c r="X714" i="3"/>
  <c r="X452" i="3"/>
  <c r="X893" i="3"/>
  <c r="X337" i="3"/>
  <c r="X964" i="3"/>
  <c r="X528" i="3"/>
  <c r="X128" i="3"/>
  <c r="X645" i="3"/>
  <c r="X252" i="3"/>
  <c r="X94" i="3"/>
  <c r="X415" i="3"/>
  <c r="X401" i="3"/>
  <c r="X524" i="3"/>
  <c r="X785" i="3"/>
  <c r="X451" i="3"/>
  <c r="X173" i="3"/>
  <c r="X513" i="3"/>
  <c r="X348" i="3"/>
  <c r="X1133" i="3"/>
  <c r="X653" i="3"/>
  <c r="X406" i="3"/>
  <c r="X809" i="3"/>
  <c r="X692" i="3"/>
  <c r="X752" i="3"/>
  <c r="X577" i="3"/>
  <c r="X1043" i="3"/>
  <c r="X235" i="3"/>
  <c r="X839" i="3"/>
  <c r="X14" i="3"/>
  <c r="Y13" i="3" s="1"/>
  <c r="Z14" i="3" s="1"/>
  <c r="X953" i="3"/>
  <c r="X250" i="3"/>
  <c r="X54" i="3"/>
  <c r="X999" i="3"/>
  <c r="X1059" i="3"/>
  <c r="X1140" i="3"/>
  <c r="X641" i="3"/>
  <c r="X394" i="3"/>
  <c r="X390" i="3"/>
  <c r="X152" i="3"/>
  <c r="X339" i="3"/>
  <c r="X335" i="3"/>
  <c r="X816" i="3"/>
  <c r="X363" i="3"/>
  <c r="X106" i="3"/>
  <c r="X320" i="3"/>
  <c r="X630" i="3"/>
  <c r="X874" i="3"/>
  <c r="X1125" i="3"/>
  <c r="X670" i="3"/>
  <c r="X1141" i="3"/>
  <c r="X389" i="3"/>
  <c r="X582" i="3"/>
  <c r="X861" i="3"/>
  <c r="X967" i="3"/>
  <c r="X750" i="3"/>
  <c r="X332" i="3"/>
  <c r="X66" i="3"/>
  <c r="X876" i="3"/>
  <c r="X1009" i="3"/>
  <c r="X932" i="3"/>
  <c r="X13" i="3"/>
  <c r="X162" i="3"/>
  <c r="X778" i="3"/>
  <c r="X1060" i="3"/>
  <c r="X680" i="3"/>
  <c r="X88" i="3"/>
  <c r="X196" i="3"/>
  <c r="X181" i="3"/>
  <c r="X853" i="3"/>
  <c r="X105" i="3"/>
  <c r="X432" i="3"/>
  <c r="X1135" i="3"/>
  <c r="X1071" i="3"/>
  <c r="X182" i="3"/>
  <c r="X995" i="3"/>
  <c r="X303" i="3"/>
  <c r="X409" i="3"/>
  <c r="X1083" i="3"/>
  <c r="X723" i="3"/>
  <c r="X1099" i="3"/>
  <c r="X516" i="3"/>
  <c r="X487" i="3"/>
  <c r="X55" i="3"/>
  <c r="X954" i="3"/>
  <c r="X426" i="3"/>
  <c r="X374" i="3"/>
  <c r="X892" i="3"/>
  <c r="X554" i="3"/>
  <c r="X531" i="3"/>
  <c r="X352" i="3"/>
  <c r="X186" i="3"/>
  <c r="X436" i="3"/>
  <c r="X742" i="3"/>
  <c r="X32" i="3"/>
  <c r="X1045" i="3"/>
  <c r="X317" i="3"/>
  <c r="X160" i="3"/>
  <c r="X166" i="3"/>
  <c r="X611" i="3"/>
  <c r="X180" i="3"/>
  <c r="X560" i="3"/>
  <c r="X1032" i="3"/>
  <c r="X602" i="3"/>
  <c r="X502" i="3"/>
  <c r="X666" i="3"/>
  <c r="X61" i="3"/>
  <c r="X610" i="3"/>
  <c r="X987" i="3"/>
  <c r="X1011" i="3"/>
  <c r="X192" i="3"/>
  <c r="X444" i="3"/>
  <c r="X479" i="3"/>
  <c r="X1212" i="3"/>
  <c r="X135" i="3"/>
  <c r="X588" i="3"/>
  <c r="X60" i="3"/>
  <c r="X996" i="3"/>
  <c r="X821" i="3"/>
  <c r="X299" i="3"/>
  <c r="X51" i="3"/>
  <c r="X464" i="3"/>
  <c r="X928" i="3"/>
  <c r="X877" i="3"/>
  <c r="X895" i="3"/>
  <c r="X1085" i="3"/>
  <c r="X1168" i="3"/>
  <c r="X1044" i="3"/>
  <c r="X1186" i="3"/>
  <c r="X675" i="3"/>
  <c r="X835" i="3"/>
  <c r="X437" i="3"/>
  <c r="X683" i="3"/>
  <c r="X281" i="3"/>
  <c r="X686" i="3"/>
  <c r="X283" i="3"/>
  <c r="X530" i="3"/>
  <c r="X1130" i="3"/>
  <c r="X193" i="3"/>
  <c r="X67" i="3"/>
  <c r="X78" i="3"/>
  <c r="X25" i="3"/>
  <c r="X302" i="3"/>
  <c r="X694" i="3"/>
  <c r="X659" i="3"/>
  <c r="X36" i="3"/>
  <c r="X961" i="3"/>
  <c r="X172" i="3"/>
  <c r="X691" i="3"/>
  <c r="X814" i="3"/>
  <c r="X886" i="3"/>
  <c r="X147" i="3"/>
  <c r="X669" i="3"/>
  <c r="X805" i="3"/>
  <c r="X836" i="3"/>
  <c r="X1163" i="3"/>
  <c r="X477" i="3"/>
  <c r="X586" i="3"/>
  <c r="X986" i="3"/>
  <c r="X527" i="3"/>
  <c r="X758" i="3"/>
  <c r="X126" i="3"/>
  <c r="X273" i="3"/>
  <c r="X568" i="3"/>
  <c r="X495" i="3"/>
  <c r="X467" i="3"/>
  <c r="X190" i="3"/>
  <c r="X208" i="3"/>
  <c r="X760" i="3"/>
  <c r="X412" i="3"/>
  <c r="X636" i="3"/>
  <c r="X15" i="3"/>
  <c r="X1013" i="3"/>
  <c r="X1042" i="3"/>
  <c r="X1191" i="3"/>
  <c r="X916" i="3"/>
  <c r="X1077" i="3"/>
  <c r="X1007" i="3"/>
  <c r="X323" i="3"/>
  <c r="X267" i="3"/>
  <c r="X604" i="3"/>
  <c r="X220" i="3"/>
  <c r="X713" i="3"/>
  <c r="X1137" i="3"/>
  <c r="X549" i="3"/>
  <c r="X1039" i="3"/>
  <c r="X651" i="3"/>
  <c r="X667" i="3"/>
  <c r="X371" i="3"/>
  <c r="X372" i="3"/>
  <c r="X1012" i="3"/>
  <c r="X935" i="3"/>
  <c r="X705" i="3"/>
  <c r="X146" i="3"/>
  <c r="X919" i="3"/>
  <c r="X983" i="3"/>
  <c r="X1063" i="3"/>
  <c r="X915" i="3"/>
  <c r="X687" i="3"/>
  <c r="X329" i="3"/>
  <c r="X113" i="3"/>
  <c r="X624" i="3"/>
  <c r="X761" i="3"/>
  <c r="X1067" i="3"/>
  <c r="X248" i="3"/>
  <c r="X241" i="3"/>
  <c r="X1128" i="3"/>
  <c r="X98" i="3"/>
  <c r="X1179" i="3"/>
  <c r="X280" i="3"/>
  <c r="X984" i="3"/>
  <c r="X784" i="3"/>
  <c r="X231" i="3"/>
  <c r="X508" i="3"/>
  <c r="X540" i="3"/>
  <c r="X1015" i="3"/>
  <c r="X838" i="3"/>
  <c r="X793" i="3"/>
  <c r="X712" i="3"/>
  <c r="X333" i="3"/>
  <c r="X618" i="3"/>
  <c r="X1031" i="3"/>
  <c r="X1002" i="3"/>
  <c r="X63" i="3"/>
  <c r="X978" i="3"/>
  <c r="X557" i="3"/>
  <c r="X798" i="3"/>
  <c r="X142" i="3"/>
  <c r="X1075" i="3"/>
  <c r="X483" i="3"/>
  <c r="X472" i="3"/>
  <c r="X171" i="3"/>
  <c r="X905" i="3"/>
  <c r="X107" i="3"/>
  <c r="X783" i="3"/>
  <c r="X396" i="3"/>
  <c r="X387" i="3"/>
  <c r="X869" i="3"/>
  <c r="X548" i="3"/>
  <c r="X210" i="3"/>
  <c r="X24" i="3"/>
  <c r="X398" i="3"/>
  <c r="X294" i="3"/>
  <c r="X1154" i="3"/>
  <c r="X992" i="3"/>
  <c r="X948" i="3"/>
  <c r="X660" i="3"/>
  <c r="X697" i="3"/>
  <c r="X595" i="3"/>
  <c r="X507" i="3"/>
  <c r="X218" i="3"/>
  <c r="X500" i="3"/>
  <c r="X831" i="3"/>
  <c r="X318" i="3"/>
  <c r="X70" i="3"/>
  <c r="X775" i="3"/>
  <c r="X845" i="3"/>
  <c r="X68" i="3"/>
  <c r="X17" i="3"/>
  <c r="X808" i="3"/>
  <c r="X309" i="3"/>
  <c r="X266" i="3"/>
  <c r="X40" i="3"/>
  <c r="X906" i="3"/>
  <c r="X956" i="3"/>
  <c r="X1177" i="3"/>
  <c r="X328" i="3"/>
  <c r="X661" i="3"/>
  <c r="X898" i="3"/>
  <c r="X698" i="3"/>
  <c r="X117" i="3"/>
  <c r="X133" i="3"/>
  <c r="X567" i="3"/>
  <c r="X801" i="3"/>
  <c r="X584" i="3"/>
  <c r="X421" i="3"/>
  <c r="X1165" i="3"/>
  <c r="X970" i="3"/>
  <c r="X151" i="3"/>
  <c r="X628" i="3"/>
  <c r="X703" i="3"/>
  <c r="X830" i="3"/>
  <c r="X753" i="3"/>
  <c r="X975" i="3"/>
  <c r="X612" i="3"/>
  <c r="X740" i="3"/>
  <c r="X278" i="3"/>
  <c r="X571" i="3"/>
  <c r="X413" i="3"/>
  <c r="X503" i="3"/>
  <c r="X345" i="3"/>
  <c r="X817" i="3"/>
  <c r="X990" i="3"/>
  <c r="X1164" i="3"/>
  <c r="X1092" i="3"/>
  <c r="X469" i="3"/>
  <c r="X715" i="3"/>
  <c r="X1040" i="3"/>
  <c r="X574" i="3"/>
  <c r="X922" i="3"/>
  <c r="X1081" i="3"/>
  <c r="X1018" i="3"/>
  <c r="X841" i="3"/>
  <c r="X64" i="3"/>
  <c r="X485" i="3"/>
  <c r="X573" i="3"/>
  <c r="X1207" i="3"/>
  <c r="X1079" i="3"/>
  <c r="X1145" i="3"/>
  <c r="X312" i="3"/>
  <c r="X402" i="3"/>
  <c r="X862" i="3"/>
  <c r="X1017" i="3"/>
  <c r="X429" i="3"/>
  <c r="X592" i="3"/>
  <c r="X447" i="3"/>
  <c r="X148" i="3"/>
  <c r="X269" i="3"/>
  <c r="X849" i="3"/>
  <c r="X1078" i="3"/>
  <c r="X178" i="3"/>
  <c r="X379" i="3"/>
  <c r="X179" i="3"/>
  <c r="X1047" i="3"/>
  <c r="X718" i="3"/>
  <c r="X1027" i="3"/>
  <c r="X327" i="3"/>
  <c r="X535" i="3"/>
  <c r="X1024" i="3"/>
  <c r="X1115" i="3"/>
  <c r="X1102" i="3"/>
  <c r="X1193" i="3"/>
  <c r="X681" i="3"/>
  <c r="X640" i="3"/>
  <c r="X448" i="3"/>
  <c r="X1014" i="3"/>
  <c r="X1112" i="3"/>
  <c r="X1152" i="3"/>
  <c r="X76" i="3"/>
  <c r="X342" i="3"/>
  <c r="X286" i="3"/>
  <c r="X889" i="3"/>
  <c r="X260" i="3"/>
  <c r="X1178" i="3"/>
  <c r="X462" i="3"/>
  <c r="X526" i="3"/>
  <c r="X1148" i="3"/>
  <c r="X1066" i="3"/>
  <c r="X1035" i="3"/>
  <c r="X215" i="3"/>
  <c r="X119" i="3"/>
  <c r="X366" i="3"/>
  <c r="X39" i="3"/>
  <c r="X346" i="3"/>
  <c r="X228" i="3"/>
  <c r="X375" i="3"/>
  <c r="X471" i="3"/>
  <c r="X1056" i="3"/>
  <c r="X523" i="3"/>
  <c r="X73" i="3"/>
  <c r="X381" i="3"/>
  <c r="X1173" i="3"/>
  <c r="X1161" i="3"/>
  <c r="X213" i="3"/>
  <c r="X1089" i="3"/>
  <c r="X56" i="3"/>
  <c r="X199" i="3"/>
  <c r="X446" i="3"/>
  <c r="X368" i="3"/>
  <c r="X663" i="3"/>
  <c r="X1201" i="3"/>
  <c r="X720" i="3"/>
  <c r="X367" i="3"/>
  <c r="X159" i="3"/>
  <c r="X631" i="3"/>
  <c r="X1144" i="3"/>
  <c r="X1185" i="3"/>
  <c r="X555" i="3"/>
  <c r="X341" i="3"/>
  <c r="X124" i="3"/>
  <c r="X1097" i="3"/>
  <c r="X832" i="3"/>
  <c r="X991" i="3"/>
  <c r="X763" i="3"/>
  <c r="X717" i="3"/>
  <c r="X31" i="3"/>
  <c r="X910" i="3"/>
  <c r="X1190" i="3"/>
  <c r="X253" i="3"/>
  <c r="X136" i="3"/>
  <c r="X757" i="3"/>
  <c r="X324" i="3"/>
  <c r="X489" i="3"/>
  <c r="X824" i="3"/>
  <c r="X1106" i="3"/>
  <c r="X981" i="3"/>
  <c r="X155" i="3"/>
  <c r="X219" i="3"/>
  <c r="X319" i="3"/>
  <c r="X1157" i="3"/>
  <c r="X878" i="3"/>
  <c r="X664" i="3"/>
  <c r="X476" i="3"/>
  <c r="X657" i="3"/>
  <c r="X265" i="3"/>
  <c r="X404" i="3"/>
  <c r="X754" i="3"/>
  <c r="X233" i="3"/>
  <c r="X1175" i="3"/>
  <c r="X470" i="3"/>
  <c r="X270" i="3"/>
  <c r="X399" i="3"/>
  <c r="X727" i="3"/>
  <c r="X125" i="3"/>
  <c r="X245" i="3"/>
  <c r="X911" i="3"/>
  <c r="X1037" i="3"/>
  <c r="X597" i="3"/>
  <c r="X416" i="3"/>
  <c r="X608" i="3"/>
  <c r="X175" i="3"/>
  <c r="X894" i="3"/>
  <c r="X164" i="3"/>
  <c r="X826" i="3"/>
  <c r="X738" i="3"/>
  <c r="X576" i="3"/>
  <c r="X251" i="3"/>
  <c r="X1158" i="3"/>
  <c r="X417" i="3"/>
  <c r="Y417" i="3" s="1"/>
  <c r="Z418" i="3" s="1"/>
  <c r="X1010" i="3"/>
  <c r="X1091" i="3"/>
  <c r="X1188" i="3"/>
  <c r="X770" i="3"/>
  <c r="X1096" i="3"/>
  <c r="X456" i="3"/>
  <c r="X376" i="3"/>
  <c r="X259" i="3"/>
  <c r="X137" i="3"/>
  <c r="X751" i="3"/>
  <c r="X71" i="3"/>
  <c r="X819" i="3"/>
  <c r="X1100" i="3"/>
  <c r="X498" i="3"/>
  <c r="X1028" i="3"/>
  <c r="X674" i="3"/>
  <c r="X242" i="3"/>
  <c r="X605" i="3"/>
  <c r="X688" i="3"/>
  <c r="X322" i="3"/>
  <c r="X963" i="3"/>
  <c r="X249" i="3"/>
  <c r="X110" i="3"/>
  <c r="X619" i="3"/>
  <c r="X1064" i="3"/>
  <c r="X594" i="3"/>
  <c r="X799" i="3"/>
  <c r="X796" i="3"/>
  <c r="X279" i="3"/>
  <c r="X1187" i="3"/>
  <c r="X350" i="3"/>
  <c r="X1086" i="3"/>
  <c r="X553" i="3"/>
  <c r="X623" i="3"/>
  <c r="X777" i="3"/>
  <c r="X262" i="3"/>
  <c r="X226" i="3"/>
  <c r="X1070" i="3"/>
  <c r="X908" i="3"/>
  <c r="X1192" i="3"/>
  <c r="X150" i="3"/>
  <c r="X115" i="3"/>
  <c r="X1103" i="3"/>
  <c r="X837" i="3"/>
  <c r="X247" i="3"/>
  <c r="X820" i="3"/>
  <c r="X735" i="3"/>
  <c r="X1025" i="3"/>
  <c r="X1198" i="3"/>
  <c r="X971" i="3"/>
  <c r="X435" i="3"/>
  <c r="X203" i="3"/>
  <c r="X866" i="3"/>
  <c r="X868" i="3"/>
  <c r="X517" i="3"/>
  <c r="X1023" i="3"/>
  <c r="X881" i="3"/>
  <c r="X1021" i="3"/>
  <c r="X609" i="3"/>
  <c r="X629" i="3"/>
  <c r="X544" i="3"/>
  <c r="X1113" i="3"/>
  <c r="X1208" i="3"/>
  <c r="X914" i="3"/>
  <c r="X1155" i="3"/>
  <c r="X103" i="3"/>
  <c r="X191" i="3"/>
  <c r="X951" i="3"/>
  <c r="X46" i="3"/>
  <c r="X201" i="3"/>
  <c r="X140" i="3"/>
  <c r="X338" i="3"/>
  <c r="X356" i="3"/>
  <c r="X149" i="3"/>
  <c r="X28" i="3"/>
  <c r="X205" i="3"/>
  <c r="X202" i="3"/>
  <c r="X29" i="3"/>
  <c r="X960" i="3"/>
  <c r="X989" i="3"/>
  <c r="X361" i="3"/>
  <c r="X194" i="3"/>
  <c r="X671" i="3"/>
  <c r="X569" i="3"/>
  <c r="X27" i="3"/>
  <c r="X965" i="3"/>
  <c r="X236" i="3"/>
  <c r="X562" i="3"/>
  <c r="X863" i="3"/>
  <c r="X484" i="3"/>
  <c r="X1205" i="3"/>
  <c r="X331" i="3"/>
  <c r="X704" i="3"/>
  <c r="X579" i="3"/>
  <c r="X486" i="3"/>
  <c r="X95" i="3"/>
  <c r="X865" i="3"/>
  <c r="X656" i="3"/>
  <c r="X354" i="3"/>
  <c r="X858" i="3"/>
  <c r="X937" i="3"/>
  <c r="X87" i="3"/>
  <c r="X719" i="3"/>
  <c r="X639" i="3"/>
  <c r="X69" i="3"/>
  <c r="X410" i="3"/>
  <c r="X556" i="3"/>
  <c r="X382" i="3"/>
  <c r="X515" i="3"/>
  <c r="X414" i="3"/>
  <c r="X85" i="3"/>
  <c r="X104" i="3"/>
  <c r="X745" i="3"/>
  <c r="X1204" i="3"/>
  <c r="X1171" i="3"/>
  <c r="X615" i="3"/>
  <c r="X1006" i="3"/>
  <c r="X896" i="3"/>
  <c r="X514" i="3"/>
  <c r="X794" i="3"/>
  <c r="X246" i="3"/>
  <c r="X100" i="3"/>
  <c r="X1176" i="3"/>
  <c r="X650" i="3"/>
  <c r="X551" i="3"/>
  <c r="X1026" i="3"/>
  <c r="X315" i="3"/>
  <c r="X510" i="3"/>
  <c r="X1008" i="3"/>
  <c r="X240" i="3"/>
  <c r="X1203" i="3"/>
  <c r="X459" i="3"/>
  <c r="X38" i="3"/>
  <c r="X264" i="3"/>
  <c r="X867" i="3"/>
  <c r="X743" i="3"/>
  <c r="X45" i="3"/>
  <c r="X1117" i="3"/>
  <c r="X465" i="3"/>
  <c r="X445" i="3"/>
  <c r="X511" i="3"/>
  <c r="X931" i="3"/>
  <c r="X420" i="3"/>
  <c r="X834" i="3"/>
  <c r="X1132" i="3"/>
  <c r="X1199" i="3"/>
  <c r="X677" i="3"/>
  <c r="X1126" i="3"/>
  <c r="X120" i="3"/>
  <c r="X58" i="3"/>
  <c r="X945" i="3"/>
  <c r="X564" i="3"/>
  <c r="X899" i="3"/>
  <c r="X1030" i="3"/>
  <c r="X966" i="3"/>
  <c r="X884" i="3"/>
  <c r="X274" i="3"/>
  <c r="X1202" i="3"/>
  <c r="X408" i="3"/>
  <c r="X158" i="3"/>
  <c r="X285" i="3"/>
  <c r="X53" i="3"/>
  <c r="X207" i="3"/>
  <c r="X635" i="3"/>
  <c r="X800" i="3"/>
  <c r="X627" i="3"/>
  <c r="X685" i="3"/>
  <c r="X767" i="3"/>
  <c r="X1119" i="3"/>
  <c r="X101" i="3"/>
  <c r="X80" i="3"/>
  <c r="X558" i="3"/>
  <c r="X222" i="3"/>
  <c r="X167" i="3"/>
  <c r="X1209" i="3"/>
  <c r="X308" i="3"/>
  <c r="X457" i="3"/>
  <c r="X633" i="3"/>
  <c r="X424" i="3"/>
  <c r="X496" i="3"/>
  <c r="X781" i="3"/>
  <c r="X599" i="3"/>
  <c r="X679" i="3"/>
  <c r="X1143" i="3"/>
  <c r="X807" i="3"/>
  <c r="X1142" i="3"/>
  <c r="X926" i="3"/>
  <c r="X855" i="3"/>
  <c r="X156" i="3"/>
  <c r="X1068" i="3"/>
  <c r="X708" i="3"/>
  <c r="X950" i="3"/>
  <c r="X34" i="3"/>
  <c r="X828" i="3"/>
  <c r="X902" i="3"/>
  <c r="X934" i="3"/>
  <c r="X787" i="3"/>
  <c r="X747" i="3"/>
  <c r="X1041" i="3"/>
  <c r="X870" i="3"/>
  <c r="X776" i="3"/>
  <c r="X848" i="3"/>
  <c r="X449" i="3"/>
  <c r="X81" i="3"/>
  <c r="X1120" i="3"/>
  <c r="X1019" i="3"/>
  <c r="X1162" i="3"/>
  <c r="X419" i="3"/>
  <c r="X112" i="3"/>
  <c r="X730" i="3"/>
  <c r="X238" i="3"/>
  <c r="X1074" i="3"/>
  <c r="X438" i="3"/>
  <c r="X1200" i="3"/>
  <c r="X1057" i="3"/>
  <c r="X534" i="3"/>
  <c r="X492" i="3"/>
  <c r="X578" i="3"/>
  <c r="X300" i="3"/>
  <c r="X313" i="3"/>
  <c r="X298" i="3"/>
  <c r="X665" i="3"/>
  <c r="X925" i="3"/>
  <c r="X400" i="3"/>
  <c r="X97" i="3"/>
  <c r="X314" i="3"/>
  <c r="X1183" i="3"/>
  <c r="X351" i="3"/>
  <c r="X224" i="3"/>
  <c r="X237" i="3"/>
  <c r="X929" i="3"/>
  <c r="X1004" i="3"/>
  <c r="X765" i="3"/>
  <c r="X321" i="3"/>
  <c r="X370" i="3"/>
  <c r="X433" i="3"/>
  <c r="X1065" i="3"/>
  <c r="X859" i="3"/>
  <c r="X443" i="3"/>
  <c r="X1184" i="3"/>
  <c r="X493" i="3"/>
  <c r="X357" i="3"/>
  <c r="X154" i="3"/>
  <c r="X764" i="3"/>
  <c r="X1055" i="3"/>
  <c r="X1195" i="3"/>
  <c r="X780" i="3"/>
  <c r="X856" i="3"/>
  <c r="X480" i="3"/>
  <c r="X1062" i="3"/>
  <c r="X613" i="3"/>
  <c r="X391" i="3"/>
  <c r="X662" i="3"/>
  <c r="X572" i="3"/>
  <c r="X1101" i="3"/>
  <c r="X291" i="3"/>
  <c r="X521" i="3"/>
  <c r="X422" i="3"/>
  <c r="X43" i="3"/>
  <c r="X297" i="3"/>
  <c r="X243" i="3"/>
  <c r="X23" i="3"/>
  <c r="X883" i="3"/>
  <c r="X1180" i="3"/>
  <c r="X864" i="3"/>
  <c r="X359" i="3"/>
  <c r="X256" i="3"/>
  <c r="X1147" i="3"/>
  <c r="X466" i="3"/>
  <c r="X580" i="3"/>
  <c r="X369" i="3"/>
  <c r="X538" i="3"/>
  <c r="X1098" i="3"/>
  <c r="X189" i="3"/>
  <c r="X122" i="3"/>
  <c r="X648" i="3"/>
  <c r="X407" i="3"/>
  <c r="X290" i="3"/>
  <c r="X795" i="3"/>
  <c r="X1073" i="3"/>
  <c r="X131" i="3"/>
  <c r="X944" i="3"/>
  <c r="X977" i="3"/>
  <c r="X909" i="3"/>
  <c r="X86" i="3"/>
  <c r="X336" i="3"/>
  <c r="X897" i="3"/>
  <c r="X209" i="3"/>
  <c r="X1050" i="3"/>
  <c r="X129" i="3"/>
  <c r="X47" i="3"/>
  <c r="X16" i="3"/>
  <c r="X543" i="3"/>
  <c r="X790" i="3"/>
  <c r="X109" i="3"/>
  <c r="X695" i="3"/>
  <c r="X575" i="3"/>
  <c r="X282" i="3"/>
  <c r="X431" i="3"/>
  <c r="X473" i="3"/>
  <c r="X1172" i="3"/>
  <c r="X829" i="3"/>
  <c r="X854" i="3"/>
  <c r="X239" i="3"/>
  <c r="X1034" i="3"/>
  <c r="X65" i="3"/>
  <c r="X545" i="3"/>
  <c r="X138" i="3"/>
  <c r="X518" i="3"/>
  <c r="X726" i="3"/>
  <c r="X1149" i="3"/>
  <c r="X450" i="3"/>
  <c r="X258" i="3"/>
  <c r="X668" i="3"/>
  <c r="X706" i="3"/>
  <c r="X272" i="3"/>
  <c r="X79" i="3"/>
  <c r="X822" i="3"/>
  <c r="X904" i="3"/>
  <c r="X395" i="3"/>
  <c r="X949" i="3"/>
  <c r="X643" i="3"/>
  <c r="X959" i="3"/>
  <c r="X1072" i="3"/>
  <c r="X676" i="3"/>
  <c r="X1052" i="3"/>
  <c r="X1051" i="3"/>
  <c r="X385" i="3"/>
  <c r="X305" i="3"/>
  <c r="X423" i="3"/>
  <c r="X693" i="3"/>
  <c r="X141" i="3"/>
  <c r="X1104" i="3"/>
  <c r="X468" i="3"/>
  <c r="X1214" i="3"/>
  <c r="X482" i="3"/>
  <c r="X644" i="3"/>
  <c r="X968" i="3"/>
  <c r="X296" i="3"/>
  <c r="X1131" i="3"/>
  <c r="X255" i="3"/>
  <c r="X310" i="3"/>
  <c r="X42" i="3"/>
  <c r="X360" i="3"/>
  <c r="X561" i="3"/>
  <c r="X721" i="3"/>
  <c r="X234" i="3"/>
  <c r="X1182" i="3"/>
  <c r="X547" i="3"/>
  <c r="X505" i="3"/>
  <c r="X1139" i="3"/>
  <c r="X734" i="3"/>
  <c r="X600" i="3"/>
  <c r="X1111" i="3"/>
  <c r="X875" i="3"/>
  <c r="X973" i="3"/>
  <c r="X204" i="3"/>
  <c r="X127" i="3"/>
  <c r="X304" i="3"/>
  <c r="X1082" i="3"/>
  <c r="X388" i="3"/>
  <c r="X606" i="3"/>
  <c r="X163" i="3"/>
  <c r="X940" i="3"/>
  <c r="X622" i="3"/>
  <c r="X229" i="3"/>
  <c r="X552" i="3"/>
  <c r="X276" i="3"/>
  <c r="X458" i="3"/>
  <c r="X852" i="3"/>
  <c r="X57" i="3"/>
  <c r="X772" i="3"/>
  <c r="X195" i="3"/>
  <c r="X707" i="3"/>
  <c r="X621" i="3"/>
  <c r="X504" i="3"/>
  <c r="X634" i="3"/>
  <c r="X271" i="3"/>
  <c r="X638" i="3"/>
  <c r="X1054" i="3"/>
  <c r="X537" i="3"/>
  <c r="X1090" i="3"/>
  <c r="X214" i="3"/>
  <c r="X806" i="3"/>
  <c r="X405" i="3"/>
  <c r="X499" i="3"/>
  <c r="X306" i="3"/>
  <c r="X625" i="3"/>
  <c r="X812" i="3"/>
  <c r="X590" i="3"/>
  <c r="X882" i="3"/>
  <c r="X37" i="3"/>
  <c r="X769" i="3"/>
  <c r="X927" i="3"/>
  <c r="X933" i="3"/>
  <c r="X716" i="3"/>
  <c r="X1166" i="3"/>
  <c r="X403" i="3"/>
  <c r="X145" i="3"/>
  <c r="X1150" i="3"/>
  <c r="X1127" i="3"/>
  <c r="X756" i="3"/>
  <c r="X887" i="3"/>
  <c r="X261" i="3"/>
  <c r="X755" i="3"/>
  <c r="X377" i="3"/>
  <c r="X771" i="3"/>
  <c r="X130" i="3"/>
  <c r="X1118" i="3"/>
  <c r="X427" i="3"/>
  <c r="X616" i="3"/>
  <c r="X1049" i="3"/>
  <c r="X1022" i="3"/>
  <c r="X736" i="3"/>
  <c r="X183" i="3"/>
  <c r="X41" i="3"/>
  <c r="X1095" i="3"/>
  <c r="X92" i="3"/>
  <c r="X411" i="3"/>
  <c r="X114" i="3"/>
  <c r="X1048" i="3"/>
  <c r="X18" i="3"/>
  <c r="X797" i="3"/>
  <c r="X1134" i="3"/>
  <c r="X48" i="3"/>
  <c r="X962" i="3"/>
  <c r="X850" i="3"/>
  <c r="X364" i="3"/>
  <c r="X792" i="3"/>
  <c r="X536" i="3"/>
  <c r="X494" i="3"/>
  <c r="X825" i="3"/>
  <c r="X506" i="3"/>
  <c r="X454" i="3"/>
  <c r="X1108" i="3"/>
  <c r="X478" i="3"/>
  <c r="X957" i="3"/>
  <c r="X701" i="3"/>
  <c r="X1087" i="3"/>
  <c r="X139" i="3"/>
  <c r="X263" i="3"/>
  <c r="X731" i="3"/>
  <c r="X1109" i="3"/>
  <c r="X116" i="3"/>
  <c r="X589" i="3"/>
  <c r="X637" i="3"/>
  <c r="X393" i="3"/>
  <c r="X33" i="3"/>
  <c r="X993" i="3"/>
  <c r="X373" i="3"/>
  <c r="X550" i="3"/>
  <c r="X1124" i="3"/>
  <c r="X221" i="3"/>
  <c r="X585" i="3"/>
  <c r="X170" i="3"/>
  <c r="X891" i="3"/>
  <c r="X872" i="3"/>
  <c r="X349" i="3"/>
  <c r="X672" i="3"/>
  <c r="X988" i="3"/>
  <c r="X1210" i="3"/>
  <c r="X293" i="3"/>
  <c r="X1129" i="3"/>
  <c r="X570" i="3"/>
  <c r="X1088" i="3"/>
  <c r="X1016" i="3"/>
  <c r="X542" i="3"/>
  <c r="X111" i="3"/>
  <c r="X358" i="3"/>
  <c r="X733" i="3"/>
  <c r="X833" i="3"/>
  <c r="X994" i="3"/>
  <c r="X200" i="3"/>
  <c r="X802" i="3"/>
  <c r="X93" i="3"/>
  <c r="X739" i="3"/>
  <c r="X620" i="3"/>
  <c r="X976" i="3"/>
  <c r="X732" i="3"/>
  <c r="X529" i="3"/>
  <c r="X907" i="3"/>
  <c r="X1110" i="3"/>
  <c r="X871" i="3"/>
  <c r="X522" i="3"/>
  <c r="X440" i="3"/>
  <c r="X1046" i="3"/>
  <c r="X729" i="3"/>
  <c r="X647" i="3"/>
  <c r="X969" i="3"/>
  <c r="X383" i="3"/>
  <c r="X632" i="3"/>
  <c r="X289" i="3"/>
  <c r="X900" i="3"/>
  <c r="X520" i="3"/>
  <c r="X292" i="3"/>
  <c r="X614" i="3"/>
  <c r="X762" i="3"/>
  <c r="X744" i="3"/>
  <c r="X709" i="3"/>
  <c r="X1196" i="3"/>
  <c r="X566" i="3"/>
  <c r="X362" i="3"/>
  <c r="X699" i="3"/>
  <c r="X642" i="3"/>
  <c r="X888" i="3"/>
  <c r="X1197" i="3"/>
  <c r="X563" i="3"/>
  <c r="X254" i="3"/>
  <c r="X985" i="3"/>
  <c r="X654" i="3"/>
  <c r="X652" i="3"/>
  <c r="X343" i="3"/>
  <c r="X174" i="3"/>
  <c r="X890" i="3"/>
  <c r="X603" i="3"/>
  <c r="X501" i="3"/>
  <c r="X958" i="3"/>
  <c r="X378" i="3"/>
  <c r="X711" i="3"/>
  <c r="X1094" i="3"/>
  <c r="X434" i="3"/>
  <c r="X330" i="3"/>
  <c r="X918" i="3"/>
  <c r="X197" i="3"/>
  <c r="X227" i="3"/>
  <c r="X998" i="3"/>
  <c r="X924" i="3"/>
  <c r="X184" i="3"/>
  <c r="X1105" i="3"/>
  <c r="X72" i="3"/>
  <c r="X20" i="3"/>
  <c r="X425" i="3"/>
  <c r="X903" i="3"/>
  <c r="X1038" i="3"/>
  <c r="X1189" i="3"/>
  <c r="T1115" i="3"/>
  <c r="T187" i="3"/>
  <c r="T1111" i="3"/>
  <c r="T820" i="3"/>
  <c r="T375" i="3"/>
  <c r="T58" i="3"/>
  <c r="T106" i="3"/>
  <c r="T1102" i="3"/>
  <c r="T1140" i="3"/>
  <c r="T219" i="3"/>
  <c r="T39" i="3"/>
  <c r="T845" i="3"/>
  <c r="T105" i="3"/>
  <c r="T648" i="3"/>
  <c r="T519" i="3"/>
  <c r="T634" i="3"/>
  <c r="T966" i="3"/>
  <c r="T799" i="3"/>
  <c r="T846" i="3"/>
  <c r="T754" i="3"/>
  <c r="T771" i="3"/>
  <c r="T557" i="3"/>
  <c r="T777" i="3"/>
  <c r="T33" i="3"/>
  <c r="T201" i="3"/>
  <c r="T990" i="3"/>
  <c r="T755" i="3"/>
  <c r="T847" i="3"/>
  <c r="T202" i="3"/>
  <c r="T621" i="3"/>
  <c r="T339" i="3"/>
  <c r="T441" i="3"/>
  <c r="T833" i="3"/>
  <c r="T1060" i="3"/>
  <c r="T404" i="3"/>
  <c r="T115" i="3"/>
  <c r="T868" i="3"/>
  <c r="T422" i="3"/>
  <c r="T91" i="3"/>
  <c r="T829" i="3"/>
  <c r="T638" i="3"/>
  <c r="T423" i="3"/>
  <c r="T1143" i="3"/>
  <c r="T674" i="3"/>
  <c r="T842" i="3"/>
  <c r="T687" i="3"/>
  <c r="T358" i="3"/>
  <c r="T243" i="3"/>
  <c r="T915" i="3"/>
  <c r="T233" i="3"/>
  <c r="T139" i="3"/>
  <c r="T480" i="3"/>
  <c r="T615" i="3"/>
  <c r="T580" i="3"/>
  <c r="T45" i="3"/>
  <c r="T499" i="3"/>
  <c r="T495" i="3"/>
  <c r="T1080" i="3"/>
  <c r="T584" i="3"/>
  <c r="T453" i="3"/>
  <c r="T1190" i="3"/>
  <c r="T64" i="3"/>
  <c r="T1176" i="3"/>
  <c r="T405" i="3"/>
  <c r="T476" i="3"/>
  <c r="T882" i="3"/>
  <c r="T381" i="3"/>
  <c r="T851" i="3"/>
  <c r="T665" i="3"/>
  <c r="T631" i="3"/>
  <c r="T610" i="3"/>
  <c r="T747" i="3"/>
  <c r="T377" i="3"/>
  <c r="T1071" i="3"/>
  <c r="T367" i="3"/>
  <c r="T409" i="3"/>
  <c r="T334" i="3"/>
  <c r="T909" i="3"/>
  <c r="T1134" i="3"/>
  <c r="T1074" i="3"/>
  <c r="T89" i="3"/>
  <c r="T434" i="3"/>
  <c r="T962" i="3"/>
  <c r="T28" i="3"/>
  <c r="T625" i="3"/>
  <c r="T340" i="3"/>
  <c r="T753" i="3"/>
  <c r="T828" i="3"/>
  <c r="T124" i="3"/>
  <c r="T738" i="3"/>
  <c r="T500" i="3"/>
  <c r="T79" i="3"/>
  <c r="T428" i="3"/>
  <c r="T616" i="3"/>
  <c r="T114" i="3"/>
  <c r="T1049" i="3"/>
  <c r="T307" i="3"/>
  <c r="T1136" i="3"/>
  <c r="T144" i="3"/>
  <c r="T813" i="3"/>
  <c r="T975" i="3"/>
  <c r="T1103" i="3"/>
  <c r="T703" i="3"/>
  <c r="T908" i="3"/>
  <c r="T1059" i="3"/>
  <c r="T1158" i="3"/>
  <c r="T1120" i="3"/>
  <c r="T666" i="3"/>
  <c r="T931" i="3"/>
  <c r="T112" i="3"/>
  <c r="T987" i="3"/>
  <c r="T502" i="3"/>
  <c r="T946" i="3"/>
  <c r="T536" i="3"/>
  <c r="T1075" i="3"/>
  <c r="T759" i="3"/>
  <c r="T437" i="3"/>
  <c r="T326" i="3"/>
  <c r="T760" i="3"/>
  <c r="T509" i="3"/>
  <c r="T824" i="3"/>
  <c r="T116" i="3"/>
  <c r="T800" i="3"/>
  <c r="T588" i="3"/>
  <c r="T179" i="3"/>
  <c r="T632" i="3"/>
  <c r="T16" i="3"/>
  <c r="T525" i="3"/>
  <c r="T372" i="3"/>
  <c r="T1092" i="3"/>
  <c r="T365" i="3"/>
  <c r="T996" i="3"/>
  <c r="T1137" i="3"/>
  <c r="T919" i="3"/>
  <c r="T905" i="3"/>
  <c r="T1192" i="3"/>
  <c r="T87" i="3"/>
  <c r="T298" i="3"/>
  <c r="T698" i="3"/>
  <c r="T468" i="3"/>
  <c r="T1003" i="3"/>
  <c r="T266" i="3"/>
  <c r="T682" i="3"/>
  <c r="T493" i="3"/>
  <c r="T1028" i="3"/>
  <c r="T330" i="3"/>
  <c r="T421" i="3"/>
  <c r="T1152" i="3"/>
  <c r="T170" i="3"/>
  <c r="T299" i="3"/>
  <c r="T684" i="3"/>
  <c r="T1144" i="3"/>
  <c r="T1184" i="3"/>
  <c r="T1123" i="3"/>
  <c r="T591" i="3"/>
  <c r="T980" i="3"/>
  <c r="T1118" i="3"/>
  <c r="T67" i="3"/>
  <c r="T84" i="3"/>
  <c r="T18" i="3"/>
  <c r="T1166" i="3"/>
  <c r="T1063" i="3"/>
  <c r="T1177" i="3"/>
  <c r="T249" i="3"/>
  <c r="T885" i="3"/>
  <c r="T1198" i="3"/>
  <c r="T920" i="3"/>
  <c r="T327" i="3"/>
  <c r="T701" i="3"/>
  <c r="T1033" i="3"/>
  <c r="T213" i="3"/>
  <c r="T475" i="3"/>
  <c r="T986" i="3"/>
  <c r="T1189" i="3"/>
  <c r="T523" i="3"/>
  <c r="T503" i="3"/>
  <c r="T359" i="3"/>
  <c r="T207" i="3"/>
  <c r="T1127" i="3"/>
  <c r="T953" i="3"/>
  <c r="T691" i="3"/>
  <c r="T770" i="3"/>
  <c r="T774" i="3"/>
  <c r="T593" i="3"/>
  <c r="T424" i="3"/>
  <c r="T969" i="3"/>
  <c r="T705" i="3"/>
  <c r="T466" i="3"/>
  <c r="T491" i="3"/>
  <c r="T673" i="3"/>
  <c r="T960" i="3"/>
  <c r="T484" i="3"/>
  <c r="T384" i="3"/>
  <c r="T111" i="3"/>
  <c r="T189" i="3"/>
  <c r="T1203" i="3"/>
  <c r="T1069" i="3"/>
  <c r="T287" i="3"/>
  <c r="T999" i="3"/>
  <c r="T1209" i="3"/>
  <c r="T435" i="3"/>
  <c r="T134" i="3"/>
  <c r="T234" i="3"/>
  <c r="T677" i="3"/>
  <c r="T328" i="3"/>
  <c r="T126" i="3"/>
  <c r="T494" i="3"/>
  <c r="T436" i="3"/>
  <c r="T904" i="3"/>
  <c r="T1032" i="3"/>
  <c r="T88" i="3"/>
  <c r="T1155" i="3"/>
  <c r="T301" i="3"/>
  <c r="T995" i="3"/>
  <c r="T1048" i="3"/>
  <c r="T240" i="3"/>
  <c r="T1084" i="3"/>
  <c r="T791" i="3"/>
  <c r="T689" i="3"/>
  <c r="T164" i="3"/>
  <c r="T767" i="3"/>
  <c r="T656" i="3"/>
  <c r="T664" i="3"/>
  <c r="T957" i="3"/>
  <c r="T1121" i="3"/>
  <c r="T433" i="3"/>
  <c r="T1213" i="3"/>
  <c r="T668" i="3"/>
  <c r="T741" i="3"/>
  <c r="T263" i="3"/>
  <c r="T958" i="3"/>
  <c r="T317" i="3"/>
  <c r="T748" i="3"/>
  <c r="T1046" i="3"/>
  <c r="T510" i="3"/>
  <c r="T887" i="3"/>
  <c r="T641" i="3"/>
  <c r="T63" i="3"/>
  <c r="T145" i="3"/>
  <c r="T628" i="3"/>
  <c r="T728" i="3"/>
  <c r="T573" i="3"/>
  <c r="T280" i="3"/>
  <c r="T1058" i="3"/>
  <c r="T1179" i="3"/>
  <c r="T1077" i="3"/>
  <c r="T1027" i="3"/>
  <c r="T821" i="3"/>
  <c r="T1108" i="3"/>
  <c r="T398" i="3"/>
  <c r="T1010" i="3"/>
  <c r="T205" i="3"/>
  <c r="T1053" i="3"/>
  <c r="T823" i="3"/>
  <c r="T413" i="3"/>
  <c r="T963" i="3"/>
  <c r="T763" i="3"/>
  <c r="T1200" i="3"/>
  <c r="T390" i="3"/>
  <c r="T343" i="3"/>
  <c r="T892" i="3"/>
  <c r="T530" i="3"/>
  <c r="T736" i="3"/>
  <c r="T992" i="3"/>
  <c r="T1171" i="3"/>
  <c r="T951" i="3"/>
  <c r="T539" i="3"/>
  <c r="T806" i="3"/>
  <c r="T1156" i="3"/>
  <c r="T1096" i="3"/>
  <c r="T30" i="3"/>
  <c r="T60" i="3"/>
  <c r="T891" i="3"/>
  <c r="T1082" i="3"/>
  <c r="T244" i="3"/>
  <c r="T489" i="3"/>
  <c r="T236" i="3"/>
  <c r="T581" i="3"/>
  <c r="T448" i="3"/>
  <c r="T853" i="3"/>
  <c r="T507" i="3"/>
  <c r="T65" i="3"/>
  <c r="T849" i="3"/>
  <c r="T1098" i="3"/>
  <c r="T425" i="3"/>
  <c r="T431" i="3"/>
  <c r="T1087" i="3"/>
  <c r="T640" i="3"/>
  <c r="T242" i="3"/>
  <c r="T578" i="3"/>
  <c r="T416" i="3"/>
  <c r="T194" i="3"/>
  <c r="T1093" i="3"/>
  <c r="T332" i="3"/>
  <c r="T95" i="3"/>
  <c r="T1050" i="3"/>
  <c r="T302" i="3"/>
  <c r="T757" i="3"/>
  <c r="T196" i="3"/>
  <c r="T260" i="3"/>
  <c r="T943" i="3"/>
  <c r="T552" i="3"/>
  <c r="T310" i="3"/>
  <c r="T546" i="3"/>
  <c r="T528" i="3"/>
  <c r="T256" i="3"/>
  <c r="T400" i="3"/>
  <c r="T85" i="3"/>
  <c r="T811" i="3"/>
  <c r="T790" i="3"/>
  <c r="T410" i="3"/>
  <c r="T1006" i="3"/>
  <c r="T983" i="3"/>
  <c r="T378" i="3"/>
  <c r="T750" i="3"/>
  <c r="T778" i="3"/>
  <c r="T804" i="3"/>
  <c r="T772" i="3"/>
  <c r="T69" i="3"/>
  <c r="T1195" i="3"/>
  <c r="T841" i="3"/>
  <c r="T766" i="3"/>
  <c r="T814" i="3"/>
  <c r="T1124" i="3"/>
  <c r="T787" i="3"/>
  <c r="T386" i="3"/>
  <c r="T644" i="3"/>
  <c r="T471" i="3"/>
  <c r="T286" i="3"/>
  <c r="T826" i="3"/>
  <c r="T128" i="3"/>
  <c r="T176" i="3"/>
  <c r="T520" i="3"/>
  <c r="T744" i="3"/>
  <c r="T746" i="3"/>
  <c r="T592" i="3"/>
  <c r="T57" i="3"/>
  <c r="T395" i="3"/>
  <c r="T132" i="3"/>
  <c r="T1017" i="3"/>
  <c r="T880" i="3"/>
  <c r="T199" i="3"/>
  <c r="T907" i="3"/>
  <c r="T119" i="3"/>
  <c r="T490" i="3"/>
  <c r="T221" i="3"/>
  <c r="T295" i="3"/>
  <c r="T271" i="3"/>
  <c r="T948" i="3"/>
  <c r="T1105" i="3"/>
  <c r="T49" i="3"/>
  <c r="T459" i="3"/>
  <c r="T97" i="3"/>
  <c r="T211" i="3"/>
  <c r="T474" i="3"/>
  <c r="T48" i="3"/>
  <c r="T1150" i="3"/>
  <c r="T212" i="3"/>
  <c r="T1172" i="3"/>
  <c r="T890" i="3"/>
  <c r="T796" i="3"/>
  <c r="T361" i="3"/>
  <c r="T73" i="3"/>
  <c r="T82" i="3"/>
  <c r="T1035" i="3"/>
  <c r="T81" i="3"/>
  <c r="T165" i="3"/>
  <c r="T470" i="3"/>
  <c r="T140" i="3"/>
  <c r="T496" i="3"/>
  <c r="T612" i="3"/>
  <c r="T758" i="3"/>
  <c r="T654" i="3"/>
  <c r="T457" i="3"/>
  <c r="T129" i="3"/>
  <c r="T898" i="3"/>
  <c r="T331" i="3"/>
  <c r="T137" i="3"/>
  <c r="T231" i="3"/>
  <c r="T319" i="3"/>
  <c r="T40" i="3"/>
  <c r="T1211" i="3"/>
  <c r="T924" i="3"/>
  <c r="T270" i="3"/>
  <c r="T46" i="3"/>
  <c r="T597" i="3"/>
  <c r="T364" i="3"/>
  <c r="T86" i="3"/>
  <c r="T718" i="3"/>
  <c r="T564" i="3"/>
  <c r="T944" i="3"/>
  <c r="T1068" i="3"/>
  <c r="T291" i="3"/>
  <c r="T1025" i="3"/>
  <c r="T123" i="3"/>
  <c r="T131" i="3"/>
  <c r="T878" i="3"/>
  <c r="T742" i="3"/>
  <c r="T843" i="3"/>
  <c r="T279" i="3"/>
  <c r="T932" i="3"/>
  <c r="T159" i="3"/>
  <c r="T721" i="3"/>
  <c r="T789" i="3"/>
  <c r="T765" i="3"/>
  <c r="T346" i="3"/>
  <c r="T911" i="3"/>
  <c r="T446" i="3"/>
  <c r="T793" i="3"/>
  <c r="T1157" i="3"/>
  <c r="T285" i="3"/>
  <c r="T265" i="3"/>
  <c r="T250" i="3"/>
  <c r="T1052" i="3"/>
  <c r="T113" i="3"/>
  <c r="T396" i="3"/>
  <c r="T220" i="3"/>
  <c r="T264" i="3"/>
  <c r="T518" i="3"/>
  <c r="T1099" i="3"/>
  <c r="T585" i="3"/>
  <c r="T237" i="3"/>
  <c r="T379" i="3"/>
  <c r="T587" i="3"/>
  <c r="T562" i="3"/>
  <c r="T724" i="3"/>
  <c r="T534" i="3"/>
  <c r="T570" i="3"/>
  <c r="T733" i="3"/>
  <c r="T871" i="3"/>
  <c r="T877" i="3"/>
  <c r="T284" i="3"/>
  <c r="T1174" i="3"/>
  <c r="T175" i="3"/>
  <c r="T936" i="3"/>
  <c r="T970" i="3"/>
  <c r="T1065" i="3"/>
  <c r="T61" i="3"/>
  <c r="T973" i="3"/>
  <c r="T31" i="3"/>
  <c r="T21" i="3"/>
  <c r="T387" i="3"/>
  <c r="T155" i="3"/>
  <c r="T603" i="3"/>
  <c r="T147" i="3"/>
  <c r="T535" i="3"/>
  <c r="T827" i="3"/>
  <c r="T775" i="3"/>
  <c r="T1081" i="3"/>
  <c r="T1126" i="3"/>
  <c r="T239" i="3"/>
  <c r="T487" i="3"/>
  <c r="T103" i="3"/>
  <c r="T558" i="3"/>
  <c r="T392" i="3"/>
  <c r="T1094" i="3"/>
  <c r="T418" i="3"/>
  <c r="T1207" i="3"/>
  <c r="T411" i="3"/>
  <c r="T569" i="3"/>
  <c r="T305" i="3"/>
  <c r="T785" i="3"/>
  <c r="T481" i="3"/>
  <c r="T783" i="3"/>
  <c r="T717" i="3"/>
  <c r="T1196" i="3"/>
  <c r="T368" i="3"/>
  <c r="T1090" i="3"/>
  <c r="T954" i="3"/>
  <c r="T917" i="3"/>
  <c r="T606" i="3"/>
  <c r="T710" i="3"/>
  <c r="T363" i="3"/>
  <c r="T225" i="3"/>
  <c r="T373" i="3"/>
  <c r="T173" i="3"/>
  <c r="T336" i="3"/>
  <c r="T443" i="3"/>
  <c r="T1038" i="3"/>
  <c r="T1197" i="3"/>
  <c r="T241" i="3"/>
  <c r="T769" i="3"/>
  <c r="T1045" i="3"/>
  <c r="T961" i="3"/>
  <c r="T1036" i="3"/>
  <c r="T505" i="3"/>
  <c r="T939" i="3"/>
  <c r="T485" i="3"/>
  <c r="T1041" i="3"/>
  <c r="T1088" i="3"/>
  <c r="T1159" i="3"/>
  <c r="T636" i="3"/>
  <c r="T278" i="3"/>
  <c r="T835" i="3"/>
  <c r="T708" i="3"/>
  <c r="T168" i="3"/>
  <c r="T54" i="3"/>
  <c r="T716" i="3"/>
  <c r="T571" i="3"/>
  <c r="T941" i="3"/>
  <c r="T538" i="3"/>
  <c r="T547" i="3"/>
  <c r="T860" i="3"/>
  <c r="T914" i="3"/>
  <c r="T191" i="3"/>
  <c r="T1168" i="3"/>
  <c r="T670" i="3"/>
  <c r="T618" i="3"/>
  <c r="T831" i="3"/>
  <c r="T623" i="3"/>
  <c r="T432" i="3"/>
  <c r="T369" i="3"/>
  <c r="T933" i="3"/>
  <c r="T1208" i="3"/>
  <c r="T1182" i="3"/>
  <c r="T1161" i="3"/>
  <c r="T912" i="3"/>
  <c r="T419" i="3"/>
  <c r="T154" i="3"/>
  <c r="T529" i="3"/>
  <c r="T627" i="3"/>
  <c r="T374" i="3"/>
  <c r="T714" i="3"/>
  <c r="T1001" i="3"/>
  <c r="T613" i="3"/>
  <c r="T786" i="3"/>
  <c r="T660" i="3"/>
  <c r="T497" i="3"/>
  <c r="T844" i="3"/>
  <c r="T895" i="3"/>
  <c r="T572" i="3"/>
  <c r="T371" i="3"/>
  <c r="T306" i="3"/>
  <c r="T955" i="3"/>
  <c r="T389" i="3"/>
  <c r="T447" i="3"/>
  <c r="T426" i="3"/>
  <c r="T740" i="3"/>
  <c r="T141" i="3"/>
  <c r="T110" i="3"/>
  <c r="T694" i="3"/>
  <c r="T797" i="3"/>
  <c r="T647" i="3"/>
  <c r="T776" i="3"/>
  <c r="T303" i="3"/>
  <c r="T722" i="3"/>
  <c r="T567" i="3"/>
  <c r="T549" i="3"/>
  <c r="T711" i="3"/>
  <c r="T512" i="3"/>
  <c r="T560" i="3"/>
  <c r="T338" i="3"/>
  <c r="T762" i="3"/>
  <c r="T96" i="3"/>
  <c r="T158" i="3"/>
  <c r="T1141" i="3"/>
  <c r="T639" i="3"/>
  <c r="T166" i="3"/>
  <c r="T347" i="3"/>
  <c r="T918" i="3"/>
  <c r="T965" i="3"/>
  <c r="T200" i="3"/>
  <c r="T896" i="3"/>
  <c r="T313" i="3"/>
  <c r="T784" i="3"/>
  <c r="T257" i="3"/>
  <c r="T735" i="3"/>
  <c r="T356" i="3"/>
  <c r="T1100" i="3"/>
  <c r="T391" i="3"/>
  <c r="T545" i="3"/>
  <c r="T600" i="3"/>
  <c r="T37" i="3"/>
  <c r="T855" i="3"/>
  <c r="T1145" i="3"/>
  <c r="T429" i="3"/>
  <c r="T930" i="3"/>
  <c r="T273" i="3"/>
  <c r="T1169" i="3"/>
  <c r="T467" i="3"/>
  <c r="T185" i="3"/>
  <c r="T652" i="3"/>
  <c r="T997" i="3"/>
  <c r="T1188" i="3"/>
  <c r="T34" i="3"/>
  <c r="T902" i="3"/>
  <c r="T252" i="3"/>
  <c r="T867" i="3"/>
  <c r="T1054" i="3"/>
  <c r="T320" i="3"/>
  <c r="T1021" i="3"/>
  <c r="T323" i="3"/>
  <c r="T38" i="3"/>
  <c r="T321" i="3"/>
  <c r="T183" i="3"/>
  <c r="T261" i="3"/>
  <c r="T156" i="3"/>
  <c r="T1194" i="3"/>
  <c r="T925" i="3"/>
  <c r="T229" i="3"/>
  <c r="T35" i="3"/>
  <c r="T604" i="3"/>
  <c r="T745" i="3"/>
  <c r="T751" i="3"/>
  <c r="T1210" i="3"/>
  <c r="T385" i="3"/>
  <c r="T282" i="3"/>
  <c r="T348" i="3"/>
  <c r="T492" i="3"/>
  <c r="T160" i="3"/>
  <c r="T645" i="3"/>
  <c r="T26" i="3"/>
  <c r="T151" i="3"/>
  <c r="T794" i="3"/>
  <c r="T92" i="3"/>
  <c r="T1106" i="3"/>
  <c r="T460" i="3"/>
  <c r="T143" i="3"/>
  <c r="T729" i="3"/>
  <c r="T1151" i="3"/>
  <c r="T138" i="3"/>
  <c r="T979" i="3"/>
  <c r="T928" i="3"/>
  <c r="T993" i="3"/>
  <c r="T1131" i="3"/>
  <c r="T1125" i="3"/>
  <c r="T921" i="3"/>
  <c r="T272" i="3"/>
  <c r="T594" i="3"/>
  <c r="T1135" i="3"/>
  <c r="T1020" i="3"/>
  <c r="T133" i="3"/>
  <c r="T859" i="3"/>
  <c r="T268" i="3"/>
  <c r="T56" i="3"/>
  <c r="T521" i="3"/>
  <c r="T17" i="3"/>
  <c r="T259" i="3"/>
  <c r="T967" i="3"/>
  <c r="T1167" i="3"/>
  <c r="T121" i="3"/>
  <c r="T1175" i="3"/>
  <c r="T1024" i="3"/>
  <c r="T1186" i="3"/>
  <c r="T47" i="3"/>
  <c r="T633" i="3"/>
  <c r="T1193" i="3"/>
  <c r="T876" i="3"/>
  <c r="T869" i="3"/>
  <c r="T976" i="3"/>
  <c r="T210" i="3"/>
  <c r="T940" i="3"/>
  <c r="T1187" i="3"/>
  <c r="T1160" i="3"/>
  <c r="T1004" i="3"/>
  <c r="T222" i="3"/>
  <c r="T182" i="3"/>
  <c r="T822" i="3"/>
  <c r="T730" i="3"/>
  <c r="T1206" i="3"/>
  <c r="T1109" i="3"/>
  <c r="T574" i="3"/>
  <c r="T146" i="3"/>
  <c r="T1101" i="3"/>
  <c r="T465" i="3"/>
  <c r="T342" i="3"/>
  <c r="T208" i="3"/>
  <c r="T982" i="3"/>
  <c r="T643" i="3"/>
  <c r="T731" i="3"/>
  <c r="T586" i="3"/>
  <c r="T1022" i="3"/>
  <c r="T472" i="3"/>
  <c r="T1130" i="3"/>
  <c r="T870" i="3"/>
  <c r="T516" i="3"/>
  <c r="T394" i="3"/>
  <c r="T1153" i="3"/>
  <c r="T180" i="3"/>
  <c r="T685" i="3"/>
  <c r="T819" i="3"/>
  <c r="T1015" i="3"/>
  <c r="T203" i="3"/>
  <c r="T679" i="3"/>
  <c r="T881" i="3"/>
  <c r="T98" i="3"/>
  <c r="T316" i="3"/>
  <c r="T449" i="3"/>
  <c r="T709" i="3"/>
  <c r="T779" i="3"/>
  <c r="T209" i="3"/>
  <c r="T856" i="3"/>
  <c r="T1212" i="3"/>
  <c r="T214" i="3"/>
  <c r="T662" i="3"/>
  <c r="T630" i="3"/>
  <c r="T41" i="3"/>
  <c r="T1009" i="3"/>
  <c r="T277" i="3"/>
  <c r="T1037" i="3"/>
  <c r="T548" i="3"/>
  <c r="T461" i="3"/>
  <c r="T309" i="3"/>
  <c r="T153" i="3"/>
  <c r="T702" i="3"/>
  <c r="T15" i="3"/>
  <c r="T1011" i="3"/>
  <c r="T311" i="3"/>
  <c r="T635" i="3"/>
  <c r="T949" i="3"/>
  <c r="T589" i="3"/>
  <c r="T1014" i="3"/>
  <c r="T681" i="3"/>
  <c r="T107" i="3"/>
  <c r="T699" i="3"/>
  <c r="T533" i="3"/>
  <c r="T227" i="3"/>
  <c r="T1180" i="3"/>
  <c r="T543" i="3"/>
  <c r="T671" i="3"/>
  <c r="T192" i="3"/>
  <c r="T479" i="3"/>
  <c r="T383" i="3"/>
  <c r="T1107" i="3"/>
  <c r="T1205" i="3"/>
  <c r="T293" i="3"/>
  <c r="T998" i="3"/>
  <c r="T1091" i="3"/>
  <c r="T297" i="3"/>
  <c r="T646" i="3"/>
  <c r="T190" i="3"/>
  <c r="T706" i="3"/>
  <c r="T1055" i="3"/>
  <c r="T637" i="3"/>
  <c r="T355" i="3"/>
  <c r="T988" i="3"/>
  <c r="T834" i="3"/>
  <c r="T206" i="3"/>
  <c r="T66" i="3"/>
  <c r="T938" i="3"/>
  <c r="T959" i="3"/>
  <c r="T452" i="3"/>
  <c r="T1104" i="3"/>
  <c r="T412" i="3"/>
  <c r="T599" i="3"/>
  <c r="T1043" i="3"/>
  <c r="T952" i="3"/>
  <c r="T216" i="3"/>
  <c r="T801" i="3"/>
  <c r="T300" i="3"/>
  <c r="T55" i="3"/>
  <c r="T464" i="3"/>
  <c r="T101" i="3"/>
  <c r="T1191" i="3"/>
  <c r="T1086" i="3"/>
  <c r="T90" i="3"/>
  <c r="T104" i="3"/>
  <c r="T1114" i="3"/>
  <c r="T1113" i="3"/>
  <c r="T353" i="3"/>
  <c r="T354" i="3"/>
  <c r="T861" i="3"/>
  <c r="T862" i="3"/>
  <c r="T607" i="3"/>
  <c r="T608" i="3"/>
  <c r="T971" i="3"/>
  <c r="T550" i="3"/>
  <c r="T551" i="3"/>
  <c r="T726" i="3"/>
  <c r="T727" i="3"/>
  <c r="T376" i="3"/>
  <c r="T366" i="3"/>
  <c r="T1202" i="3"/>
  <c r="T1070" i="3"/>
  <c r="T650" i="3"/>
  <c r="T649" i="3"/>
  <c r="T1078" i="3"/>
  <c r="T1079" i="3"/>
  <c r="T440" i="3"/>
  <c r="T439" i="3"/>
  <c r="T274" i="3"/>
  <c r="T275" i="3"/>
  <c r="T792" i="3"/>
  <c r="T888" i="3"/>
  <c r="T889" i="3"/>
  <c r="T576" i="3"/>
  <c r="T577" i="3"/>
  <c r="T542" i="3"/>
  <c r="T541" i="3"/>
  <c r="T117" i="3"/>
  <c r="T118" i="3"/>
  <c r="T350" i="3"/>
  <c r="T349" i="3"/>
  <c r="T407" i="3"/>
  <c r="T408" i="3"/>
  <c r="T108" i="3"/>
  <c r="T109" i="3"/>
  <c r="T1057" i="3"/>
  <c r="T1056" i="3"/>
  <c r="T43" i="3"/>
  <c r="T44" i="3"/>
  <c r="T756" i="3"/>
  <c r="T223" i="3"/>
  <c r="T934" i="3"/>
  <c r="T935" i="3"/>
  <c r="T198" i="3"/>
  <c r="T803" i="3"/>
  <c r="T262" i="3"/>
  <c r="T857" i="3"/>
  <c r="T324" i="3"/>
  <c r="T1016" i="3"/>
  <c r="T1066" i="3"/>
  <c r="T582" i="3"/>
  <c r="T1018" i="3"/>
  <c r="T283" i="3"/>
  <c r="T1005" i="3"/>
  <c r="T690" i="3"/>
  <c r="T657" i="3"/>
  <c r="T658" i="3"/>
  <c r="T450" i="3"/>
  <c r="T451" i="3"/>
  <c r="T75" i="3"/>
  <c r="T76" i="3"/>
  <c r="T595" i="3"/>
  <c r="T596" i="3"/>
  <c r="T816" i="3"/>
  <c r="T815" i="3"/>
  <c r="T27" i="3"/>
  <c r="T99" i="3"/>
  <c r="T950" i="3"/>
  <c r="T125" i="3"/>
  <c r="T737" i="3"/>
  <c r="T575" i="3"/>
  <c r="T292" i="3"/>
  <c r="T732" i="3"/>
  <c r="T590" i="3"/>
  <c r="T478" i="3"/>
  <c r="T341" i="3"/>
  <c r="T304" i="3"/>
  <c r="T228" i="3"/>
  <c r="T566" i="3"/>
  <c r="T504" i="3"/>
  <c r="T80" i="3"/>
  <c r="T725" i="3"/>
  <c r="T74" i="3"/>
  <c r="T469" i="3"/>
  <c r="T254" i="3"/>
  <c r="T188" i="3"/>
  <c r="T417" i="3"/>
  <c r="T1095" i="3"/>
  <c r="T1173" i="3"/>
  <c r="T605" i="3"/>
  <c r="T764" i="3"/>
  <c r="T174" i="3"/>
  <c r="T14" i="3"/>
  <c r="T314" i="3"/>
  <c r="T51" i="3"/>
  <c r="T624" i="3"/>
  <c r="T1138" i="3"/>
  <c r="T692" i="3"/>
  <c r="T1181" i="3"/>
  <c r="T482" i="3"/>
  <c r="T318" i="3"/>
  <c r="T929" i="3"/>
  <c r="T713" i="3"/>
  <c r="T1089" i="3"/>
  <c r="T761" i="3"/>
  <c r="T370" i="3"/>
  <c r="T1000" i="3"/>
  <c r="T894" i="3"/>
  <c r="T255" i="3"/>
  <c r="T388" i="3"/>
  <c r="T559" i="3"/>
  <c r="T734" i="3"/>
  <c r="T511" i="3"/>
  <c r="T362" i="3"/>
  <c r="T977" i="3"/>
  <c r="T1139" i="3"/>
  <c r="T964" i="3"/>
  <c r="T337" i="3"/>
  <c r="T1040" i="3"/>
  <c r="T224" i="3"/>
  <c r="T399" i="3"/>
  <c r="T36" i="3"/>
  <c r="T899" i="3"/>
  <c r="T401" i="3"/>
  <c r="T565" i="3"/>
  <c r="T874" i="3"/>
  <c r="T873" i="3"/>
  <c r="T926" i="3"/>
  <c r="T712" i="3"/>
  <c r="T414" i="3"/>
  <c r="T78" i="3"/>
  <c r="T77" i="3"/>
  <c r="T1148" i="3"/>
  <c r="T1147" i="3"/>
  <c r="T602" i="3"/>
  <c r="T161" i="3"/>
  <c r="T972" i="3"/>
  <c r="T879" i="3"/>
  <c r="T127" i="3"/>
  <c r="T251" i="3"/>
  <c r="T1116" i="3"/>
  <c r="T583" i="3"/>
  <c r="T20" i="3"/>
  <c r="T922" i="3"/>
  <c r="T68" i="3"/>
  <c r="T1064" i="3"/>
  <c r="T866" i="3"/>
  <c r="T743" i="3"/>
  <c r="T120" i="3"/>
  <c r="T1023" i="3"/>
  <c r="T258" i="3"/>
  <c r="T700" i="3"/>
  <c r="T486" i="3"/>
  <c r="T197" i="3"/>
  <c r="T171" i="3"/>
  <c r="T825" i="3"/>
  <c r="T854" i="3"/>
  <c r="T808" i="3"/>
  <c r="T1019" i="3"/>
  <c r="T42" i="3"/>
  <c r="T230" i="3"/>
  <c r="T1162" i="3"/>
  <c r="T901" i="3"/>
  <c r="T50" i="3"/>
  <c r="T148" i="3"/>
  <c r="T253" i="3"/>
  <c r="T269" i="3"/>
  <c r="T1072" i="3"/>
  <c r="T267" i="3"/>
  <c r="T981" i="3"/>
  <c r="T651" i="3"/>
  <c r="T968" i="3"/>
  <c r="T903" i="3"/>
  <c r="T676" i="3"/>
  <c r="T916" i="3"/>
  <c r="T169" i="3"/>
  <c r="T357" i="3"/>
  <c r="T937" i="3"/>
  <c r="T150" i="3"/>
  <c r="T149" i="3"/>
  <c r="T555" i="3"/>
  <c r="T554" i="3"/>
  <c r="T540" i="3"/>
  <c r="T345" i="3"/>
  <c r="T1170" i="3"/>
  <c r="T688" i="3"/>
  <c r="T1083" i="3"/>
  <c r="T178" i="3"/>
  <c r="T1164" i="3"/>
  <c r="T1097" i="3"/>
  <c r="T23" i="3"/>
  <c r="T809" i="3"/>
  <c r="T788" i="3"/>
  <c r="T655" i="3"/>
  <c r="T1178" i="3"/>
  <c r="T848" i="3"/>
  <c r="T162" i="3"/>
  <c r="T704" i="3"/>
  <c r="T695" i="3"/>
  <c r="T506" i="3"/>
  <c r="T1002" i="3"/>
  <c r="T204" i="3"/>
  <c r="T985" i="3"/>
  <c r="T397" i="3"/>
  <c r="T445" i="3"/>
  <c r="T248" i="3"/>
  <c r="T488" i="3"/>
  <c r="T945" i="3"/>
  <c r="T837" i="3"/>
  <c r="T1112" i="3"/>
  <c r="T483" i="3"/>
  <c r="T1007" i="3"/>
  <c r="T802" i="3"/>
  <c r="T71" i="3"/>
  <c r="T19" i="3"/>
  <c r="T669" i="3"/>
  <c r="T1128" i="3"/>
  <c r="T245" i="3"/>
  <c r="T290" i="3"/>
  <c r="T289" i="3"/>
  <c r="T852" i="3"/>
  <c r="T1073" i="3"/>
  <c r="T614" i="3"/>
  <c r="T1132" i="3"/>
  <c r="T522" i="3"/>
  <c r="T752" i="3"/>
  <c r="T444" i="3"/>
  <c r="T579" i="3"/>
  <c r="T83" i="3"/>
  <c r="T455" i="3"/>
  <c r="T994" i="3"/>
  <c r="T561" i="3"/>
  <c r="T1047" i="3"/>
  <c r="T276" i="3"/>
  <c r="T544" i="3"/>
  <c r="T663" i="3"/>
  <c r="T661" i="3"/>
  <c r="T749" i="3"/>
  <c r="T526" i="3"/>
  <c r="T195" i="3"/>
  <c r="T172" i="3"/>
  <c r="T1199" i="3"/>
  <c r="T294" i="3"/>
  <c r="T427" i="3"/>
  <c r="T780" i="3"/>
  <c r="T232" i="3"/>
  <c r="T157" i="3"/>
  <c r="T675" i="3"/>
  <c r="T872" i="3"/>
  <c r="T62" i="3"/>
  <c r="T344" i="3"/>
  <c r="T1165" i="3"/>
  <c r="T812" i="3"/>
  <c r="T781" i="3"/>
  <c r="T360" i="3"/>
  <c r="T281" i="3"/>
  <c r="T1129" i="3"/>
  <c r="T335" i="3"/>
  <c r="T1062" i="3"/>
  <c r="T458" i="3"/>
  <c r="T430" i="3"/>
  <c r="T629" i="3"/>
  <c r="T667" i="3"/>
  <c r="T1061" i="3"/>
  <c r="T325" i="3"/>
  <c r="T768" i="3"/>
  <c r="T1034" i="3"/>
  <c r="T462" i="3"/>
  <c r="T923" i="3"/>
  <c r="T130" i="3"/>
  <c r="T72" i="3"/>
  <c r="T1067" i="3"/>
  <c r="T611" i="3"/>
  <c r="T70" i="3"/>
  <c r="T1044" i="3"/>
  <c r="T653" i="3"/>
  <c r="T897" i="3"/>
  <c r="T782" i="3"/>
  <c r="T942" i="3"/>
  <c r="T217" i="3"/>
  <c r="T352" i="3"/>
  <c r="T805" i="3"/>
  <c r="T380" i="3"/>
  <c r="T1149" i="3"/>
  <c r="T329" i="3"/>
  <c r="T442" i="3"/>
  <c r="T1076" i="3"/>
  <c r="T235" i="3"/>
  <c r="T247" i="3"/>
  <c r="T122" i="3"/>
  <c r="T850" i="3"/>
  <c r="T1117" i="3"/>
  <c r="T135" i="3"/>
  <c r="T893" i="3"/>
  <c r="T568" i="3"/>
  <c r="T312" i="3"/>
  <c r="T795" i="3"/>
  <c r="T322" i="3"/>
  <c r="T984" i="3"/>
  <c r="T974" i="3"/>
  <c r="T858" i="3"/>
  <c r="T238" i="3"/>
  <c r="T527" i="3"/>
  <c r="T382" i="3"/>
  <c r="T454" i="3"/>
  <c r="T184" i="3"/>
  <c r="T642" i="3"/>
  <c r="T927" i="3"/>
  <c r="T167" i="3"/>
  <c r="T1142" i="3"/>
  <c r="T351" i="3"/>
  <c r="T415" i="3"/>
  <c r="T94" i="3"/>
  <c r="T93" i="3"/>
  <c r="T296" i="3"/>
  <c r="T1051" i="3"/>
  <c r="T1119" i="3"/>
  <c r="T1012" i="3"/>
  <c r="T333" i="3"/>
  <c r="T563" i="3"/>
  <c r="T1031" i="3"/>
  <c r="T177" i="3"/>
  <c r="T989" i="3"/>
  <c r="T403" i="3"/>
  <c r="T498" i="3"/>
  <c r="T193" i="3"/>
  <c r="T865" i="3"/>
  <c r="T556" i="3"/>
  <c r="T832" i="3"/>
  <c r="T29" i="3"/>
  <c r="T620" i="3"/>
  <c r="T720" i="3"/>
  <c r="T719" i="3"/>
  <c r="T59" i="3"/>
  <c r="T686" i="3"/>
  <c r="T142" i="3"/>
  <c r="T420" i="3"/>
  <c r="T991" i="3"/>
  <c r="T102" i="3"/>
  <c r="T32" i="3"/>
  <c r="T1029" i="3"/>
  <c r="T524" i="3"/>
  <c r="T553" i="3"/>
  <c r="T884" i="3"/>
  <c r="T672" i="3"/>
  <c r="T393" i="3"/>
  <c r="T910" i="3"/>
  <c r="T181" i="3"/>
  <c r="T53" i="3"/>
  <c r="T52" i="3"/>
  <c r="T508" i="3"/>
  <c r="T1146" i="3"/>
  <c r="T532" i="3"/>
  <c r="T531" i="3"/>
  <c r="T402" i="3"/>
  <c r="T288" i="3"/>
  <c r="T680" i="3"/>
  <c r="T226" i="3"/>
  <c r="T883" i="3"/>
  <c r="T477" i="3"/>
  <c r="T25" i="3"/>
  <c r="T24" i="3"/>
  <c r="T22" i="3"/>
  <c r="T1026" i="3"/>
  <c r="T1122" i="3"/>
  <c r="T1183" i="3"/>
  <c r="T840" i="3"/>
  <c r="T839" i="3"/>
  <c r="T836" i="3"/>
  <c r="T514" i="3"/>
  <c r="T513" i="3"/>
  <c r="T723" i="3"/>
  <c r="T406" i="3"/>
  <c r="T1013" i="3"/>
  <c r="T715" i="3"/>
  <c r="T683" i="3"/>
  <c r="T619" i="3"/>
  <c r="T875" i="3"/>
  <c r="T609" i="3"/>
  <c r="T697" i="3"/>
  <c r="T537" i="3"/>
  <c r="T1201" i="3"/>
  <c r="T308" i="3"/>
  <c r="T152" i="3"/>
  <c r="T315" i="3"/>
  <c r="T838" i="3"/>
  <c r="T1085" i="3"/>
  <c r="T598" i="3"/>
  <c r="T463" i="3"/>
  <c r="T215" i="3"/>
  <c r="T1008" i="3"/>
  <c r="T913" i="3"/>
  <c r="T1042" i="3"/>
  <c r="T100" i="3"/>
  <c r="T978" i="3"/>
  <c r="T678" i="3"/>
  <c r="T617" i="3"/>
  <c r="T1185" i="3"/>
  <c r="T830" i="3"/>
  <c r="T818" i="3"/>
  <c r="T622" i="3"/>
  <c r="Y113" i="3" l="1"/>
  <c r="Z114" i="3" s="1"/>
  <c r="Y1213" i="3"/>
  <c r="AF17" i="3"/>
  <c r="AH16" i="3"/>
  <c r="Y1021" i="3"/>
  <c r="Z1022" i="3" s="1"/>
  <c r="Y787" i="3"/>
  <c r="Z788" i="3" s="1"/>
  <c r="Y899" i="3"/>
  <c r="Z900" i="3" s="1"/>
  <c r="Y1027" i="3"/>
  <c r="Z1028" i="3" s="1"/>
  <c r="Y1054" i="3"/>
  <c r="Z1055" i="3" s="1"/>
  <c r="Y615" i="3"/>
  <c r="Z616" i="3" s="1"/>
  <c r="Y58" i="3"/>
  <c r="Z59" i="3" s="1"/>
  <c r="V15" i="3"/>
  <c r="W16" i="3" s="1"/>
  <c r="S10" i="3"/>
  <c r="Y501" i="3"/>
  <c r="Z502" i="3" s="1"/>
  <c r="Y755" i="3"/>
  <c r="Z756" i="3" s="1"/>
  <c r="Y234" i="3"/>
  <c r="Z235" i="3" s="1"/>
  <c r="Y393" i="3"/>
  <c r="Z394" i="3" s="1"/>
  <c r="Y735" i="3"/>
  <c r="Z736" i="3" s="1"/>
  <c r="Y92" i="3"/>
  <c r="Z93" i="3" s="1"/>
  <c r="Y854" i="3"/>
  <c r="Z855" i="3" s="1"/>
  <c r="Y1083" i="3"/>
  <c r="Z1084" i="3" s="1"/>
  <c r="W14" i="3"/>
  <c r="V788" i="3"/>
  <c r="W789" i="3" s="1"/>
  <c r="V1142" i="3"/>
  <c r="W1143" i="3" s="1"/>
  <c r="V882" i="3"/>
  <c r="W883" i="3" s="1"/>
  <c r="V963" i="3"/>
  <c r="W964" i="3" s="1"/>
  <c r="V1015" i="3"/>
  <c r="W1016" i="3" s="1"/>
  <c r="V195" i="3"/>
  <c r="W196" i="3" s="1"/>
  <c r="V742" i="3"/>
  <c r="W743" i="3" s="1"/>
  <c r="V180" i="3"/>
  <c r="W181" i="3" s="1"/>
  <c r="V1018" i="3"/>
  <c r="W1019" i="3" s="1"/>
  <c r="V845" i="3"/>
  <c r="W846" i="3" s="1"/>
  <c r="V939" i="3"/>
  <c r="W940" i="3" s="1"/>
  <c r="V696" i="3"/>
  <c r="W697" i="3" s="1"/>
  <c r="V363" i="3"/>
  <c r="W364" i="3" s="1"/>
  <c r="V826" i="3"/>
  <c r="W827" i="3" s="1"/>
  <c r="V418" i="3"/>
  <c r="W419" i="3" s="1"/>
  <c r="V1034" i="3"/>
  <c r="W1035" i="3" s="1"/>
  <c r="V46" i="3"/>
  <c r="W47" i="3" s="1"/>
  <c r="V685" i="3"/>
  <c r="W686" i="3" s="1"/>
  <c r="V993" i="3"/>
  <c r="W994" i="3" s="1"/>
  <c r="V246" i="3"/>
  <c r="W247" i="3" s="1"/>
  <c r="V471" i="3"/>
  <c r="W472" i="3" s="1"/>
  <c r="V133" i="3"/>
  <c r="W134" i="3" s="1"/>
  <c r="V461" i="3"/>
  <c r="W462" i="3" s="1"/>
  <c r="V380" i="3"/>
  <c r="W381" i="3" s="1"/>
  <c r="Y981" i="3"/>
  <c r="Z982" i="3" s="1"/>
  <c r="V1095" i="3"/>
  <c r="W1096" i="3" s="1"/>
  <c r="Y881" i="3"/>
  <c r="Z882" i="3" s="1"/>
  <c r="V478" i="3"/>
  <c r="W479" i="3" s="1"/>
  <c r="Y926" i="3"/>
  <c r="Z927" i="3" s="1"/>
  <c r="V553" i="3"/>
  <c r="W554" i="3" s="1"/>
  <c r="V213" i="3"/>
  <c r="W214" i="3" s="1"/>
  <c r="V94" i="3"/>
  <c r="W95" i="3" s="1"/>
  <c r="Y359" i="3"/>
  <c r="Z360" i="3" s="1"/>
  <c r="Y186" i="3"/>
  <c r="Z187" i="3" s="1"/>
  <c r="Y688" i="3"/>
  <c r="Z689" i="3" s="1"/>
  <c r="V918" i="3"/>
  <c r="W919" i="3" s="1"/>
  <c r="V629" i="3"/>
  <c r="W630" i="3" s="1"/>
  <c r="V325" i="3"/>
  <c r="W326" i="3" s="1"/>
  <c r="Y20" i="3"/>
  <c r="Z21" i="3" s="1"/>
  <c r="V1041" i="3"/>
  <c r="W1042" i="3" s="1"/>
  <c r="Y1149" i="3"/>
  <c r="Z1150" i="3" s="1"/>
  <c r="V525" i="3"/>
  <c r="W526" i="3" s="1"/>
  <c r="V1143" i="3"/>
  <c r="W1144" i="3" s="1"/>
  <c r="V312" i="3"/>
  <c r="W313" i="3" s="1"/>
  <c r="Y148" i="3"/>
  <c r="Z149" i="3" s="1"/>
  <c r="Y961" i="3"/>
  <c r="Z962" i="3" s="1"/>
  <c r="Y937" i="3"/>
  <c r="Z938" i="3" s="1"/>
  <c r="Y210" i="3"/>
  <c r="Z211" i="3" s="1"/>
  <c r="Y84" i="3"/>
  <c r="Z85" i="3" s="1"/>
  <c r="Y196" i="3"/>
  <c r="Z197" i="3" s="1"/>
  <c r="V1097" i="3"/>
  <c r="W1098" i="3" s="1"/>
  <c r="Y823" i="3"/>
  <c r="Z824" i="3" s="1"/>
  <c r="Y498" i="3"/>
  <c r="Z499" i="3" s="1"/>
  <c r="V796" i="3"/>
  <c r="W797" i="3" s="1"/>
  <c r="V239" i="3"/>
  <c r="W240" i="3" s="1"/>
  <c r="Y651" i="3"/>
  <c r="Z652" i="3" s="1"/>
  <c r="Y1140" i="3"/>
  <c r="Z1141" i="3" s="1"/>
  <c r="Y295" i="3"/>
  <c r="Z296" i="3" s="1"/>
  <c r="V242" i="3"/>
  <c r="W243" i="3" s="1"/>
  <c r="V945" i="3"/>
  <c r="W946" i="3" s="1"/>
  <c r="V562" i="3"/>
  <c r="W563" i="3" s="1"/>
  <c r="V198" i="3"/>
  <c r="W199" i="3" s="1"/>
  <c r="Y910" i="3"/>
  <c r="Z911" i="3" s="1"/>
  <c r="V66" i="3"/>
  <c r="W67" i="3" s="1"/>
  <c r="Y142" i="3"/>
  <c r="Z143" i="3" s="1"/>
  <c r="Y585" i="3"/>
  <c r="Z586" i="3" s="1"/>
  <c r="Y256" i="3"/>
  <c r="Z257" i="3" s="1"/>
  <c r="V732" i="3"/>
  <c r="Y594" i="3"/>
  <c r="Z595" i="3" s="1"/>
  <c r="V966" i="3"/>
  <c r="W967" i="3" s="1"/>
  <c r="V95" i="3"/>
  <c r="W96" i="3" s="1"/>
  <c r="V62" i="3"/>
  <c r="W63" i="3" s="1"/>
  <c r="V595" i="3"/>
  <c r="W596" i="3" s="1"/>
  <c r="Y964" i="3"/>
  <c r="Z965" i="3" s="1"/>
  <c r="V490" i="3"/>
  <c r="W491" i="3" s="1"/>
  <c r="V903" i="3"/>
  <c r="W904" i="3" s="1"/>
  <c r="V1126" i="3"/>
  <c r="W1127" i="3" s="1"/>
  <c r="V1167" i="3"/>
  <c r="W1168" i="3" s="1"/>
  <c r="V894" i="3"/>
  <c r="W895" i="3" s="1"/>
  <c r="V948" i="3"/>
  <c r="W949" i="3" s="1"/>
  <c r="V262" i="3"/>
  <c r="W263" i="3" s="1"/>
  <c r="V190" i="3"/>
  <c r="W191" i="3" s="1"/>
  <c r="V959" i="3"/>
  <c r="W960" i="3" s="1"/>
  <c r="V234" i="3"/>
  <c r="W235" i="3" s="1"/>
  <c r="Y162" i="3"/>
  <c r="Z163" i="3" s="1"/>
  <c r="Y1093" i="3"/>
  <c r="Z1094" i="3" s="1"/>
  <c r="Y434" i="3"/>
  <c r="Z435" i="3" s="1"/>
  <c r="V141" i="3"/>
  <c r="W142" i="3" s="1"/>
  <c r="Y673" i="3"/>
  <c r="Z674" i="3" s="1"/>
  <c r="V814" i="3"/>
  <c r="W815" i="3" s="1"/>
  <c r="V598" i="3"/>
  <c r="W599" i="3" s="1"/>
  <c r="V515" i="3"/>
  <c r="W516" i="3" s="1"/>
  <c r="V98" i="3"/>
  <c r="W99" i="3" s="1"/>
  <c r="V1049" i="3"/>
  <c r="W1050" i="3" s="1"/>
  <c r="V1092" i="3"/>
  <c r="W1093" i="3" s="1"/>
  <c r="V1055" i="3"/>
  <c r="W1056" i="3" s="1"/>
  <c r="V113" i="3"/>
  <c r="W114" i="3" s="1"/>
  <c r="Y822" i="3"/>
  <c r="Z823" i="3" s="1"/>
  <c r="V856" i="3"/>
  <c r="W857" i="3" s="1"/>
  <c r="V931" i="3"/>
  <c r="W932" i="3" s="1"/>
  <c r="V498" i="3"/>
  <c r="W499" i="3" s="1"/>
  <c r="V815" i="3"/>
  <c r="W816" i="3" s="1"/>
  <c r="V466" i="3"/>
  <c r="W467" i="3" s="1"/>
  <c r="V504" i="3"/>
  <c r="W505" i="3" s="1"/>
  <c r="V864" i="3"/>
  <c r="W865" i="3" s="1"/>
  <c r="Y732" i="3"/>
  <c r="V854" i="3"/>
  <c r="W855" i="3" s="1"/>
  <c r="V241" i="3"/>
  <c r="W242" i="3" s="1"/>
  <c r="Y990" i="3"/>
  <c r="Z991" i="3" s="1"/>
  <c r="V973" i="3"/>
  <c r="W974" i="3" s="1"/>
  <c r="V513" i="3"/>
  <c r="W514" i="3" s="1"/>
  <c r="V436" i="3"/>
  <c r="W437" i="3" s="1"/>
  <c r="V1185" i="3"/>
  <c r="W1186" i="3" s="1"/>
  <c r="V1151" i="3"/>
  <c r="W1152" i="3" s="1"/>
  <c r="V105" i="3"/>
  <c r="W106" i="3" s="1"/>
  <c r="V783" i="3"/>
  <c r="W784" i="3" s="1"/>
  <c r="V476" i="3"/>
  <c r="W477" i="3" s="1"/>
  <c r="V654" i="3"/>
  <c r="W655" i="3" s="1"/>
  <c r="V495" i="3"/>
  <c r="W496" i="3" s="1"/>
  <c r="V810" i="3"/>
  <c r="W811" i="3" s="1"/>
  <c r="V1155" i="3"/>
  <c r="W1156" i="3" s="1"/>
  <c r="V552" i="3"/>
  <c r="W553" i="3" s="1"/>
  <c r="V759" i="3"/>
  <c r="W760" i="3" s="1"/>
  <c r="V813" i="3"/>
  <c r="W814" i="3" s="1"/>
  <c r="V1039" i="3"/>
  <c r="W1040" i="3" s="1"/>
  <c r="V704" i="3"/>
  <c r="W705" i="3" s="1"/>
  <c r="V691" i="3"/>
  <c r="W692" i="3" s="1"/>
  <c r="V842" i="3"/>
  <c r="W843" i="3" s="1"/>
  <c r="V420" i="3"/>
  <c r="W421" i="3" s="1"/>
  <c r="V111" i="3"/>
  <c r="W112" i="3" s="1"/>
  <c r="V171" i="3"/>
  <c r="W172" i="3" s="1"/>
  <c r="V1131" i="3"/>
  <c r="W1132" i="3" s="1"/>
  <c r="V828" i="3"/>
  <c r="W829" i="3" s="1"/>
  <c r="V1127" i="3"/>
  <c r="W1128" i="3" s="1"/>
  <c r="V319" i="3"/>
  <c r="W320" i="3" s="1"/>
  <c r="V439" i="3"/>
  <c r="W440" i="3" s="1"/>
  <c r="V348" i="3"/>
  <c r="W349" i="3" s="1"/>
  <c r="V697" i="3"/>
  <c r="W698" i="3" s="1"/>
  <c r="V1047" i="3"/>
  <c r="W1048" i="3" s="1"/>
  <c r="V793" i="3"/>
  <c r="W794" i="3" s="1"/>
  <c r="V1085" i="3"/>
  <c r="W1086" i="3" s="1"/>
  <c r="V560" i="3"/>
  <c r="W561" i="3" s="1"/>
  <c r="V1189" i="3"/>
  <c r="W1190" i="3" s="1"/>
  <c r="V891" i="3"/>
  <c r="W892" i="3" s="1"/>
  <c r="V909" i="3"/>
  <c r="W910" i="3" s="1"/>
  <c r="V1132" i="3"/>
  <c r="W1133" i="3" s="1"/>
  <c r="V622" i="3"/>
  <c r="W623" i="3" s="1"/>
  <c r="V121" i="3"/>
  <c r="W122" i="3" s="1"/>
  <c r="V142" i="3"/>
  <c r="W143" i="3" s="1"/>
  <c r="V132" i="3"/>
  <c r="W133" i="3" s="1"/>
  <c r="V393" i="3"/>
  <c r="W394" i="3" s="1"/>
  <c r="V1122" i="3"/>
  <c r="W1123" i="3" s="1"/>
  <c r="V875" i="3"/>
  <c r="W876" i="3" s="1"/>
  <c r="V1205" i="3"/>
  <c r="W1206" i="3" s="1"/>
  <c r="V620" i="3"/>
  <c r="W621" i="3" s="1"/>
  <c r="V1074" i="3"/>
  <c r="W1075" i="3" s="1"/>
  <c r="V1057" i="3"/>
  <c r="W1058" i="3" s="1"/>
  <c r="V806" i="3"/>
  <c r="W807" i="3" s="1"/>
  <c r="V716" i="3"/>
  <c r="W717" i="3" s="1"/>
  <c r="V329" i="3"/>
  <c r="W330" i="3" s="1"/>
  <c r="V265" i="3"/>
  <c r="W266" i="3" s="1"/>
  <c r="V734" i="3"/>
  <c r="W735" i="3" s="1"/>
  <c r="V700" i="3"/>
  <c r="W701" i="3" s="1"/>
  <c r="V878" i="3"/>
  <c r="W879" i="3" s="1"/>
  <c r="V447" i="3"/>
  <c r="W448" i="3" s="1"/>
  <c r="V510" i="3"/>
  <c r="W511" i="3" s="1"/>
  <c r="V45" i="3"/>
  <c r="W46" i="3" s="1"/>
  <c r="V698" i="3"/>
  <c r="W699" i="3" s="1"/>
  <c r="V1121" i="3"/>
  <c r="W1122" i="3" s="1"/>
  <c r="V170" i="3"/>
  <c r="W171" i="3" s="1"/>
  <c r="V812" i="3"/>
  <c r="W813" i="3" s="1"/>
  <c r="V1109" i="3"/>
  <c r="W1110" i="3" s="1"/>
  <c r="V1066" i="3"/>
  <c r="W1067" i="3" s="1"/>
  <c r="V1010" i="3"/>
  <c r="W1011" i="3" s="1"/>
  <c r="V1063" i="3"/>
  <c r="W1064" i="3" s="1"/>
  <c r="V829" i="3"/>
  <c r="W830" i="3" s="1"/>
  <c r="V1004" i="3"/>
  <c r="W1005" i="3" s="1"/>
  <c r="V956" i="3"/>
  <c r="W957" i="3" s="1"/>
  <c r="V735" i="3"/>
  <c r="W736" i="3" s="1"/>
  <c r="V594" i="3"/>
  <c r="W595" i="3" s="1"/>
  <c r="V80" i="3"/>
  <c r="W81" i="3" s="1"/>
  <c r="V1009" i="3"/>
  <c r="W1010" i="3" s="1"/>
  <c r="V900" i="3"/>
  <c r="W901" i="3" s="1"/>
  <c r="V419" i="3"/>
  <c r="W420" i="3" s="1"/>
  <c r="V577" i="3"/>
  <c r="W578" i="3" s="1"/>
  <c r="V777" i="3"/>
  <c r="W778" i="3" s="1"/>
  <c r="V369" i="3"/>
  <c r="W370" i="3" s="1"/>
  <c r="V915" i="3"/>
  <c r="W916" i="3" s="1"/>
  <c r="V250" i="3"/>
  <c r="W251" i="3" s="1"/>
  <c r="V772" i="3"/>
  <c r="W773" i="3" s="1"/>
  <c r="V1179" i="3"/>
  <c r="W1180" i="3" s="1"/>
  <c r="V277" i="3"/>
  <c r="W278" i="3" s="1"/>
  <c r="V317" i="3"/>
  <c r="W318" i="3" s="1"/>
  <c r="V643" i="3"/>
  <c r="W644" i="3" s="1"/>
  <c r="V621" i="3"/>
  <c r="W622" i="3" s="1"/>
  <c r="V437" i="3"/>
  <c r="W438" i="3" s="1"/>
  <c r="V166" i="3"/>
  <c r="W167" i="3" s="1"/>
  <c r="V374" i="3"/>
  <c r="W375" i="3" s="1"/>
  <c r="V69" i="3"/>
  <c r="W70" i="3" s="1"/>
  <c r="V301" i="3"/>
  <c r="W302" i="3" s="1"/>
  <c r="V377" i="3"/>
  <c r="W378" i="3" s="1"/>
  <c r="V804" i="3"/>
  <c r="W805" i="3" s="1"/>
  <c r="V1166" i="3"/>
  <c r="W1167" i="3" s="1"/>
  <c r="V100" i="3"/>
  <c r="W101" i="3" s="1"/>
  <c r="Y418" i="3"/>
  <c r="Z419" i="3" s="1"/>
  <c r="V867" i="3"/>
  <c r="W868" i="3" s="1"/>
  <c r="V999" i="3"/>
  <c r="W1000" i="3" s="1"/>
  <c r="V263" i="3"/>
  <c r="W264" i="3" s="1"/>
  <c r="V820" i="3"/>
  <c r="W821" i="3" s="1"/>
  <c r="V1014" i="3"/>
  <c r="W1015" i="3" s="1"/>
  <c r="V91" i="3"/>
  <c r="W92" i="3" s="1"/>
  <c r="V576" i="3"/>
  <c r="W577" i="3" s="1"/>
  <c r="V549" i="3"/>
  <c r="W550" i="3" s="1"/>
  <c r="V120" i="3"/>
  <c r="W121" i="3" s="1"/>
  <c r="V217" i="3"/>
  <c r="W218" i="3" s="1"/>
  <c r="V29" i="3"/>
  <c r="W30" i="3" s="1"/>
  <c r="V229" i="3"/>
  <c r="W230" i="3" s="1"/>
  <c r="V110" i="3"/>
  <c r="W111" i="3" s="1"/>
  <c r="V164" i="3"/>
  <c r="W165" i="3" s="1"/>
  <c r="V1110" i="3"/>
  <c r="W1111" i="3" s="1"/>
  <c r="V448" i="3"/>
  <c r="W449" i="3" s="1"/>
  <c r="V224" i="3"/>
  <c r="W225" i="3" s="1"/>
  <c r="V152" i="3"/>
  <c r="W153" i="3" s="1"/>
  <c r="V304" i="3"/>
  <c r="W305" i="3" s="1"/>
  <c r="V1111" i="3"/>
  <c r="W1112" i="3" s="1"/>
  <c r="V1163" i="3"/>
  <c r="W1164" i="3" s="1"/>
  <c r="V853" i="3"/>
  <c r="W854" i="3" s="1"/>
  <c r="V258" i="3"/>
  <c r="W259" i="3" s="1"/>
  <c r="V1134" i="3"/>
  <c r="W1135" i="3" s="1"/>
  <c r="V1119" i="3"/>
  <c r="W1120" i="3" s="1"/>
  <c r="V619" i="3"/>
  <c r="W620" i="3" s="1"/>
  <c r="V663" i="3"/>
  <c r="W664" i="3" s="1"/>
  <c r="V469" i="3"/>
  <c r="W470" i="3" s="1"/>
  <c r="V408" i="3"/>
  <c r="W409" i="3" s="1"/>
  <c r="V890" i="3"/>
  <c r="W891" i="3" s="1"/>
  <c r="V631" i="3"/>
  <c r="W632" i="3" s="1"/>
  <c r="V637" i="3"/>
  <c r="W638" i="3" s="1"/>
  <c r="V602" i="3"/>
  <c r="W603" i="3" s="1"/>
  <c r="V176" i="3"/>
  <c r="W177" i="3" s="1"/>
  <c r="V261" i="3"/>
  <c r="W262" i="3" s="1"/>
  <c r="V253" i="3"/>
  <c r="W254" i="3" s="1"/>
  <c r="V984" i="3"/>
  <c r="W985" i="3" s="1"/>
  <c r="V1139" i="3"/>
  <c r="W1140" i="3" s="1"/>
  <c r="V449" i="3"/>
  <c r="W450" i="3" s="1"/>
  <c r="V843" i="3"/>
  <c r="W844" i="3" s="1"/>
  <c r="V249" i="3"/>
  <c r="W250" i="3" s="1"/>
  <c r="V991" i="3"/>
  <c r="W992" i="3" s="1"/>
  <c r="V968" i="3"/>
  <c r="W969" i="3" s="1"/>
  <c r="V291" i="3"/>
  <c r="W292" i="3" s="1"/>
  <c r="V157" i="3"/>
  <c r="W158" i="3" s="1"/>
  <c r="V370" i="3"/>
  <c r="W371" i="3" s="1"/>
  <c r="V827" i="3"/>
  <c r="W828" i="3" s="1"/>
  <c r="V1096" i="3"/>
  <c r="W1097" i="3" s="1"/>
  <c r="V610" i="3"/>
  <c r="W611" i="3" s="1"/>
  <c r="V584" i="3"/>
  <c r="W585" i="3" s="1"/>
  <c r="V603" i="3"/>
  <c r="W604" i="3" s="1"/>
  <c r="V726" i="3"/>
  <c r="W727" i="3" s="1"/>
  <c r="V546" i="3"/>
  <c r="W547" i="3" s="1"/>
  <c r="V1068" i="3"/>
  <c r="W1069" i="3" s="1"/>
  <c r="V920" i="3"/>
  <c r="W921" i="3" s="1"/>
  <c r="V911" i="3"/>
  <c r="W912" i="3" s="1"/>
  <c r="V755" i="3"/>
  <c r="W756" i="3" s="1"/>
  <c r="V717" i="3"/>
  <c r="W718" i="3" s="1"/>
  <c r="V248" i="3"/>
  <c r="W249" i="3" s="1"/>
  <c r="V567" i="3"/>
  <c r="W568" i="3" s="1"/>
  <c r="V360" i="3"/>
  <c r="W361" i="3" s="1"/>
  <c r="V757" i="3"/>
  <c r="W758" i="3" s="1"/>
  <c r="V446" i="3"/>
  <c r="W447" i="3" s="1"/>
  <c r="V710" i="3"/>
  <c r="W711" i="3" s="1"/>
  <c r="V356" i="3"/>
  <c r="W357" i="3" s="1"/>
  <c r="V292" i="3"/>
  <c r="W293" i="3" s="1"/>
  <c r="V508" i="3"/>
  <c r="W509" i="3" s="1"/>
  <c r="V850" i="3"/>
  <c r="W851" i="3" s="1"/>
  <c r="V611" i="3"/>
  <c r="W612" i="3" s="1"/>
  <c r="V707" i="3"/>
  <c r="W708" i="3" s="1"/>
  <c r="V650" i="3"/>
  <c r="W651" i="3" s="1"/>
  <c r="V409" i="3"/>
  <c r="W410" i="3" s="1"/>
  <c r="V808" i="3"/>
  <c r="W809" i="3" s="1"/>
  <c r="V849" i="3"/>
  <c r="W850" i="3" s="1"/>
  <c r="V128" i="3"/>
  <c r="W129" i="3" s="1"/>
  <c r="V502" i="3"/>
  <c r="W503" i="3" s="1"/>
  <c r="V284" i="3"/>
  <c r="W285" i="3" s="1"/>
  <c r="V305" i="3"/>
  <c r="W306" i="3" s="1"/>
  <c r="V605" i="3"/>
  <c r="W606" i="3" s="1"/>
  <c r="V39" i="3"/>
  <c r="W40" i="3" s="1"/>
  <c r="V638" i="3"/>
  <c r="W639" i="3" s="1"/>
  <c r="V89" i="3"/>
  <c r="W90" i="3" s="1"/>
  <c r="V908" i="3"/>
  <c r="W909" i="3" s="1"/>
  <c r="V482" i="3"/>
  <c r="W483" i="3" s="1"/>
  <c r="V838" i="3"/>
  <c r="W839" i="3" s="1"/>
  <c r="V971" i="3"/>
  <c r="W972" i="3" s="1"/>
  <c r="V516" i="3"/>
  <c r="W517" i="3" s="1"/>
  <c r="V635" i="3"/>
  <c r="W636" i="3" s="1"/>
  <c r="V1172" i="3"/>
  <c r="W1173" i="3" s="1"/>
  <c r="V1200" i="3"/>
  <c r="W1201" i="3" s="1"/>
  <c r="V1056" i="3"/>
  <c r="W1057" i="3" s="1"/>
  <c r="V634" i="3"/>
  <c r="W635" i="3" s="1"/>
  <c r="V355" i="3"/>
  <c r="W356" i="3" s="1"/>
  <c r="V295" i="3"/>
  <c r="W296" i="3" s="1"/>
  <c r="V215" i="3"/>
  <c r="W216" i="3" s="1"/>
  <c r="V646" i="3"/>
  <c r="W647" i="3" s="1"/>
  <c r="V585" i="3"/>
  <c r="W586" i="3" s="1"/>
  <c r="V389" i="3"/>
  <c r="W390" i="3" s="1"/>
  <c r="V641" i="3"/>
  <c r="W642" i="3" s="1"/>
  <c r="V543" i="3"/>
  <c r="W544" i="3" s="1"/>
  <c r="V519" i="3"/>
  <c r="W520" i="3" s="1"/>
  <c r="V1011" i="3"/>
  <c r="W1012" i="3" s="1"/>
  <c r="V203" i="3"/>
  <c r="W204" i="3" s="1"/>
  <c r="V868" i="3"/>
  <c r="W869" i="3" s="1"/>
  <c r="V1091" i="3"/>
  <c r="W1092" i="3" s="1"/>
  <c r="V59" i="3"/>
  <c r="W60" i="3" s="1"/>
  <c r="V126" i="3"/>
  <c r="W127" i="3" s="1"/>
  <c r="V648" i="3"/>
  <c r="W649" i="3" s="1"/>
  <c r="V699" i="3"/>
  <c r="W700" i="3" s="1"/>
  <c r="V644" i="3"/>
  <c r="W645" i="3" s="1"/>
  <c r="V924" i="3"/>
  <c r="W925" i="3" s="1"/>
  <c r="V158" i="3"/>
  <c r="W159" i="3" s="1"/>
  <c r="V256" i="3"/>
  <c r="W257" i="3" s="1"/>
  <c r="V801" i="3"/>
  <c r="W802" i="3" s="1"/>
  <c r="V20" i="3"/>
  <c r="W21" i="3" s="1"/>
  <c r="V694" i="3"/>
  <c r="W695" i="3" s="1"/>
  <c r="V403" i="3"/>
  <c r="W404" i="3" s="1"/>
  <c r="V432" i="3"/>
  <c r="W433" i="3" s="1"/>
  <c r="Y14" i="3"/>
  <c r="Z15" i="3" s="1"/>
  <c r="Y122" i="3"/>
  <c r="Z123" i="3" s="1"/>
  <c r="V858" i="3"/>
  <c r="W859" i="3" s="1"/>
  <c r="V60" i="3"/>
  <c r="W61" i="3" s="1"/>
  <c r="V834" i="3"/>
  <c r="W835" i="3" s="1"/>
  <c r="V366" i="3"/>
  <c r="W367" i="3" s="1"/>
  <c r="V361" i="3"/>
  <c r="W362" i="3" s="1"/>
  <c r="V119" i="3"/>
  <c r="W120" i="3" s="1"/>
  <c r="V299" i="3"/>
  <c r="W300" i="3" s="1"/>
  <c r="V1168" i="3"/>
  <c r="W1169" i="3" s="1"/>
  <c r="V983" i="3"/>
  <c r="W984" i="3" s="1"/>
  <c r="V857" i="3"/>
  <c r="W858" i="3" s="1"/>
  <c r="V582" i="3"/>
  <c r="W583" i="3" s="1"/>
  <c r="V805" i="3"/>
  <c r="W806" i="3" s="1"/>
  <c r="V537" i="3"/>
  <c r="W538" i="3" s="1"/>
  <c r="V998" i="3"/>
  <c r="W999" i="3" s="1"/>
  <c r="V1050" i="3"/>
  <c r="W1051" i="3" s="1"/>
  <c r="V830" i="3"/>
  <c r="W831" i="3" s="1"/>
  <c r="V189" i="3"/>
  <c r="W190" i="3" s="1"/>
  <c r="V1147" i="3"/>
  <c r="W1148" i="3" s="1"/>
  <c r="V695" i="3"/>
  <c r="W696" i="3" s="1"/>
  <c r="V746" i="3"/>
  <c r="W747" i="3" s="1"/>
  <c r="V884" i="3"/>
  <c r="W885" i="3" s="1"/>
  <c r="V1012" i="3"/>
  <c r="W1013" i="3" s="1"/>
  <c r="V404" i="3"/>
  <c r="W405" i="3" s="1"/>
  <c r="V597" i="3"/>
  <c r="W598" i="3" s="1"/>
  <c r="V386" i="3"/>
  <c r="W387" i="3" s="1"/>
  <c r="V1101" i="3"/>
  <c r="W1102" i="3" s="1"/>
  <c r="V922" i="3"/>
  <c r="W923" i="3" s="1"/>
  <c r="V1080" i="3"/>
  <c r="W1081" i="3" s="1"/>
  <c r="V781" i="3"/>
  <c r="W782" i="3" s="1"/>
  <c r="V161" i="3"/>
  <c r="W162" i="3" s="1"/>
  <c r="V311" i="3"/>
  <c r="W312" i="3" s="1"/>
  <c r="V264" i="3"/>
  <c r="W265" i="3" s="1"/>
  <c r="V505" i="3"/>
  <c r="W506" i="3" s="1"/>
  <c r="V153" i="3"/>
  <c r="W154" i="3" s="1"/>
  <c r="V869" i="3"/>
  <c r="W870" i="3" s="1"/>
  <c r="V73" i="3"/>
  <c r="W74" i="3" s="1"/>
  <c r="V463" i="3"/>
  <c r="W464" i="3" s="1"/>
  <c r="V334" i="3"/>
  <c r="W335" i="3" s="1"/>
  <c r="V254" i="3"/>
  <c r="W255" i="3" s="1"/>
  <c r="V90" i="3"/>
  <c r="W91" i="3" s="1"/>
  <c r="V589" i="3"/>
  <c r="W590" i="3" s="1"/>
  <c r="V33" i="3"/>
  <c r="W34" i="3" s="1"/>
  <c r="V202" i="3"/>
  <c r="W203" i="3" s="1"/>
  <c r="V767" i="3"/>
  <c r="W768" i="3" s="1"/>
  <c r="V1006" i="3"/>
  <c r="W1007" i="3" s="1"/>
  <c r="V1016" i="3"/>
  <c r="W1017" i="3" s="1"/>
  <c r="V1211" i="3"/>
  <c r="W1212" i="3" s="1"/>
  <c r="V1046" i="3"/>
  <c r="W1047" i="3" s="1"/>
  <c r="V658" i="3"/>
  <c r="W659" i="3" s="1"/>
  <c r="V720" i="3"/>
  <c r="W721" i="3" s="1"/>
  <c r="V30" i="3"/>
  <c r="W31" i="3" s="1"/>
  <c r="V123" i="3"/>
  <c r="W124" i="3" s="1"/>
  <c r="V731" i="3"/>
  <c r="W732" i="3" s="1"/>
  <c r="V1090" i="3"/>
  <c r="W1091" i="3" s="1"/>
  <c r="V1033" i="3"/>
  <c r="W1034" i="3" s="1"/>
  <c r="V526" i="3"/>
  <c r="W527" i="3" s="1"/>
  <c r="V728" i="3"/>
  <c r="W729" i="3" s="1"/>
  <c r="V259" i="3"/>
  <c r="W260" i="3" s="1"/>
  <c r="V1197" i="3"/>
  <c r="W1198" i="3" s="1"/>
  <c r="V575" i="3"/>
  <c r="W576" i="3" s="1"/>
  <c r="V861" i="3"/>
  <c r="W862" i="3" s="1"/>
  <c r="V666" i="3"/>
  <c r="W667" i="3" s="1"/>
  <c r="V421" i="3"/>
  <c r="W422" i="3" s="1"/>
  <c r="V413" i="3"/>
  <c r="W414" i="3" s="1"/>
  <c r="V208" i="3"/>
  <c r="W209" i="3" s="1"/>
  <c r="V271" i="3"/>
  <c r="W272" i="3" s="1"/>
  <c r="V1079" i="3"/>
  <c r="W1080" i="3" s="1"/>
  <c r="V276" i="3"/>
  <c r="W277" i="3" s="1"/>
  <c r="V573" i="3"/>
  <c r="W574" i="3" s="1"/>
  <c r="V55" i="3"/>
  <c r="W56" i="3" s="1"/>
  <c r="V275" i="3"/>
  <c r="W276" i="3" s="1"/>
  <c r="V1098" i="3"/>
  <c r="W1099" i="3" s="1"/>
  <c r="V67" i="3"/>
  <c r="W68" i="3" s="1"/>
  <c r="V257" i="3"/>
  <c r="W258" i="3" s="1"/>
  <c r="V645" i="3"/>
  <c r="W646" i="3" s="1"/>
  <c r="V416" i="3"/>
  <c r="W417" i="3" s="1"/>
  <c r="V965" i="3"/>
  <c r="W966" i="3" s="1"/>
  <c r="V659" i="3"/>
  <c r="W660" i="3" s="1"/>
  <c r="V114" i="3"/>
  <c r="W115" i="3" s="1"/>
  <c r="V154" i="3"/>
  <c r="W155" i="3" s="1"/>
  <c r="V1160" i="3"/>
  <c r="W1161" i="3" s="1"/>
  <c r="V563" i="3"/>
  <c r="W564" i="3" s="1"/>
  <c r="V346" i="3"/>
  <c r="W347" i="3" s="1"/>
  <c r="V1044" i="3"/>
  <c r="W1045" i="3" s="1"/>
  <c r="V1020" i="3"/>
  <c r="W1021" i="3" s="1"/>
  <c r="V178" i="3"/>
  <c r="W179" i="3" s="1"/>
  <c r="V97" i="3"/>
  <c r="W98" i="3" s="1"/>
  <c r="V197" i="3"/>
  <c r="W198" i="3" s="1"/>
  <c r="V209" i="3"/>
  <c r="W210" i="3" s="1"/>
  <c r="V740" i="3"/>
  <c r="W741" i="3" s="1"/>
  <c r="V341" i="3"/>
  <c r="W342" i="3" s="1"/>
  <c r="V524" i="3"/>
  <c r="W525" i="3" s="1"/>
  <c r="V937" i="3"/>
  <c r="W938" i="3" s="1"/>
  <c r="V512" i="3"/>
  <c r="W513" i="3" s="1"/>
  <c r="V150" i="3"/>
  <c r="W151" i="3" s="1"/>
  <c r="V1116" i="3"/>
  <c r="W1117" i="3" s="1"/>
  <c r="V1130" i="3"/>
  <c r="W1131" i="3" s="1"/>
  <c r="V514" i="3"/>
  <c r="W515" i="3" s="1"/>
  <c r="V954" i="3"/>
  <c r="W955" i="3" s="1"/>
  <c r="V331" i="3"/>
  <c r="W332" i="3" s="1"/>
  <c r="V210" i="3"/>
  <c r="W211" i="3" s="1"/>
  <c r="V108" i="3"/>
  <c r="W109" i="3" s="1"/>
  <c r="V174" i="3"/>
  <c r="W175" i="3" s="1"/>
  <c r="V1188" i="3"/>
  <c r="W1189" i="3" s="1"/>
  <c r="V43" i="3"/>
  <c r="W44" i="3" s="1"/>
  <c r="V1094" i="3"/>
  <c r="W1095" i="3" s="1"/>
  <c r="V628" i="3"/>
  <c r="W629" i="3" s="1"/>
  <c r="V422" i="3"/>
  <c r="W423" i="3" s="1"/>
  <c r="V336" i="3"/>
  <c r="W337" i="3" s="1"/>
  <c r="V692" i="3"/>
  <c r="W693" i="3" s="1"/>
  <c r="V677" i="3"/>
  <c r="W678" i="3" s="1"/>
  <c r="V606" i="3"/>
  <c r="W607" i="3" s="1"/>
  <c r="V520" i="3"/>
  <c r="W521" i="3" s="1"/>
  <c r="V1103" i="3"/>
  <c r="W1104" i="3" s="1"/>
  <c r="V797" i="3"/>
  <c r="W798" i="3" s="1"/>
  <c r="V926" i="3"/>
  <c r="W927" i="3" s="1"/>
  <c r="V1213" i="3"/>
  <c r="V1038" i="3"/>
  <c r="W1039" i="3" s="1"/>
  <c r="V116" i="3"/>
  <c r="W117" i="3" s="1"/>
  <c r="V914" i="3"/>
  <c r="W915" i="3" s="1"/>
  <c r="V1086" i="3"/>
  <c r="W1087" i="3" s="1"/>
  <c r="V118" i="3"/>
  <c r="W119" i="3" s="1"/>
  <c r="V642" i="3"/>
  <c r="W643" i="3" s="1"/>
  <c r="V400" i="3"/>
  <c r="W401" i="3" s="1"/>
  <c r="V460" i="3"/>
  <c r="W461" i="3" s="1"/>
  <c r="V455" i="3"/>
  <c r="W456" i="3" s="1"/>
  <c r="V873" i="3"/>
  <c r="W874" i="3" s="1"/>
  <c r="V780" i="3"/>
  <c r="W781" i="3" s="1"/>
  <c r="V503" i="3"/>
  <c r="W504" i="3" s="1"/>
  <c r="V417" i="3"/>
  <c r="W418" i="3" s="1"/>
  <c r="V227" i="3"/>
  <c r="W228" i="3" s="1"/>
  <c r="V770" i="3"/>
  <c r="W771" i="3" s="1"/>
  <c r="V687" i="3"/>
  <c r="W688" i="3" s="1"/>
  <c r="V737" i="3"/>
  <c r="W738" i="3" s="1"/>
  <c r="V260" i="3"/>
  <c r="W261" i="3" s="1"/>
  <c r="V528" i="3"/>
  <c r="W529" i="3" s="1"/>
  <c r="V322" i="3"/>
  <c r="W323" i="3" s="1"/>
  <c r="V574" i="3"/>
  <c r="W575" i="3" s="1"/>
  <c r="V769" i="3"/>
  <c r="W770" i="3" s="1"/>
  <c r="V1093" i="3"/>
  <c r="W1094" i="3" s="1"/>
  <c r="V207" i="3"/>
  <c r="W208" i="3" s="1"/>
  <c r="V354" i="3"/>
  <c r="W355" i="3" s="1"/>
  <c r="V883" i="3"/>
  <c r="W884" i="3" s="1"/>
  <c r="V733" i="3"/>
  <c r="V607" i="3"/>
  <c r="W608" i="3" s="1"/>
  <c r="V456" i="3"/>
  <c r="W457" i="3" s="1"/>
  <c r="V278" i="3"/>
  <c r="W279" i="3" s="1"/>
  <c r="V414" i="3"/>
  <c r="W415" i="3" s="1"/>
  <c r="V964" i="3"/>
  <c r="W965" i="3" s="1"/>
  <c r="V65" i="3"/>
  <c r="W66" i="3" s="1"/>
  <c r="V1180" i="3"/>
  <c r="W1181" i="3" s="1"/>
  <c r="V1190" i="3"/>
  <c r="W1191" i="3" s="1"/>
  <c r="V693" i="3"/>
  <c r="W694" i="3" s="1"/>
  <c r="V468" i="3"/>
  <c r="W469" i="3" s="1"/>
  <c r="V44" i="3"/>
  <c r="W45" i="3" s="1"/>
  <c r="V122" i="3"/>
  <c r="W123" i="3" s="1"/>
  <c r="V679" i="3"/>
  <c r="W680" i="3" s="1"/>
  <c r="V462" i="3"/>
  <c r="W463" i="3" s="1"/>
  <c r="V647" i="3"/>
  <c r="W648" i="3" s="1"/>
  <c r="V729" i="3"/>
  <c r="W730" i="3" s="1"/>
  <c r="V1202" i="3"/>
  <c r="W1203" i="3" s="1"/>
  <c r="V730" i="3"/>
  <c r="W731" i="3" s="1"/>
  <c r="V228" i="3"/>
  <c r="W229" i="3" s="1"/>
  <c r="V529" i="3"/>
  <c r="W530" i="3" s="1"/>
  <c r="V676" i="3"/>
  <c r="W677" i="3" s="1"/>
  <c r="V431" i="3"/>
  <c r="W432" i="3" s="1"/>
  <c r="V318" i="3"/>
  <c r="W319" i="3" s="1"/>
  <c r="V1173" i="3"/>
  <c r="W1174" i="3" s="1"/>
  <c r="V457" i="3"/>
  <c r="W458" i="3" s="1"/>
  <c r="V702" i="3"/>
  <c r="W703" i="3" s="1"/>
  <c r="V724" i="3"/>
  <c r="W725" i="3" s="1"/>
  <c r="V951" i="3"/>
  <c r="W952" i="3" s="1"/>
  <c r="V599" i="3"/>
  <c r="W600" i="3" s="1"/>
  <c r="V1159" i="3"/>
  <c r="W1160" i="3" s="1"/>
  <c r="V738" i="3"/>
  <c r="W739" i="3" s="1"/>
  <c r="V847" i="3"/>
  <c r="W848" i="3" s="1"/>
  <c r="V1194" i="3"/>
  <c r="W1195" i="3" s="1"/>
  <c r="V441" i="3"/>
  <c r="W442" i="3" s="1"/>
  <c r="V1117" i="3"/>
  <c r="W1118" i="3" s="1"/>
  <c r="V938" i="3"/>
  <c r="W939" i="3" s="1"/>
  <c r="V996" i="3"/>
  <c r="W997" i="3" s="1"/>
  <c r="V384" i="3"/>
  <c r="W385" i="3" s="1"/>
  <c r="V860" i="3"/>
  <c r="W861" i="3" s="1"/>
  <c r="V337" i="3"/>
  <c r="W338" i="3" s="1"/>
  <c r="V623" i="3"/>
  <c r="W624" i="3" s="1"/>
  <c r="V107" i="3"/>
  <c r="W108" i="3" s="1"/>
  <c r="V443" i="3"/>
  <c r="W444" i="3" s="1"/>
  <c r="V764" i="3"/>
  <c r="W765" i="3" s="1"/>
  <c r="V1008" i="3"/>
  <c r="W1009" i="3" s="1"/>
  <c r="V444" i="3"/>
  <c r="W445" i="3" s="1"/>
  <c r="V970" i="3"/>
  <c r="W971" i="3" s="1"/>
  <c r="V773" i="3"/>
  <c r="W774" i="3" s="1"/>
  <c r="V429" i="3"/>
  <c r="W430" i="3" s="1"/>
  <c r="V1083" i="3"/>
  <c r="W1084" i="3" s="1"/>
  <c r="V630" i="3"/>
  <c r="W631" i="3" s="1"/>
  <c r="V435" i="3"/>
  <c r="W436" i="3" s="1"/>
  <c r="V542" i="3"/>
  <c r="W543" i="3" s="1"/>
  <c r="V899" i="3"/>
  <c r="W900" i="3" s="1"/>
  <c r="V779" i="3"/>
  <c r="W780" i="3" s="1"/>
  <c r="V1048" i="3"/>
  <c r="W1049" i="3" s="1"/>
  <c r="V995" i="3"/>
  <c r="W996" i="3" s="1"/>
  <c r="V186" i="3"/>
  <c r="W187" i="3" s="1"/>
  <c r="V288" i="3"/>
  <c r="W289" i="3" s="1"/>
  <c r="V586" i="3"/>
  <c r="W587" i="3" s="1"/>
  <c r="V906" i="3"/>
  <c r="W907" i="3" s="1"/>
  <c r="V871" i="3"/>
  <c r="W872" i="3" s="1"/>
  <c r="V840" i="3"/>
  <c r="W841" i="3" s="1"/>
  <c r="V588" i="3"/>
  <c r="W589" i="3" s="1"/>
  <c r="V1199" i="3"/>
  <c r="W1200" i="3" s="1"/>
  <c r="V944" i="3"/>
  <c r="W945" i="3" s="1"/>
  <c r="V130" i="3"/>
  <c r="W131" i="3" s="1"/>
  <c r="V917" i="3"/>
  <c r="W918" i="3" s="1"/>
  <c r="V1071" i="3"/>
  <c r="W1072" i="3" s="1"/>
  <c r="V1176" i="3"/>
  <c r="W1177" i="3" s="1"/>
  <c r="V927" i="3"/>
  <c r="W928" i="3" s="1"/>
  <c r="V85" i="3"/>
  <c r="W86" i="3" s="1"/>
  <c r="V391" i="3"/>
  <c r="W392" i="3" s="1"/>
  <c r="V232" i="3"/>
  <c r="W233" i="3" s="1"/>
  <c r="V989" i="3"/>
  <c r="W990" i="3" s="1"/>
  <c r="V803" i="3"/>
  <c r="W804" i="3" s="1"/>
  <c r="V1025" i="3"/>
  <c r="W1026" i="3" s="1"/>
  <c r="V792" i="3"/>
  <c r="W793" i="3" s="1"/>
  <c r="V761" i="3"/>
  <c r="W762" i="3" s="1"/>
  <c r="V362" i="3"/>
  <c r="W363" i="3" s="1"/>
  <c r="V352" i="3"/>
  <c r="W353" i="3" s="1"/>
  <c r="V225" i="3"/>
  <c r="W226" i="3" s="1"/>
  <c r="V541" i="3"/>
  <c r="W542" i="3" s="1"/>
  <c r="V1089" i="3"/>
  <c r="W1090" i="3" s="1"/>
  <c r="V1208" i="3"/>
  <c r="W1209" i="3" s="1"/>
  <c r="V96" i="3"/>
  <c r="W97" i="3" s="1"/>
  <c r="V109" i="3"/>
  <c r="W110" i="3" s="1"/>
  <c r="V749" i="3"/>
  <c r="W750" i="3" s="1"/>
  <c r="V955" i="3"/>
  <c r="W956" i="3" s="1"/>
  <c r="V521" i="3"/>
  <c r="W522" i="3" s="1"/>
  <c r="V741" i="3"/>
  <c r="W742" i="3" s="1"/>
  <c r="V972" i="3"/>
  <c r="W973" i="3" s="1"/>
  <c r="V1140" i="3"/>
  <c r="W1141" i="3" s="1"/>
  <c r="V146" i="3"/>
  <c r="W147" i="3" s="1"/>
  <c r="V235" i="3"/>
  <c r="W236" i="3" s="1"/>
  <c r="V92" i="3"/>
  <c r="W93" i="3" s="1"/>
  <c r="Y539" i="3"/>
  <c r="Z540" i="3" s="1"/>
  <c r="Y790" i="3"/>
  <c r="Z791" i="3" s="1"/>
  <c r="Y1199" i="3"/>
  <c r="Z1200" i="3" s="1"/>
  <c r="V1125" i="3"/>
  <c r="W1126" i="3" s="1"/>
  <c r="Y715" i="3"/>
  <c r="Z716" i="3" s="1"/>
  <c r="Y877" i="3"/>
  <c r="Z878" i="3" s="1"/>
  <c r="Y231" i="3"/>
  <c r="Z232" i="3" s="1"/>
  <c r="Y28" i="3"/>
  <c r="Z29" i="3" s="1"/>
  <c r="V506" i="3"/>
  <c r="W507" i="3" s="1"/>
  <c r="V255" i="3"/>
  <c r="W256" i="3" s="1"/>
  <c r="Y398" i="3"/>
  <c r="Z399" i="3" s="1"/>
  <c r="Y130" i="3"/>
  <c r="Z131" i="3" s="1"/>
  <c r="Y409" i="3"/>
  <c r="Z410" i="3" s="1"/>
  <c r="Y73" i="3"/>
  <c r="Z74" i="3" s="1"/>
  <c r="V531" i="3"/>
  <c r="W532" i="3" s="1"/>
  <c r="V910" i="3"/>
  <c r="W911" i="3" s="1"/>
  <c r="V134" i="3"/>
  <c r="W135" i="3" s="1"/>
  <c r="Y764" i="3"/>
  <c r="Z765" i="3" s="1"/>
  <c r="Y49" i="3"/>
  <c r="Z50" i="3" s="1"/>
  <c r="Y737" i="3"/>
  <c r="Z738" i="3" s="1"/>
  <c r="Y1001" i="3"/>
  <c r="Z1002" i="3" s="1"/>
  <c r="Y565" i="3"/>
  <c r="Z566" i="3" s="1"/>
  <c r="Y867" i="3"/>
  <c r="Z868" i="3" s="1"/>
  <c r="Y240" i="3"/>
  <c r="Z241" i="3" s="1"/>
  <c r="Y407" i="3"/>
  <c r="Z408" i="3" s="1"/>
  <c r="Y574" i="3"/>
  <c r="Z575" i="3" s="1"/>
  <c r="Y62" i="3"/>
  <c r="Z63" i="3" s="1"/>
  <c r="Y229" i="3"/>
  <c r="Z230" i="3" s="1"/>
  <c r="Y209" i="3"/>
  <c r="Z210" i="3" s="1"/>
  <c r="V1058" i="3"/>
  <c r="W1059" i="3" s="1"/>
  <c r="V1073" i="3"/>
  <c r="W1074" i="3" s="1"/>
  <c r="V268" i="3"/>
  <c r="W269" i="3" s="1"/>
  <c r="V1104" i="3"/>
  <c r="W1105" i="3" s="1"/>
  <c r="V22" i="3"/>
  <c r="W23" i="3" s="1"/>
  <c r="V453" i="3"/>
  <c r="W454" i="3" s="1"/>
  <c r="V181" i="3"/>
  <c r="W182" i="3" s="1"/>
  <c r="V958" i="3"/>
  <c r="W959" i="3" s="1"/>
  <c r="V63" i="3"/>
  <c r="W64" i="3" s="1"/>
  <c r="V532" i="3"/>
  <c r="W533" i="3" s="1"/>
  <c r="V1051" i="3"/>
  <c r="W1052" i="3" s="1"/>
  <c r="V200" i="3"/>
  <c r="W201" i="3" s="1"/>
  <c r="V929" i="3"/>
  <c r="W930" i="3" s="1"/>
  <c r="V211" i="3"/>
  <c r="W212" i="3" s="1"/>
  <c r="V986" i="3"/>
  <c r="W987" i="3" s="1"/>
  <c r="V136" i="3"/>
  <c r="W137" i="3" s="1"/>
  <c r="V320" i="3"/>
  <c r="W321" i="3" s="1"/>
  <c r="V866" i="3"/>
  <c r="W867" i="3" s="1"/>
  <c r="V751" i="3"/>
  <c r="W752" i="3" s="1"/>
  <c r="V489" i="3"/>
  <c r="W490" i="3" s="1"/>
  <c r="V243" i="3"/>
  <c r="W244" i="3" s="1"/>
  <c r="V309" i="3"/>
  <c r="W310" i="3" s="1"/>
  <c r="V240" i="3"/>
  <c r="W241" i="3" s="1"/>
  <c r="V401" i="3"/>
  <c r="W402" i="3" s="1"/>
  <c r="V885" i="3"/>
  <c r="W886" i="3" s="1"/>
  <c r="V323" i="3"/>
  <c r="W324" i="3" s="1"/>
  <c r="V493" i="3"/>
  <c r="W494" i="3" s="1"/>
  <c r="V581" i="3"/>
  <c r="W582" i="3" s="1"/>
  <c r="Y53" i="3"/>
  <c r="Z54" i="3" s="1"/>
  <c r="V1021" i="3"/>
  <c r="W1022" i="3" s="1"/>
  <c r="V270" i="3"/>
  <c r="W271" i="3" s="1"/>
  <c r="V1153" i="3"/>
  <c r="W1154" i="3" s="1"/>
  <c r="V172" i="3"/>
  <c r="W173" i="3" s="1"/>
  <c r="V551" i="3"/>
  <c r="W552" i="3" s="1"/>
  <c r="Y1100" i="3"/>
  <c r="Z1101" i="3" s="1"/>
  <c r="Y691" i="3"/>
  <c r="Z692" i="3" s="1"/>
  <c r="Y941" i="3"/>
  <c r="Z942" i="3" s="1"/>
  <c r="Y1068" i="3"/>
  <c r="Z1069" i="3" s="1"/>
  <c r="Y1036" i="3"/>
  <c r="Z1037" i="3" s="1"/>
  <c r="V978" i="3"/>
  <c r="W979" i="3" s="1"/>
  <c r="V1001" i="3"/>
  <c r="W1002" i="3" s="1"/>
  <c r="V539" i="3"/>
  <c r="W540" i="3" s="1"/>
  <c r="V82" i="3"/>
  <c r="W83" i="3" s="1"/>
  <c r="V452" i="3"/>
  <c r="W453" i="3" s="1"/>
  <c r="V347" i="3"/>
  <c r="W348" i="3" s="1"/>
  <c r="V344" i="3"/>
  <c r="W345" i="3" s="1"/>
  <c r="V395" i="3"/>
  <c r="W396" i="3" s="1"/>
  <c r="V266" i="3"/>
  <c r="W267" i="3" s="1"/>
  <c r="V206" i="3"/>
  <c r="W207" i="3" s="1"/>
  <c r="V941" i="3"/>
  <c r="W942" i="3" s="1"/>
  <c r="V1032" i="3"/>
  <c r="W1033" i="3" s="1"/>
  <c r="V1077" i="3"/>
  <c r="W1078" i="3" s="1"/>
  <c r="V252" i="3"/>
  <c r="W253" i="3" s="1"/>
  <c r="V381" i="3"/>
  <c r="W382" i="3" s="1"/>
  <c r="V35" i="3"/>
  <c r="W36" i="3" s="1"/>
  <c r="V714" i="3"/>
  <c r="W715" i="3" s="1"/>
  <c r="V143" i="3"/>
  <c r="W144" i="3" s="1"/>
  <c r="V1209" i="3"/>
  <c r="W1210" i="3" s="1"/>
  <c r="V534" i="3"/>
  <c r="W535" i="3" s="1"/>
  <c r="V17" i="3"/>
  <c r="W18" i="3" s="1"/>
  <c r="V664" i="3"/>
  <c r="W665" i="3" s="1"/>
  <c r="V1146" i="3"/>
  <c r="W1147" i="3" s="1"/>
  <c r="V470" i="3"/>
  <c r="W471" i="3" s="1"/>
  <c r="V655" i="3"/>
  <c r="W656" i="3" s="1"/>
  <c r="V632" i="3"/>
  <c r="W633" i="3" s="1"/>
  <c r="V23" i="3"/>
  <c r="W24" i="3" s="1"/>
  <c r="V194" i="3"/>
  <c r="W195" i="3" s="1"/>
  <c r="V950" i="3"/>
  <c r="W951" i="3" s="1"/>
  <c r="V52" i="3"/>
  <c r="W53" i="3" s="1"/>
  <c r="V681" i="3"/>
  <c r="W682" i="3" s="1"/>
  <c r="V557" i="3"/>
  <c r="W558" i="3" s="1"/>
  <c r="V79" i="3"/>
  <c r="W80" i="3" s="1"/>
  <c r="V1030" i="3"/>
  <c r="W1031" i="3" s="1"/>
  <c r="V365" i="3"/>
  <c r="W366" i="3" s="1"/>
  <c r="V358" i="3"/>
  <c r="W359" i="3" s="1"/>
  <c r="V273" i="3"/>
  <c r="W274" i="3" s="1"/>
  <c r="V753" i="3"/>
  <c r="W754" i="3" s="1"/>
  <c r="V327" i="3"/>
  <c r="W328" i="3" s="1"/>
  <c r="V83" i="3"/>
  <c r="W84" i="3" s="1"/>
  <c r="V907" i="3"/>
  <c r="W908" i="3" s="1"/>
  <c r="V841" i="3"/>
  <c r="W842" i="3" s="1"/>
  <c r="V382" i="3"/>
  <c r="W383" i="3" s="1"/>
  <c r="V754" i="3"/>
  <c r="W755" i="3" s="1"/>
  <c r="V872" i="3"/>
  <c r="W873" i="3" s="1"/>
  <c r="V193" i="3"/>
  <c r="W194" i="3" s="1"/>
  <c r="V604" i="3"/>
  <c r="W605" i="3" s="1"/>
  <c r="V326" i="3"/>
  <c r="W327" i="3" s="1"/>
  <c r="V715" i="3"/>
  <c r="W716" i="3" s="1"/>
  <c r="Y347" i="3"/>
  <c r="Z348" i="3" s="1"/>
  <c r="Y601" i="3"/>
  <c r="Z602" i="3" s="1"/>
  <c r="V823" i="3"/>
  <c r="W824" i="3" s="1"/>
  <c r="V1045" i="3"/>
  <c r="W1046" i="3" s="1"/>
  <c r="V690" i="3"/>
  <c r="W691" i="3" s="1"/>
  <c r="V877" i="3"/>
  <c r="W878" i="3" s="1"/>
  <c r="V949" i="3"/>
  <c r="W950" i="3" s="1"/>
  <c r="V285" i="3"/>
  <c r="W286" i="3" s="1"/>
  <c r="V778" i="3"/>
  <c r="W779" i="3" s="1"/>
  <c r="V53" i="3"/>
  <c r="W54" i="3" s="1"/>
  <c r="V587" i="3"/>
  <c r="W588" i="3" s="1"/>
  <c r="V289" i="3"/>
  <c r="W290" i="3" s="1"/>
  <c r="V233" i="3"/>
  <c r="W234" i="3" s="1"/>
  <c r="V410" i="3"/>
  <c r="W411" i="3" s="1"/>
  <c r="V665" i="3"/>
  <c r="W666" i="3" s="1"/>
  <c r="V306" i="3"/>
  <c r="W307" i="3" s="1"/>
  <c r="V977" i="3"/>
  <c r="W978" i="3" s="1"/>
  <c r="V501" i="3"/>
  <c r="W502" i="3" s="1"/>
  <c r="V129" i="3"/>
  <c r="W130" i="3" s="1"/>
  <c r="Y1096" i="3"/>
  <c r="Z1097" i="3" s="1"/>
  <c r="Y435" i="3"/>
  <c r="Z436" i="3" s="1"/>
  <c r="Y707" i="3"/>
  <c r="Z708" i="3" s="1"/>
  <c r="Y590" i="3"/>
  <c r="Z591" i="3" s="1"/>
  <c r="Y268" i="3"/>
  <c r="Z269" i="3" s="1"/>
  <c r="V633" i="3"/>
  <c r="W634" i="3" s="1"/>
  <c r="V364" i="3"/>
  <c r="W365" i="3" s="1"/>
  <c r="V283" i="3"/>
  <c r="W284" i="3" s="1"/>
  <c r="V1031" i="3"/>
  <c r="W1032" i="3" s="1"/>
  <c r="V131" i="3"/>
  <c r="W132" i="3" s="1"/>
  <c r="V990" i="3"/>
  <c r="W991" i="3" s="1"/>
  <c r="V807" i="3"/>
  <c r="W808" i="3" s="1"/>
  <c r="V1000" i="3"/>
  <c r="W1001" i="3" s="1"/>
  <c r="V1013" i="3"/>
  <c r="W1014" i="3" s="1"/>
  <c r="V343" i="3"/>
  <c r="W344" i="3" s="1"/>
  <c r="V1198" i="3"/>
  <c r="W1199" i="3" s="1"/>
  <c r="V921" i="3"/>
  <c r="W922" i="3" s="1"/>
  <c r="V1026" i="3"/>
  <c r="W1027" i="3" s="1"/>
  <c r="V1108" i="3"/>
  <c r="W1109" i="3" s="1"/>
  <c r="V1186" i="3"/>
  <c r="W1187" i="3" s="1"/>
  <c r="V756" i="3"/>
  <c r="W757" i="3" s="1"/>
  <c r="V247" i="3"/>
  <c r="W248" i="3" s="1"/>
  <c r="V56" i="3"/>
  <c r="W57" i="3" s="1"/>
  <c r="V612" i="3"/>
  <c r="W613" i="3" s="1"/>
  <c r="V686" i="3"/>
  <c r="W687" i="3" s="1"/>
  <c r="V651" i="3"/>
  <c r="W652" i="3" s="1"/>
  <c r="V912" i="3"/>
  <c r="W913" i="3" s="1"/>
  <c r="V790" i="3"/>
  <c r="W791" i="3" s="1"/>
  <c r="V162" i="3"/>
  <c r="W163" i="3" s="1"/>
  <c r="V887" i="3"/>
  <c r="W888" i="3" s="1"/>
  <c r="V762" i="3"/>
  <c r="W763" i="3" s="1"/>
  <c r="V472" i="3"/>
  <c r="W473" i="3" s="1"/>
  <c r="V684" i="3"/>
  <c r="W685" i="3" s="1"/>
  <c r="V50" i="3"/>
  <c r="W51" i="3" s="1"/>
  <c r="V1148" i="3"/>
  <c r="W1149" i="3" s="1"/>
  <c r="V350" i="3"/>
  <c r="W351" i="3" s="1"/>
  <c r="V313" i="3"/>
  <c r="W314" i="3" s="1"/>
  <c r="V86" i="3"/>
  <c r="W87" i="3" s="1"/>
  <c r="V425" i="3"/>
  <c r="W426" i="3" s="1"/>
  <c r="V1170" i="3"/>
  <c r="W1171" i="3" s="1"/>
  <c r="V934" i="3"/>
  <c r="W935" i="3" s="1"/>
  <c r="V1036" i="3"/>
  <c r="W1037" i="3" s="1"/>
  <c r="V405" i="3"/>
  <c r="W406" i="3" s="1"/>
  <c r="V433" i="3"/>
  <c r="W434" i="3" s="1"/>
  <c r="V617" i="3"/>
  <c r="W618" i="3" s="1"/>
  <c r="V427" i="3"/>
  <c r="W428" i="3" s="1"/>
  <c r="V14" i="3"/>
  <c r="W15" i="3" s="1"/>
  <c r="V671" i="3"/>
  <c r="W672" i="3" s="1"/>
  <c r="V415" i="3"/>
  <c r="W416" i="3" s="1"/>
  <c r="V353" i="3"/>
  <c r="W354" i="3" s="1"/>
  <c r="V540" i="3"/>
  <c r="W541" i="3" s="1"/>
  <c r="Y1019" i="3"/>
  <c r="Z1020" i="3" s="1"/>
  <c r="Y883" i="3"/>
  <c r="Z884" i="3" s="1"/>
  <c r="V349" i="3"/>
  <c r="W350" i="3" s="1"/>
  <c r="V1175" i="3"/>
  <c r="W1176" i="3" s="1"/>
  <c r="V992" i="3"/>
  <c r="W993" i="3" s="1"/>
  <c r="V487" i="3"/>
  <c r="W488" i="3" s="1"/>
  <c r="Y1185" i="3"/>
  <c r="Z1186" i="3" s="1"/>
  <c r="Y780" i="3"/>
  <c r="Z781" i="3" s="1"/>
  <c r="Y832" i="3"/>
  <c r="Z833" i="3" s="1"/>
  <c r="Y999" i="3"/>
  <c r="Z1000" i="3" s="1"/>
  <c r="Y973" i="3"/>
  <c r="Z974" i="3" s="1"/>
  <c r="Y796" i="3"/>
  <c r="Z797" i="3" s="1"/>
  <c r="V1183" i="3"/>
  <c r="W1184" i="3" s="1"/>
  <c r="V943" i="3"/>
  <c r="W944" i="3" s="1"/>
  <c r="V76" i="3"/>
  <c r="W77" i="3" s="1"/>
  <c r="V855" i="3"/>
  <c r="W856" i="3" s="1"/>
  <c r="V1075" i="3"/>
  <c r="W1076" i="3" s="1"/>
  <c r="V302" i="3"/>
  <c r="W303" i="3" s="1"/>
  <c r="V1164" i="3"/>
  <c r="W1165" i="3" s="1"/>
  <c r="V1023" i="3"/>
  <c r="W1024" i="3" s="1"/>
  <c r="V625" i="3"/>
  <c r="W626" i="3" s="1"/>
  <c r="V300" i="3"/>
  <c r="W301" i="3" s="1"/>
  <c r="V179" i="3"/>
  <c r="W180" i="3" s="1"/>
  <c r="V40" i="3"/>
  <c r="W41" i="3" s="1"/>
  <c r="V1141" i="3"/>
  <c r="W1142" i="3" s="1"/>
  <c r="V101" i="3"/>
  <c r="W102" i="3" s="1"/>
  <c r="V809" i="3"/>
  <c r="W810" i="3" s="1"/>
  <c r="V766" i="3"/>
  <c r="W767" i="3" s="1"/>
  <c r="V1203" i="3"/>
  <c r="W1204" i="3" s="1"/>
  <c r="V1154" i="3"/>
  <c r="W1155" i="3" s="1"/>
  <c r="V204" i="3"/>
  <c r="W205" i="3" s="1"/>
  <c r="V199" i="3"/>
  <c r="W200" i="3" s="1"/>
  <c r="V372" i="3"/>
  <c r="W373" i="3" s="1"/>
  <c r="V373" i="3"/>
  <c r="W374" i="3" s="1"/>
  <c r="V57" i="3"/>
  <c r="W58" i="3" s="1"/>
  <c r="V477" i="3"/>
  <c r="W478" i="3" s="1"/>
  <c r="V904" i="3"/>
  <c r="W905" i="3" s="1"/>
  <c r="V846" i="3"/>
  <c r="W847" i="3" s="1"/>
  <c r="V745" i="3"/>
  <c r="W746" i="3" s="1"/>
  <c r="V839" i="3"/>
  <c r="W840" i="3" s="1"/>
  <c r="V1210" i="3"/>
  <c r="W1211" i="3" s="1"/>
  <c r="V18" i="3"/>
  <c r="W19" i="3" s="1"/>
  <c r="V330" i="3"/>
  <c r="W331" i="3" s="1"/>
  <c r="V149" i="3"/>
  <c r="W150" i="3" s="1"/>
  <c r="V719" i="3"/>
  <c r="W720" i="3" s="1"/>
  <c r="V479" i="3"/>
  <c r="W480" i="3" s="1"/>
  <c r="V802" i="3"/>
  <c r="W803" i="3" s="1"/>
  <c r="V544" i="3"/>
  <c r="W545" i="3" s="1"/>
  <c r="V36" i="3"/>
  <c r="W37" i="3" s="1"/>
  <c r="V527" i="3"/>
  <c r="W528" i="3" s="1"/>
  <c r="V511" i="3"/>
  <c r="W512" i="3" s="1"/>
  <c r="V798" i="3"/>
  <c r="W799" i="3" s="1"/>
  <c r="V727" i="3"/>
  <c r="W728" i="3" s="1"/>
  <c r="V226" i="3"/>
  <c r="W227" i="3" s="1"/>
  <c r="V102" i="3"/>
  <c r="W103" i="3" s="1"/>
  <c r="V135" i="3"/>
  <c r="W136" i="3" s="1"/>
  <c r="V399" i="3"/>
  <c r="W400" i="3" s="1"/>
  <c r="V440" i="3"/>
  <c r="W441" i="3" s="1"/>
  <c r="V84" i="3"/>
  <c r="W85" i="3" s="1"/>
  <c r="V771" i="3"/>
  <c r="W772" i="3" s="1"/>
  <c r="V1043" i="3"/>
  <c r="W1044" i="3" s="1"/>
  <c r="V492" i="3"/>
  <c r="W493" i="3" s="1"/>
  <c r="V411" i="3"/>
  <c r="W412" i="3" s="1"/>
  <c r="Y74" i="3"/>
  <c r="Z75" i="3" s="1"/>
  <c r="Y723" i="3"/>
  <c r="Z724" i="3" s="1"/>
  <c r="Y672" i="3"/>
  <c r="Z673" i="3" s="1"/>
  <c r="Y923" i="3"/>
  <c r="Z924" i="3" s="1"/>
  <c r="Y309" i="3"/>
  <c r="Z310" i="3" s="1"/>
  <c r="V426" i="3"/>
  <c r="W427" i="3" s="1"/>
  <c r="V483" i="3"/>
  <c r="W484" i="3" s="1"/>
  <c r="V378" i="3"/>
  <c r="W379" i="3" s="1"/>
  <c r="V188" i="3"/>
  <c r="W189" i="3" s="1"/>
  <c r="V451" i="3"/>
  <c r="W452" i="3" s="1"/>
  <c r="V967" i="3"/>
  <c r="W968" i="3" s="1"/>
  <c r="V328" i="3"/>
  <c r="W329" i="3" s="1"/>
  <c r="V1206" i="3"/>
  <c r="W1207" i="3" s="1"/>
  <c r="V561" i="3"/>
  <c r="W562" i="3" s="1"/>
  <c r="V530" i="3"/>
  <c r="W531" i="3" s="1"/>
  <c r="V673" i="3"/>
  <c r="W674" i="3" s="1"/>
  <c r="V497" i="3"/>
  <c r="W498" i="3" s="1"/>
  <c r="V307" i="3"/>
  <c r="W308" i="3" s="1"/>
  <c r="V465" i="3"/>
  <c r="W466" i="3" s="1"/>
  <c r="V758" i="3"/>
  <c r="W759" i="3" s="1"/>
  <c r="V1081" i="3"/>
  <c r="W1082" i="3" s="1"/>
  <c r="V591" i="3"/>
  <c r="W592" i="3" s="1"/>
  <c r="V568" i="3"/>
  <c r="W569" i="3" s="1"/>
  <c r="V124" i="3"/>
  <c r="W125" i="3" s="1"/>
  <c r="V191" i="3"/>
  <c r="W192" i="3" s="1"/>
  <c r="V660" i="3"/>
  <c r="W661" i="3" s="1"/>
  <c r="V165" i="3"/>
  <c r="W166" i="3" s="1"/>
  <c r="V159" i="3"/>
  <c r="W160" i="3" s="1"/>
  <c r="V68" i="3"/>
  <c r="W69" i="3" s="1"/>
  <c r="Y1009" i="3"/>
  <c r="Z1010" i="3" s="1"/>
  <c r="Y1012" i="3"/>
  <c r="Z1013" i="3" s="1"/>
  <c r="Y918" i="3"/>
  <c r="Z919" i="3" s="1"/>
  <c r="Y226" i="3"/>
  <c r="Z227" i="3" s="1"/>
  <c r="Y220" i="3"/>
  <c r="Z221" i="3" s="1"/>
  <c r="Y1194" i="3"/>
  <c r="Z1195" i="3" s="1"/>
  <c r="Y902" i="3"/>
  <c r="Z903" i="3" s="1"/>
  <c r="Y1066" i="3"/>
  <c r="Z1067" i="3" s="1"/>
  <c r="Y1178" i="3"/>
  <c r="Z1179" i="3" s="1"/>
  <c r="Y353" i="3"/>
  <c r="Z354" i="3" s="1"/>
  <c r="Y139" i="3"/>
  <c r="Z140" i="3" s="1"/>
  <c r="Y1162" i="3"/>
  <c r="Z1163" i="3" s="1"/>
  <c r="Y641" i="3"/>
  <c r="Z642" i="3" s="1"/>
  <c r="Y703" i="3"/>
  <c r="Z704" i="3" s="1"/>
  <c r="Y410" i="3"/>
  <c r="Z411" i="3" s="1"/>
  <c r="V548" i="3"/>
  <c r="W549" i="3" s="1"/>
  <c r="V473" i="3"/>
  <c r="W474" i="3" s="1"/>
  <c r="Y838" i="3"/>
  <c r="Z839" i="3" s="1"/>
  <c r="V865" i="3"/>
  <c r="W866" i="3" s="1"/>
  <c r="V583" i="3"/>
  <c r="W584" i="3" s="1"/>
  <c r="Y947" i="3"/>
  <c r="Z948" i="3" s="1"/>
  <c r="V290" i="3"/>
  <c r="W291" i="3" s="1"/>
  <c r="V214" i="3"/>
  <c r="W215" i="3" s="1"/>
  <c r="V760" i="3"/>
  <c r="W761" i="3" s="1"/>
  <c r="Y729" i="3"/>
  <c r="Z730" i="3" s="1"/>
  <c r="Y1084" i="3"/>
  <c r="Z1085" i="3" s="1"/>
  <c r="Y804" i="3"/>
  <c r="Z805" i="3" s="1"/>
  <c r="Y1130" i="3"/>
  <c r="Z1131" i="3" s="1"/>
  <c r="Y1052" i="3"/>
  <c r="Z1053" i="3" s="1"/>
  <c r="Y727" i="3"/>
  <c r="Z728" i="3" s="1"/>
  <c r="Y654" i="3"/>
  <c r="Z655" i="3" s="1"/>
  <c r="V412" i="3"/>
  <c r="W413" i="3" s="1"/>
  <c r="V981" i="3"/>
  <c r="W982" i="3" s="1"/>
  <c r="V982" i="3"/>
  <c r="W983" i="3" s="1"/>
  <c r="V816" i="3"/>
  <c r="W817" i="3" s="1"/>
  <c r="V817" i="3"/>
  <c r="W818" i="3" s="1"/>
  <c r="V1181" i="3"/>
  <c r="W1182" i="3" s="1"/>
  <c r="V1182" i="3"/>
  <c r="W1183" i="3" s="1"/>
  <c r="V1123" i="3"/>
  <c r="W1124" i="3" s="1"/>
  <c r="V1124" i="3"/>
  <c r="W1125" i="3" s="1"/>
  <c r="V147" i="3"/>
  <c r="W148" i="3" s="1"/>
  <c r="V148" i="3"/>
  <c r="W149" i="3" s="1"/>
  <c r="Y689" i="3"/>
  <c r="Z690" i="3" s="1"/>
  <c r="Y545" i="3"/>
  <c r="Z546" i="3" s="1"/>
  <c r="V296" i="3"/>
  <c r="W297" i="3" s="1"/>
  <c r="V297" i="3"/>
  <c r="W298" i="3" s="1"/>
  <c r="V667" i="3"/>
  <c r="W668" i="3" s="1"/>
  <c r="V668" i="3"/>
  <c r="W669" i="3" s="1"/>
  <c r="V244" i="3"/>
  <c r="W245" i="3" s="1"/>
  <c r="V245" i="3"/>
  <c r="W246" i="3" s="1"/>
  <c r="V280" i="3"/>
  <c r="W281" i="3" s="1"/>
  <c r="V279" i="3"/>
  <c r="W280" i="3" s="1"/>
  <c r="V979" i="3"/>
  <c r="W980" i="3" s="1"/>
  <c r="V980" i="3"/>
  <c r="W981" i="3" s="1"/>
  <c r="V832" i="3"/>
  <c r="W833" i="3" s="1"/>
  <c r="V833" i="3"/>
  <c r="W834" i="3" s="1"/>
  <c r="V744" i="3"/>
  <c r="W745" i="3" s="1"/>
  <c r="V743" i="3"/>
  <c r="W744" i="3" s="1"/>
  <c r="V1105" i="3"/>
  <c r="W1106" i="3" s="1"/>
  <c r="V626" i="3"/>
  <c r="W627" i="3" s="1"/>
  <c r="V627" i="3"/>
  <c r="W628" i="3" s="1"/>
  <c r="V888" i="3"/>
  <c r="W889" i="3" s="1"/>
  <c r="V1027" i="3"/>
  <c r="W1028" i="3" s="1"/>
  <c r="V1028" i="3"/>
  <c r="W1029" i="3" s="1"/>
  <c r="V818" i="3"/>
  <c r="W819" i="3" s="1"/>
  <c r="V819" i="3"/>
  <c r="W820" i="3" s="1"/>
  <c r="V1149" i="3"/>
  <c r="W1150" i="3" s="1"/>
  <c r="V608" i="3"/>
  <c r="W609" i="3" s="1"/>
  <c r="V609" i="3"/>
  <c r="W610" i="3" s="1"/>
  <c r="V661" i="3"/>
  <c r="W662" i="3" s="1"/>
  <c r="V662" i="3"/>
  <c r="W663" i="3" s="1"/>
  <c r="V71" i="3"/>
  <c r="W72" i="3" s="1"/>
  <c r="V70" i="3"/>
  <c r="W71" i="3" s="1"/>
  <c r="V895" i="3"/>
  <c r="W896" i="3" s="1"/>
  <c r="V896" i="3"/>
  <c r="W897" i="3" s="1"/>
  <c r="V1061" i="3"/>
  <c r="W1062" i="3" s="1"/>
  <c r="V1062" i="3"/>
  <c r="W1063" i="3" s="1"/>
  <c r="V800" i="3"/>
  <c r="W801" i="3" s="1"/>
  <c r="V799" i="3"/>
  <c r="W800" i="3" s="1"/>
  <c r="V536" i="3"/>
  <c r="W537" i="3" s="1"/>
  <c r="V535" i="3"/>
  <c r="W536" i="3" s="1"/>
  <c r="V1177" i="3"/>
  <c r="W1178" i="3" s="1"/>
  <c r="V1178" i="3"/>
  <c r="W1179" i="3" s="1"/>
  <c r="V1128" i="3"/>
  <c r="W1129" i="3" s="1"/>
  <c r="V1129" i="3"/>
  <c r="W1130" i="3" s="1"/>
  <c r="V930" i="3"/>
  <c r="W931" i="3" s="1"/>
  <c r="V1053" i="3"/>
  <c r="W1054" i="3" s="1"/>
  <c r="V1054" i="3"/>
  <c r="W1055" i="3" s="1"/>
  <c r="V794" i="3"/>
  <c r="W795" i="3" s="1"/>
  <c r="V795" i="3"/>
  <c r="W796" i="3" s="1"/>
  <c r="V721" i="3"/>
  <c r="W722" i="3" s="1"/>
  <c r="V722" i="3"/>
  <c r="W723" i="3" s="1"/>
  <c r="V811" i="3"/>
  <c r="W812" i="3" s="1"/>
  <c r="V571" i="3"/>
  <c r="W572" i="3" s="1"/>
  <c r="V572" i="3"/>
  <c r="W573" i="3" s="1"/>
  <c r="V708" i="3"/>
  <c r="W709" i="3" s="1"/>
  <c r="V709" i="3"/>
  <c r="W710" i="3" s="1"/>
  <c r="V77" i="3"/>
  <c r="W78" i="3" s="1"/>
  <c r="V78" i="3"/>
  <c r="W79" i="3" s="1"/>
  <c r="V932" i="3"/>
  <c r="W933" i="3" s="1"/>
  <c r="V640" i="3"/>
  <c r="W641" i="3" s="1"/>
  <c r="V639" i="3"/>
  <c r="W640" i="3" s="1"/>
  <c r="V475" i="3"/>
  <c r="W476" i="3" s="1"/>
  <c r="V474" i="3"/>
  <c r="W475" i="3" s="1"/>
  <c r="V219" i="3"/>
  <c r="W220" i="3" s="1"/>
  <c r="V218" i="3"/>
  <c r="W219" i="3" s="1"/>
  <c r="V220" i="3"/>
  <c r="W221" i="3" s="1"/>
  <c r="V221" i="3"/>
  <c r="W222" i="3" s="1"/>
  <c r="V880" i="3"/>
  <c r="W881" i="3" s="1"/>
  <c r="V881" i="3"/>
  <c r="W882" i="3" s="1"/>
  <c r="V711" i="3"/>
  <c r="W712" i="3" s="1"/>
  <c r="V375" i="3"/>
  <c r="W376" i="3" s="1"/>
  <c r="V486" i="3"/>
  <c r="W487" i="3" s="1"/>
  <c r="V485" i="3"/>
  <c r="W486" i="3" s="1"/>
  <c r="V1059" i="3"/>
  <c r="W1060" i="3" s="1"/>
  <c r="V1165" i="3"/>
  <c r="W1166" i="3" s="1"/>
  <c r="V41" i="3"/>
  <c r="W42" i="3" s="1"/>
  <c r="V42" i="3"/>
  <c r="W43" i="3" s="1"/>
  <c r="V167" i="3"/>
  <c r="W168" i="3" s="1"/>
  <c r="V168" i="3"/>
  <c r="W169" i="3" s="1"/>
  <c r="V652" i="3"/>
  <c r="W653" i="3" s="1"/>
  <c r="V653" i="3"/>
  <c r="W654" i="3" s="1"/>
  <c r="V902" i="3"/>
  <c r="W903" i="3" s="1"/>
  <c r="V901" i="3"/>
  <c r="W902" i="3" s="1"/>
  <c r="V387" i="3"/>
  <c r="W388" i="3" s="1"/>
  <c r="V388" i="3"/>
  <c r="W389" i="3" s="1"/>
  <c r="V1099" i="3"/>
  <c r="W1100" i="3" s="1"/>
  <c r="V1100" i="3"/>
  <c r="W1101" i="3" s="1"/>
  <c r="V236" i="3"/>
  <c r="W237" i="3" s="1"/>
  <c r="V237" i="3"/>
  <c r="W238" i="3" s="1"/>
  <c r="V230" i="3"/>
  <c r="W231" i="3" s="1"/>
  <c r="V231" i="3"/>
  <c r="W232" i="3" s="1"/>
  <c r="V144" i="3"/>
  <c r="W145" i="3" s="1"/>
  <c r="V145" i="3"/>
  <c r="W146" i="3" s="1"/>
  <c r="V339" i="3"/>
  <c r="W340" i="3" s="1"/>
  <c r="V338" i="3"/>
  <c r="W339" i="3" s="1"/>
  <c r="V137" i="3"/>
  <c r="W138" i="3" s="1"/>
  <c r="V138" i="3"/>
  <c r="W139" i="3" s="1"/>
  <c r="V367" i="3"/>
  <c r="W368" i="3" s="1"/>
  <c r="V368" i="3"/>
  <c r="W369" i="3" s="1"/>
  <c r="V303" i="3"/>
  <c r="W304" i="3" s="1"/>
  <c r="V600" i="3"/>
  <c r="W601" i="3" s="1"/>
  <c r="V1060" i="3"/>
  <c r="W1061" i="3" s="1"/>
  <c r="V26" i="3"/>
  <c r="W27" i="3" s="1"/>
  <c r="V27" i="3"/>
  <c r="W28" i="3" s="1"/>
  <c r="V1192" i="3"/>
  <c r="W1193" i="3" s="1"/>
  <c r="V1191" i="3"/>
  <c r="W1192" i="3" s="1"/>
  <c r="V748" i="3"/>
  <c r="W749" i="3" s="1"/>
  <c r="V747" i="3"/>
  <c r="W748" i="3" s="1"/>
  <c r="V1135" i="3"/>
  <c r="W1136" i="3" s="1"/>
  <c r="V1136" i="3"/>
  <c r="W1137" i="3" s="1"/>
  <c r="V1002" i="3"/>
  <c r="W1003" i="3" s="1"/>
  <c r="V1003" i="3"/>
  <c r="W1004" i="3" s="1"/>
  <c r="V836" i="3"/>
  <c r="W837" i="3" s="1"/>
  <c r="V837" i="3"/>
  <c r="W838" i="3" s="1"/>
  <c r="V1145" i="3"/>
  <c r="W1146" i="3" s="1"/>
  <c r="V1144" i="3"/>
  <c r="W1145" i="3" s="1"/>
  <c r="V974" i="3"/>
  <c r="W975" i="3" s="1"/>
  <c r="V975" i="3"/>
  <c r="W976" i="3" s="1"/>
  <c r="V222" i="3"/>
  <c r="W223" i="3" s="1"/>
  <c r="V223" i="3"/>
  <c r="W224" i="3" s="1"/>
  <c r="V1107" i="3"/>
  <c r="W1108" i="3" s="1"/>
  <c r="V1106" i="3"/>
  <c r="W1107" i="3" s="1"/>
  <c r="V321" i="3"/>
  <c r="W322" i="3" s="1"/>
  <c r="V1022" i="3"/>
  <c r="W1023" i="3" s="1"/>
  <c r="V238" i="3"/>
  <c r="W239" i="3" s="1"/>
  <c r="V624" i="3"/>
  <c r="W625" i="3" s="1"/>
  <c r="V458" i="3"/>
  <c r="W459" i="3" s="1"/>
  <c r="V1195" i="3"/>
  <c r="W1196" i="3" s="1"/>
  <c r="V494" i="3"/>
  <c r="W495" i="3" s="1"/>
  <c r="V481" i="3"/>
  <c r="W482" i="3" s="1"/>
  <c r="V480" i="3"/>
  <c r="W481" i="3" s="1"/>
  <c r="V1065" i="3"/>
  <c r="W1066" i="3" s="1"/>
  <c r="V1064" i="3"/>
  <c r="W1065" i="3" s="1"/>
  <c r="V156" i="3"/>
  <c r="W157" i="3" s="1"/>
  <c r="V155" i="3"/>
  <c r="W156" i="3" s="1"/>
  <c r="V281" i="3"/>
  <c r="W282" i="3" s="1"/>
  <c r="V282" i="3"/>
  <c r="W283" i="3" s="1"/>
  <c r="V592" i="3"/>
  <c r="W593" i="3" s="1"/>
  <c r="V593" i="3"/>
  <c r="W594" i="3" s="1"/>
  <c r="V104" i="3"/>
  <c r="W105" i="3" s="1"/>
  <c r="V103" i="3"/>
  <c r="W104" i="3" s="1"/>
  <c r="V1137" i="3"/>
  <c r="W1138" i="3" s="1"/>
  <c r="V1138" i="3"/>
  <c r="W1139" i="3" s="1"/>
  <c r="V898" i="3"/>
  <c r="W899" i="3" s="1"/>
  <c r="V897" i="3"/>
  <c r="W898" i="3" s="1"/>
  <c r="V688" i="3"/>
  <c r="W689" i="3" s="1"/>
  <c r="V689" i="3"/>
  <c r="W690" i="3" s="1"/>
  <c r="V87" i="3"/>
  <c r="W88" i="3" s="1"/>
  <c r="V464" i="3"/>
  <c r="W465" i="3" s="1"/>
  <c r="V488" i="3"/>
  <c r="W489" i="3" s="1"/>
  <c r="V942" i="3"/>
  <c r="W943" i="3" s="1"/>
  <c r="V454" i="3"/>
  <c r="W455" i="3" s="1"/>
  <c r="V351" i="3"/>
  <c r="W352" i="3" s="1"/>
  <c r="V1069" i="3"/>
  <c r="W1070" i="3" s="1"/>
  <c r="V1070" i="3"/>
  <c r="W1071" i="3" s="1"/>
  <c r="V613" i="3"/>
  <c r="W614" i="3" s="1"/>
  <c r="V614" i="3"/>
  <c r="W615" i="3" s="1"/>
  <c r="V565" i="3"/>
  <c r="W566" i="3" s="1"/>
  <c r="V566" i="3"/>
  <c r="W567" i="3" s="1"/>
  <c r="V517" i="3"/>
  <c r="W518" i="3" s="1"/>
  <c r="V518" i="3"/>
  <c r="W519" i="3" s="1"/>
  <c r="V24" i="3"/>
  <c r="W25" i="3" s="1"/>
  <c r="V25" i="3"/>
  <c r="W26" i="3" s="1"/>
  <c r="V862" i="3"/>
  <c r="W863" i="3" s="1"/>
  <c r="V863" i="3"/>
  <c r="W864" i="3" s="1"/>
  <c r="V1072" i="3"/>
  <c r="W1073" i="3" s="1"/>
  <c r="V64" i="3"/>
  <c r="W65" i="3" s="1"/>
  <c r="V1171" i="3"/>
  <c r="W1172" i="3" s="1"/>
  <c r="V442" i="3"/>
  <c r="W443" i="3" s="1"/>
  <c r="V298" i="3"/>
  <c r="W299" i="3" s="1"/>
  <c r="V683" i="3"/>
  <c r="W684" i="3" s="1"/>
  <c r="V274" i="3"/>
  <c r="W275" i="3" s="1"/>
  <c r="V870" i="3"/>
  <c r="W871" i="3" s="1"/>
  <c r="V785" i="3"/>
  <c r="W786" i="3" s="1"/>
  <c r="V786" i="3"/>
  <c r="W787" i="3" s="1"/>
  <c r="V615" i="3"/>
  <c r="W616" i="3" s="1"/>
  <c r="V616" i="3"/>
  <c r="W617" i="3" s="1"/>
  <c r="V1087" i="3"/>
  <c r="W1088" i="3" s="1"/>
  <c r="V1088" i="3"/>
  <c r="W1089" i="3" s="1"/>
  <c r="V656" i="3"/>
  <c r="W657" i="3" s="1"/>
  <c r="V657" i="3"/>
  <c r="W658" i="3" s="1"/>
  <c r="V961" i="3"/>
  <c r="W962" i="3" s="1"/>
  <c r="V962" i="3"/>
  <c r="W963" i="3" s="1"/>
  <c r="V423" i="3"/>
  <c r="W424" i="3" s="1"/>
  <c r="V424" i="3"/>
  <c r="W425" i="3" s="1"/>
  <c r="V558" i="3"/>
  <c r="W559" i="3" s="1"/>
  <c r="V559" i="3"/>
  <c r="W560" i="3" s="1"/>
  <c r="V428" i="3"/>
  <c r="W429" i="3" s="1"/>
  <c r="V1174" i="3"/>
  <c r="W1175" i="3" s="1"/>
  <c r="Y370" i="3"/>
  <c r="Z371" i="3" s="1"/>
  <c r="Y218" i="3"/>
  <c r="Z219" i="3" s="1"/>
  <c r="V674" i="3"/>
  <c r="W675" i="3" s="1"/>
  <c r="V675" i="3"/>
  <c r="W676" i="3" s="1"/>
  <c r="V61" i="3"/>
  <c r="W62" i="3" s="1"/>
  <c r="V21" i="3"/>
  <c r="W22" i="3" s="1"/>
  <c r="V54" i="3"/>
  <c r="W55" i="3" s="1"/>
  <c r="V357" i="3"/>
  <c r="W358" i="3" s="1"/>
  <c r="Y989" i="3"/>
  <c r="Z990" i="3" s="1"/>
  <c r="V936" i="3"/>
  <c r="W937" i="3" s="1"/>
  <c r="V935" i="3"/>
  <c r="W936" i="3" s="1"/>
  <c r="V946" i="3"/>
  <c r="W947" i="3" s="1"/>
  <c r="V947" i="3"/>
  <c r="W948" i="3" s="1"/>
  <c r="V712" i="3"/>
  <c r="W713" i="3" s="1"/>
  <c r="V713" i="3"/>
  <c r="W714" i="3" s="1"/>
  <c r="V48" i="3"/>
  <c r="W49" i="3" s="1"/>
  <c r="V49" i="3"/>
  <c r="W50" i="3" s="1"/>
  <c r="V500" i="3"/>
  <c r="W501" i="3" s="1"/>
  <c r="V499" i="3"/>
  <c r="W500" i="3" s="1"/>
  <c r="V1157" i="3"/>
  <c r="W1158" i="3" s="1"/>
  <c r="V1156" i="3"/>
  <c r="W1157" i="3" s="1"/>
  <c r="V824" i="3"/>
  <c r="W825" i="3" s="1"/>
  <c r="V825" i="3"/>
  <c r="W826" i="3" s="1"/>
  <c r="V987" i="3"/>
  <c r="W988" i="3" s="1"/>
  <c r="V988" i="3"/>
  <c r="W989" i="3" s="1"/>
  <c r="V397" i="3"/>
  <c r="W398" i="3" s="1"/>
  <c r="V398" i="3"/>
  <c r="W399" i="3" s="1"/>
  <c r="V952" i="3"/>
  <c r="W953" i="3" s="1"/>
  <c r="V892" i="3"/>
  <c r="W893" i="3" s="1"/>
  <c r="V893" i="3"/>
  <c r="W894" i="3" s="1"/>
  <c r="V32" i="3"/>
  <c r="W33" i="3" s="1"/>
  <c r="V31" i="3"/>
  <c r="W32" i="3" s="1"/>
  <c r="V293" i="3"/>
  <c r="W294" i="3" s="1"/>
  <c r="Y1104" i="3"/>
  <c r="Z1105" i="3" s="1"/>
  <c r="V269" i="3"/>
  <c r="W270" i="3" s="1"/>
  <c r="V333" i="3"/>
  <c r="W334" i="3" s="1"/>
  <c r="V774" i="3"/>
  <c r="W775" i="3" s="1"/>
  <c r="V1007" i="3"/>
  <c r="W1008" i="3" s="1"/>
  <c r="V522" i="3"/>
  <c r="W523" i="3" s="1"/>
  <c r="V523" i="3"/>
  <c r="W524" i="3" s="1"/>
  <c r="V182" i="3"/>
  <c r="W183" i="3" s="1"/>
  <c r="V183" i="3"/>
  <c r="W184" i="3" s="1"/>
  <c r="V578" i="3"/>
  <c r="W579" i="3" s="1"/>
  <c r="V579" i="3"/>
  <c r="W580" i="3" s="1"/>
  <c r="V37" i="3"/>
  <c r="W38" i="3" s="1"/>
  <c r="V38" i="3"/>
  <c r="W39" i="3" s="1"/>
  <c r="V1113" i="3"/>
  <c r="W1114" i="3" s="1"/>
  <c r="V1114" i="3"/>
  <c r="W1115" i="3" s="1"/>
  <c r="V286" i="3"/>
  <c r="W287" i="3" s="1"/>
  <c r="V287" i="3"/>
  <c r="W288" i="3" s="1"/>
  <c r="V985" i="3"/>
  <c r="W986" i="3" s="1"/>
  <c r="V554" i="3"/>
  <c r="W555" i="3" s="1"/>
  <c r="V314" i="3"/>
  <c r="W315" i="3" s="1"/>
  <c r="V75" i="3"/>
  <c r="W76" i="3" s="1"/>
  <c r="V1169" i="3"/>
  <c r="W1170" i="3" s="1"/>
  <c r="V672" i="3"/>
  <c r="W673" i="3" s="1"/>
  <c r="V765" i="3"/>
  <c r="W766" i="3" s="1"/>
  <c r="V1161" i="3"/>
  <c r="W1162" i="3" s="1"/>
  <c r="V406" i="3"/>
  <c r="W407" i="3" s="1"/>
  <c r="V16" i="3"/>
  <c r="W17" i="3" s="1"/>
  <c r="V569" i="3"/>
  <c r="W570" i="3" s="1"/>
  <c r="Y1075" i="3"/>
  <c r="Z1076" i="3" s="1"/>
  <c r="Y458" i="3"/>
  <c r="Z459" i="3" s="1"/>
  <c r="Y851" i="3"/>
  <c r="Z852" i="3" s="1"/>
  <c r="Y1029" i="3"/>
  <c r="Z1030" i="3" s="1"/>
  <c r="Y840" i="3"/>
  <c r="Z841" i="3" s="1"/>
  <c r="Y1007" i="3"/>
  <c r="Z1008" i="3" s="1"/>
  <c r="Y1088" i="3"/>
  <c r="Z1089" i="3" s="1"/>
  <c r="V570" i="3"/>
  <c r="W571" i="3" s="1"/>
  <c r="V994" i="3"/>
  <c r="W995" i="3" s="1"/>
  <c r="V187" i="3"/>
  <c r="W188" i="3" s="1"/>
  <c r="V997" i="3"/>
  <c r="W998" i="3" s="1"/>
  <c r="V831" i="3"/>
  <c r="W832" i="3" s="1"/>
  <c r="V787" i="3"/>
  <c r="W788" i="3" s="1"/>
  <c r="V933" i="3"/>
  <c r="W934" i="3" s="1"/>
  <c r="V953" i="3"/>
  <c r="W954" i="3" s="1"/>
  <c r="V752" i="3"/>
  <c r="W753" i="3" s="1"/>
  <c r="V791" i="3"/>
  <c r="W792" i="3" s="1"/>
  <c r="V848" i="3"/>
  <c r="W849" i="3" s="1"/>
  <c r="V1035" i="3"/>
  <c r="W1036" i="3" s="1"/>
  <c r="V267" i="3"/>
  <c r="W268" i="3" s="1"/>
  <c r="V205" i="3"/>
  <c r="W206" i="3" s="1"/>
  <c r="V789" i="3"/>
  <c r="W790" i="3" s="1"/>
  <c r="V547" i="3"/>
  <c r="W548" i="3" s="1"/>
  <c r="V1076" i="3"/>
  <c r="W1077" i="3" s="1"/>
  <c r="V34" i="3"/>
  <c r="W35" i="3" s="1"/>
  <c r="V251" i="3"/>
  <c r="W252" i="3" s="1"/>
  <c r="V886" i="3"/>
  <c r="W887" i="3" s="1"/>
  <c r="V822" i="3"/>
  <c r="W823" i="3" s="1"/>
  <c r="V88" i="3"/>
  <c r="W89" i="3" s="1"/>
  <c r="V491" i="3"/>
  <c r="W492" i="3" s="1"/>
  <c r="V1029" i="3"/>
  <c r="W1030" i="3" s="1"/>
  <c r="V1150" i="3"/>
  <c r="W1151" i="3" s="1"/>
  <c r="V272" i="3"/>
  <c r="W273" i="3" s="1"/>
  <c r="V332" i="3"/>
  <c r="W333" i="3" s="1"/>
  <c r="Y759" i="3"/>
  <c r="Z760" i="3" s="1"/>
  <c r="Y1209" i="3"/>
  <c r="Z1210" i="3" s="1"/>
  <c r="Y948" i="3"/>
  <c r="Z949" i="3" s="1"/>
  <c r="Y773" i="3"/>
  <c r="Z774" i="3" s="1"/>
  <c r="Y1115" i="3"/>
  <c r="Z1116" i="3" s="1"/>
  <c r="Y1193" i="3"/>
  <c r="Z1194" i="3" s="1"/>
  <c r="Y1206" i="3"/>
  <c r="Z1207" i="3" s="1"/>
  <c r="Y803" i="3"/>
  <c r="Z804" i="3" s="1"/>
  <c r="Y1139" i="3"/>
  <c r="Z1140" i="3" s="1"/>
  <c r="Y963" i="3"/>
  <c r="Z964" i="3" s="1"/>
  <c r="V1133" i="3"/>
  <c r="W1134" i="3" s="1"/>
  <c r="V703" i="3"/>
  <c r="W704" i="3" s="1"/>
  <c r="V58" i="3"/>
  <c r="W59" i="3" s="1"/>
  <c r="V1052" i="3"/>
  <c r="W1053" i="3" s="1"/>
  <c r="V768" i="3"/>
  <c r="W769" i="3" s="1"/>
  <c r="V601" i="3"/>
  <c r="W602" i="3" s="1"/>
  <c r="V928" i="3"/>
  <c r="W929" i="3" s="1"/>
  <c r="V736" i="3"/>
  <c r="W737" i="3" s="1"/>
  <c r="V940" i="3"/>
  <c r="W941" i="3" s="1"/>
  <c r="V430" i="3"/>
  <c r="W431" i="3" s="1"/>
  <c r="V723" i="3"/>
  <c r="W724" i="3" s="1"/>
  <c r="V335" i="3"/>
  <c r="W336" i="3" s="1"/>
  <c r="V874" i="3"/>
  <c r="W875" i="3" s="1"/>
  <c r="V81" i="3"/>
  <c r="W82" i="3" s="1"/>
  <c r="V394" i="3"/>
  <c r="W395" i="3" s="1"/>
  <c r="V392" i="3"/>
  <c r="W393" i="3" s="1"/>
  <c r="V564" i="3"/>
  <c r="W565" i="3" s="1"/>
  <c r="V216" i="3"/>
  <c r="W217" i="3" s="1"/>
  <c r="V184" i="3"/>
  <c r="W185" i="3" s="1"/>
  <c r="V402" i="3"/>
  <c r="W403" i="3" s="1"/>
  <c r="V28" i="3"/>
  <c r="W29" i="3" s="1"/>
  <c r="V169" i="3"/>
  <c r="W170" i="3" s="1"/>
  <c r="V538" i="3"/>
  <c r="W539" i="3" s="1"/>
  <c r="V1204" i="3"/>
  <c r="W1205" i="3" s="1"/>
  <c r="V680" i="3"/>
  <c r="W681" i="3" s="1"/>
  <c r="V379" i="3"/>
  <c r="W380" i="3" s="1"/>
  <c r="V509" i="3"/>
  <c r="W510" i="3" s="1"/>
  <c r="V163" i="3"/>
  <c r="W164" i="3" s="1"/>
  <c r="V308" i="3"/>
  <c r="W309" i="3" s="1"/>
  <c r="Y1040" i="3"/>
  <c r="Z1041" i="3" s="1"/>
  <c r="Y953" i="3"/>
  <c r="Z954" i="3" s="1"/>
  <c r="Y921" i="3"/>
  <c r="Z922" i="3" s="1"/>
  <c r="Y521" i="3"/>
  <c r="Z522" i="3" s="1"/>
  <c r="Y512" i="3"/>
  <c r="Z513" i="3" s="1"/>
  <c r="Y437" i="3"/>
  <c r="Z438" i="3" s="1"/>
  <c r="Y857" i="3"/>
  <c r="Z858" i="3" s="1"/>
  <c r="Y433" i="3"/>
  <c r="Z434" i="3" s="1"/>
  <c r="V1212" i="3"/>
  <c r="W1213" i="3" s="1"/>
  <c r="V106" i="3"/>
  <c r="W107" i="3" s="1"/>
  <c r="V1115" i="3"/>
  <c r="W1116" i="3" s="1"/>
  <c r="V925" i="3"/>
  <c r="W926" i="3" s="1"/>
  <c r="V201" i="3"/>
  <c r="W202" i="3" s="1"/>
  <c r="V315" i="3"/>
  <c r="W316" i="3" s="1"/>
  <c r="V851" i="3"/>
  <c r="W852" i="3" s="1"/>
  <c r="V434" i="3"/>
  <c r="W435" i="3" s="1"/>
  <c r="V763" i="3"/>
  <c r="W764" i="3" s="1"/>
  <c r="V1207" i="3"/>
  <c r="W1208" i="3" s="1"/>
  <c r="V913" i="3"/>
  <c r="W914" i="3" s="1"/>
  <c r="V1084" i="3"/>
  <c r="W1085" i="3" s="1"/>
  <c r="V140" i="3"/>
  <c r="W141" i="3" s="1"/>
  <c r="V459" i="3"/>
  <c r="W460" i="3" s="1"/>
  <c r="V701" i="3"/>
  <c r="W702" i="3" s="1"/>
  <c r="V1201" i="3"/>
  <c r="W1202" i="3" s="1"/>
  <c r="V784" i="3"/>
  <c r="W785" i="3" s="1"/>
  <c r="V383" i="3"/>
  <c r="W384" i="3" s="1"/>
  <c r="V173" i="3"/>
  <c r="W174" i="3" s="1"/>
  <c r="V294" i="3"/>
  <c r="W295" i="3" s="1"/>
  <c r="V212" i="3"/>
  <c r="W213" i="3" s="1"/>
  <c r="V396" i="3"/>
  <c r="W397" i="3" s="1"/>
  <c r="V390" i="3"/>
  <c r="W391" i="3" s="1"/>
  <c r="V324" i="3"/>
  <c r="W325" i="3" s="1"/>
  <c r="V467" i="3"/>
  <c r="W468" i="3" s="1"/>
  <c r="V407" i="3"/>
  <c r="W408" i="3" s="1"/>
  <c r="Y810" i="3"/>
  <c r="Z811" i="3" s="1"/>
  <c r="Y283" i="3"/>
  <c r="Z284" i="3" s="1"/>
  <c r="Y915" i="3"/>
  <c r="Z916" i="3" s="1"/>
  <c r="Y1188" i="3"/>
  <c r="Z1189" i="3" s="1"/>
  <c r="Y679" i="3"/>
  <c r="Z680" i="3" s="1"/>
  <c r="Y783" i="3"/>
  <c r="Z784" i="3" s="1"/>
  <c r="Y481" i="3"/>
  <c r="Z482" i="3" s="1"/>
  <c r="Y176" i="3"/>
  <c r="Z177" i="3" s="1"/>
  <c r="Y343" i="3"/>
  <c r="Z344" i="3" s="1"/>
  <c r="Y510" i="3"/>
  <c r="Z511" i="3" s="1"/>
  <c r="Y677" i="3"/>
  <c r="Z678" i="3" s="1"/>
  <c r="Y165" i="3"/>
  <c r="Z166" i="3" s="1"/>
  <c r="Y145" i="3"/>
  <c r="Z146" i="3" s="1"/>
  <c r="V580" i="3"/>
  <c r="W581" i="3" s="1"/>
  <c r="V533" i="3"/>
  <c r="W534" i="3" s="1"/>
  <c r="V450" i="3"/>
  <c r="W451" i="3" s="1"/>
  <c r="V1037" i="3"/>
  <c r="W1038" i="3" s="1"/>
  <c r="V555" i="3"/>
  <c r="W556" i="3" s="1"/>
  <c r="V1082" i="3"/>
  <c r="W1083" i="3" s="1"/>
  <c r="V1196" i="3"/>
  <c r="W1197" i="3" s="1"/>
  <c r="V969" i="3"/>
  <c r="W970" i="3" s="1"/>
  <c r="V960" i="3"/>
  <c r="W961" i="3" s="1"/>
  <c r="V775" i="3"/>
  <c r="W776" i="3" s="1"/>
  <c r="V1193" i="3"/>
  <c r="W1194" i="3" s="1"/>
  <c r="V776" i="3"/>
  <c r="W777" i="3" s="1"/>
  <c r="V905" i="3"/>
  <c r="W906" i="3" s="1"/>
  <c r="V371" i="3"/>
  <c r="W372" i="3" s="1"/>
  <c r="V115" i="3"/>
  <c r="W116" i="3" s="1"/>
  <c r="V345" i="3"/>
  <c r="W346" i="3" s="1"/>
  <c r="V112" i="3"/>
  <c r="W113" i="3" s="1"/>
  <c r="V1019" i="3"/>
  <c r="W1020" i="3" s="1"/>
  <c r="V177" i="3"/>
  <c r="W178" i="3" s="1"/>
  <c r="V678" i="3"/>
  <c r="W679" i="3" s="1"/>
  <c r="V196" i="3"/>
  <c r="W197" i="3" s="1"/>
  <c r="V51" i="3"/>
  <c r="W52" i="3" s="1"/>
  <c r="V117" i="3"/>
  <c r="W118" i="3" s="1"/>
  <c r="V47" i="3"/>
  <c r="W48" i="3" s="1"/>
  <c r="V1078" i="3"/>
  <c r="W1079" i="3" s="1"/>
  <c r="V556" i="3"/>
  <c r="W557" i="3" s="1"/>
  <c r="V550" i="3"/>
  <c r="W551" i="3" s="1"/>
  <c r="V340" i="3"/>
  <c r="W341" i="3" s="1"/>
  <c r="V185" i="3"/>
  <c r="W186" i="3" s="1"/>
  <c r="V859" i="3"/>
  <c r="W860" i="3" s="1"/>
  <c r="V316" i="3"/>
  <c r="W317" i="3" s="1"/>
  <c r="V192" i="3"/>
  <c r="W193" i="3" s="1"/>
  <c r="V93" i="3"/>
  <c r="W94" i="3" s="1"/>
  <c r="Y624" i="3"/>
  <c r="Z625" i="3" s="1"/>
  <c r="Y695" i="3"/>
  <c r="Z696" i="3" s="1"/>
  <c r="Y1080" i="3"/>
  <c r="Z1081" i="3" s="1"/>
  <c r="Y167" i="3"/>
  <c r="Z168" i="3" s="1"/>
  <c r="Y1124" i="3"/>
  <c r="Z1125" i="3" s="1"/>
  <c r="Y1150" i="3"/>
  <c r="Z1151" i="3" s="1"/>
  <c r="Y845" i="3"/>
  <c r="Z846" i="3" s="1"/>
  <c r="Y719" i="3"/>
  <c r="Z720" i="3" s="1"/>
  <c r="Y980" i="3"/>
  <c r="Z981" i="3" s="1"/>
  <c r="Y938" i="3"/>
  <c r="Z939" i="3" s="1"/>
  <c r="Y1004" i="3"/>
  <c r="Z1005" i="3" s="1"/>
  <c r="Y403" i="3"/>
  <c r="Z404" i="3" s="1"/>
  <c r="Y233" i="3"/>
  <c r="Z234" i="3" s="1"/>
  <c r="Y312" i="3"/>
  <c r="Z313" i="3" s="1"/>
  <c r="Y479" i="3"/>
  <c r="Z480" i="3" s="1"/>
  <c r="Y646" i="3"/>
  <c r="Z647" i="3" s="1"/>
  <c r="Y134" i="3"/>
  <c r="Z135" i="3" s="1"/>
  <c r="Y301" i="3"/>
  <c r="Z302" i="3" s="1"/>
  <c r="Y379" i="3"/>
  <c r="Z380" i="3" s="1"/>
  <c r="Y33" i="3"/>
  <c r="Z34" i="3" s="1"/>
  <c r="Y112" i="3"/>
  <c r="Z113" i="3" s="1"/>
  <c r="Y279" i="3"/>
  <c r="Z280" i="3" s="1"/>
  <c r="Y446" i="3"/>
  <c r="Z447" i="3" s="1"/>
  <c r="Y613" i="3"/>
  <c r="Z614" i="3" s="1"/>
  <c r="Y101" i="3"/>
  <c r="Z102" i="3" s="1"/>
  <c r="Y106" i="3"/>
  <c r="Z107" i="3" s="1"/>
  <c r="Y81" i="3"/>
  <c r="Z82" i="3" s="1"/>
  <c r="Y322" i="3"/>
  <c r="Z323" i="3" s="1"/>
  <c r="Y298" i="3"/>
  <c r="Z299" i="3" s="1"/>
  <c r="V445" i="3"/>
  <c r="W446" i="3" s="1"/>
  <c r="V1040" i="3"/>
  <c r="W1041" i="3" s="1"/>
  <c r="V835" i="3"/>
  <c r="W836" i="3" s="1"/>
  <c r="V725" i="3"/>
  <c r="W726" i="3" s="1"/>
  <c r="V957" i="3"/>
  <c r="W958" i="3" s="1"/>
  <c r="V1184" i="3"/>
  <c r="W1185" i="3" s="1"/>
  <c r="V879" i="3"/>
  <c r="W880" i="3" s="1"/>
  <c r="V1152" i="3"/>
  <c r="W1153" i="3" s="1"/>
  <c r="V1162" i="3"/>
  <c r="W1163" i="3" s="1"/>
  <c r="V919" i="3"/>
  <c r="W920" i="3" s="1"/>
  <c r="V1112" i="3"/>
  <c r="W1113" i="3" s="1"/>
  <c r="V782" i="3"/>
  <c r="W783" i="3" s="1"/>
  <c r="V636" i="3"/>
  <c r="W637" i="3" s="1"/>
  <c r="V876" i="3"/>
  <c r="W877" i="3" s="1"/>
  <c r="V852" i="3"/>
  <c r="W853" i="3" s="1"/>
  <c r="V739" i="3"/>
  <c r="W740" i="3" s="1"/>
  <c r="V705" i="3"/>
  <c r="W706" i="3" s="1"/>
  <c r="V1158" i="3"/>
  <c r="W1159" i="3" s="1"/>
  <c r="V1118" i="3"/>
  <c r="W1119" i="3" s="1"/>
  <c r="V706" i="3"/>
  <c r="W707" i="3" s="1"/>
  <c r="V139" i="3"/>
  <c r="W140" i="3" s="1"/>
  <c r="V618" i="3"/>
  <c r="W619" i="3" s="1"/>
  <c r="V127" i="3"/>
  <c r="W128" i="3" s="1"/>
  <c r="V889" i="3"/>
  <c r="W890" i="3" s="1"/>
  <c r="V376" i="3"/>
  <c r="W377" i="3" s="1"/>
  <c r="V545" i="3"/>
  <c r="W546" i="3" s="1"/>
  <c r="V669" i="3"/>
  <c r="W670" i="3" s="1"/>
  <c r="V844" i="3"/>
  <c r="W845" i="3" s="1"/>
  <c r="V507" i="3"/>
  <c r="W508" i="3" s="1"/>
  <c r="V151" i="3"/>
  <c r="W152" i="3" s="1"/>
  <c r="V670" i="3"/>
  <c r="W671" i="3" s="1"/>
  <c r="V1042" i="3"/>
  <c r="W1043" i="3" s="1"/>
  <c r="V682" i="3"/>
  <c r="W683" i="3" s="1"/>
  <c r="V175" i="3"/>
  <c r="W176" i="3" s="1"/>
  <c r="V359" i="3"/>
  <c r="W360" i="3" s="1"/>
  <c r="Y862" i="3"/>
  <c r="Z863" i="3" s="1"/>
  <c r="Y972" i="3"/>
  <c r="Z973" i="3" s="1"/>
  <c r="Y664" i="3"/>
  <c r="Z665" i="3" s="1"/>
  <c r="Y940" i="3"/>
  <c r="Z941" i="3" s="1"/>
  <c r="Y1177" i="3"/>
  <c r="Z1178" i="3" s="1"/>
  <c r="Y334" i="3"/>
  <c r="Z335" i="3" s="1"/>
  <c r="Y763" i="3"/>
  <c r="Z764" i="3" s="1"/>
  <c r="Y908" i="3"/>
  <c r="Z909" i="3" s="1"/>
  <c r="Y66" i="3"/>
  <c r="Z67" i="3" s="1"/>
  <c r="V1102" i="3"/>
  <c r="W1103" i="3" s="1"/>
  <c r="V438" i="3"/>
  <c r="W439" i="3" s="1"/>
  <c r="V74" i="3"/>
  <c r="W75" i="3" s="1"/>
  <c r="V1120" i="3"/>
  <c r="W1121" i="3" s="1"/>
  <c r="V484" i="3"/>
  <c r="W485" i="3" s="1"/>
  <c r="V1067" i="3"/>
  <c r="W1068" i="3" s="1"/>
  <c r="V916" i="3"/>
  <c r="W917" i="3" s="1"/>
  <c r="V976" i="3"/>
  <c r="W977" i="3" s="1"/>
  <c r="V590" i="3"/>
  <c r="W591" i="3" s="1"/>
  <c r="V1187" i="3"/>
  <c r="W1188" i="3" s="1"/>
  <c r="V1005" i="3"/>
  <c r="W1006" i="3" s="1"/>
  <c r="V750" i="3"/>
  <c r="W751" i="3" s="1"/>
  <c r="V1024" i="3"/>
  <c r="W1025" i="3" s="1"/>
  <c r="V496" i="3"/>
  <c r="W497" i="3" s="1"/>
  <c r="V99" i="3"/>
  <c r="W100" i="3" s="1"/>
  <c r="V718" i="3"/>
  <c r="W719" i="3" s="1"/>
  <c r="V821" i="3"/>
  <c r="W822" i="3" s="1"/>
  <c r="V160" i="3"/>
  <c r="W161" i="3" s="1"/>
  <c r="V385" i="3"/>
  <c r="W386" i="3" s="1"/>
  <c r="V596" i="3"/>
  <c r="W597" i="3" s="1"/>
  <c r="V125" i="3"/>
  <c r="W126" i="3" s="1"/>
  <c r="V649" i="3"/>
  <c r="W650" i="3" s="1"/>
  <c r="V923" i="3"/>
  <c r="W924" i="3" s="1"/>
  <c r="V72" i="3"/>
  <c r="W73" i="3" s="1"/>
  <c r="V19" i="3"/>
  <c r="W20" i="3" s="1"/>
  <c r="V310" i="3"/>
  <c r="W311" i="3" s="1"/>
  <c r="V1017" i="3"/>
  <c r="W1018" i="3" s="1"/>
  <c r="V342" i="3"/>
  <c r="W343" i="3" s="1"/>
  <c r="Y246" i="3"/>
  <c r="Z247" i="3" s="1"/>
  <c r="Y413" i="3"/>
  <c r="Z414" i="3" s="1"/>
  <c r="Y116" i="3"/>
  <c r="Z117" i="3" s="1"/>
  <c r="Y1059" i="3"/>
  <c r="Z1060" i="3" s="1"/>
  <c r="Y1118" i="3"/>
  <c r="Z1119" i="3" s="1"/>
  <c r="Y587" i="3"/>
  <c r="Z588" i="3" s="1"/>
  <c r="Y844" i="3"/>
  <c r="Z845" i="3" s="1"/>
  <c r="Y1121" i="3"/>
  <c r="Z1122" i="3" s="1"/>
  <c r="Y739" i="3"/>
  <c r="Z740" i="3" s="1"/>
  <c r="Y1038" i="3"/>
  <c r="Z1039" i="3" s="1"/>
  <c r="Y812" i="3"/>
  <c r="Z813" i="3" s="1"/>
  <c r="Y448" i="3"/>
  <c r="Z449" i="3" s="1"/>
  <c r="Y772" i="3"/>
  <c r="Z773" i="3" s="1"/>
  <c r="Y457" i="3"/>
  <c r="Z458" i="3" s="1"/>
  <c r="Y860" i="3"/>
  <c r="Z861" i="3" s="1"/>
  <c r="Y848" i="3"/>
  <c r="Z849" i="3" s="1"/>
  <c r="Y916" i="3"/>
  <c r="Z917" i="3" s="1"/>
  <c r="Y697" i="3"/>
  <c r="Z698" i="3" s="1"/>
  <c r="Y680" i="3"/>
  <c r="Z681" i="3" s="1"/>
  <c r="Y1183" i="3"/>
  <c r="Z1184" i="3" s="1"/>
  <c r="Y156" i="3"/>
  <c r="Z157" i="3" s="1"/>
  <c r="Y894" i="3"/>
  <c r="Z895" i="3" s="1"/>
  <c r="Y103" i="3"/>
  <c r="Z104" i="3" s="1"/>
  <c r="Y699" i="3"/>
  <c r="Z700" i="3" s="1"/>
  <c r="Y441" i="3"/>
  <c r="Z442" i="3" s="1"/>
  <c r="Y1044" i="3"/>
  <c r="Z1045" i="3" s="1"/>
  <c r="Y1155" i="3"/>
  <c r="Z1156" i="3" s="1"/>
  <c r="Y202" i="3"/>
  <c r="Z203" i="3" s="1"/>
  <c r="Y568" i="3"/>
  <c r="Z569" i="3" s="1"/>
  <c r="Y56" i="3"/>
  <c r="Z57" i="3" s="1"/>
  <c r="Y223" i="3"/>
  <c r="Z224" i="3" s="1"/>
  <c r="Y390" i="3"/>
  <c r="Z391" i="3" s="1"/>
  <c r="Y557" i="3"/>
  <c r="Z558" i="3" s="1"/>
  <c r="Y45" i="3"/>
  <c r="Z46" i="3" s="1"/>
  <c r="Y289" i="3"/>
  <c r="Z290" i="3" s="1"/>
  <c r="Y368" i="3"/>
  <c r="Z369" i="3" s="1"/>
  <c r="Y535" i="3"/>
  <c r="Z536" i="3" s="1"/>
  <c r="Y23" i="3"/>
  <c r="Z24" i="3" s="1"/>
  <c r="Y190" i="3"/>
  <c r="Z191" i="3" s="1"/>
  <c r="Y357" i="3"/>
  <c r="Z358" i="3" s="1"/>
  <c r="Y89" i="3"/>
  <c r="Z90" i="3" s="1"/>
  <c r="Y324" i="3"/>
  <c r="Z325" i="3" s="1"/>
  <c r="Y1137" i="3"/>
  <c r="Z1138" i="3" s="1"/>
  <c r="Y1015" i="3"/>
  <c r="Z1016" i="3" s="1"/>
  <c r="Y945" i="3"/>
  <c r="Z946" i="3" s="1"/>
  <c r="Y996" i="3"/>
  <c r="Z997" i="3" s="1"/>
  <c r="Y776" i="3"/>
  <c r="Z777" i="3" s="1"/>
  <c r="Y943" i="3"/>
  <c r="Z944" i="3" s="1"/>
  <c r="Y956" i="3"/>
  <c r="Z957" i="3" s="1"/>
  <c r="Y1024" i="3"/>
  <c r="Z1025" i="3" s="1"/>
  <c r="Y219" i="3"/>
  <c r="Z220" i="3" s="1"/>
  <c r="Y1094" i="3"/>
  <c r="Z1095" i="3" s="1"/>
  <c r="Y924" i="3"/>
  <c r="Z925" i="3" s="1"/>
  <c r="Y635" i="3"/>
  <c r="Z636" i="3" s="1"/>
  <c r="Y270" i="3"/>
  <c r="Z271" i="3" s="1"/>
  <c r="Y546" i="3"/>
  <c r="Z547" i="3" s="1"/>
  <c r="Y1051" i="3"/>
  <c r="Z1052" i="3" s="1"/>
  <c r="Y1062" i="3"/>
  <c r="Z1063" i="3" s="1"/>
  <c r="Y346" i="3"/>
  <c r="Z347" i="3" s="1"/>
  <c r="Y634" i="3"/>
  <c r="Z635" i="3" s="1"/>
  <c r="Y275" i="3"/>
  <c r="Z276" i="3" s="1"/>
  <c r="Y593" i="3"/>
  <c r="Z594" i="3" s="1"/>
  <c r="Y443" i="3"/>
  <c r="Z444" i="3" s="1"/>
  <c r="Y136" i="3"/>
  <c r="Z137" i="3" s="1"/>
  <c r="Y303" i="3"/>
  <c r="Z304" i="3" s="1"/>
  <c r="Y470" i="3"/>
  <c r="Z471" i="3" s="1"/>
  <c r="Y820" i="3"/>
  <c r="Z821" i="3" s="1"/>
  <c r="Y1201" i="3"/>
  <c r="Z1202" i="3" s="1"/>
  <c r="Y885" i="3"/>
  <c r="Z886" i="3" s="1"/>
  <c r="Y674" i="3"/>
  <c r="Z675" i="3" s="1"/>
  <c r="Y1099" i="3"/>
  <c r="Z1100" i="3" s="1"/>
  <c r="Y241" i="3"/>
  <c r="Z242" i="3" s="1"/>
  <c r="Y806" i="3"/>
  <c r="Z807" i="3" s="1"/>
  <c r="Y78" i="3"/>
  <c r="Z79" i="3" s="1"/>
  <c r="Y248" i="3"/>
  <c r="Z249" i="3" s="1"/>
  <c r="Y415" i="3"/>
  <c r="Z416" i="3" s="1"/>
  <c r="Y582" i="3"/>
  <c r="Z583" i="3" s="1"/>
  <c r="Y70" i="3"/>
  <c r="Z71" i="3" s="1"/>
  <c r="Y237" i="3"/>
  <c r="Z238" i="3" s="1"/>
  <c r="Y154" i="3"/>
  <c r="Z155" i="3" s="1"/>
  <c r="Y281" i="3"/>
  <c r="Z282" i="3" s="1"/>
  <c r="Y721" i="3"/>
  <c r="Z722" i="3" s="1"/>
  <c r="Y886" i="3"/>
  <c r="Z887" i="3" s="1"/>
  <c r="Y1165" i="3"/>
  <c r="Z1166" i="3" s="1"/>
  <c r="Y949" i="3"/>
  <c r="Z950" i="3" s="1"/>
  <c r="Y1202" i="3"/>
  <c r="Z1203" i="3" s="1"/>
  <c r="Y870" i="3"/>
  <c r="Z871" i="3" s="1"/>
  <c r="Y131" i="3"/>
  <c r="Z132" i="3" s="1"/>
  <c r="Y693" i="3"/>
  <c r="Z694" i="3" s="1"/>
  <c r="Y682" i="3"/>
  <c r="Z683" i="3" s="1"/>
  <c r="Y1042" i="3"/>
  <c r="Z1043" i="3" s="1"/>
  <c r="Y79" i="3"/>
  <c r="Z80" i="3" s="1"/>
  <c r="Y68" i="3"/>
  <c r="Z69" i="3" s="1"/>
  <c r="Y741" i="3"/>
  <c r="Z742" i="3" s="1"/>
  <c r="Y507" i="3"/>
  <c r="Z508" i="3" s="1"/>
  <c r="Y160" i="3"/>
  <c r="Z161" i="3" s="1"/>
  <c r="Y327" i="3"/>
  <c r="Z328" i="3" s="1"/>
  <c r="Y494" i="3"/>
  <c r="Z495" i="3" s="1"/>
  <c r="Y661" i="3"/>
  <c r="Z662" i="3" s="1"/>
  <c r="Y149" i="3"/>
  <c r="Z150" i="3" s="1"/>
  <c r="Y316" i="3"/>
  <c r="Z317" i="3" s="1"/>
  <c r="Y734" i="3"/>
  <c r="Z735" i="3" s="1"/>
  <c r="Y472" i="3"/>
  <c r="Z473" i="3" s="1"/>
  <c r="Y639" i="3"/>
  <c r="Z640" i="3" s="1"/>
  <c r="Y127" i="3"/>
  <c r="Z128" i="3" s="1"/>
  <c r="Y294" i="3"/>
  <c r="Z295" i="3" s="1"/>
  <c r="Y461" i="3"/>
  <c r="Z462" i="3" s="1"/>
  <c r="Y628" i="3"/>
  <c r="Z629" i="3" s="1"/>
  <c r="Y305" i="3"/>
  <c r="Z306" i="3" s="1"/>
  <c r="Y890" i="3"/>
  <c r="Z891" i="3" s="1"/>
  <c r="Y193" i="3"/>
  <c r="Z194" i="3" s="1"/>
  <c r="Y272" i="3"/>
  <c r="Z273" i="3" s="1"/>
  <c r="Y439" i="3"/>
  <c r="Z440" i="3" s="1"/>
  <c r="Y606" i="3"/>
  <c r="Z607" i="3" s="1"/>
  <c r="Y94" i="3"/>
  <c r="Z95" i="3" s="1"/>
  <c r="Y261" i="3"/>
  <c r="Z262" i="3" s="1"/>
  <c r="Y428" i="3"/>
  <c r="Z429" i="3" s="1"/>
  <c r="Y91" i="3"/>
  <c r="Z92" i="3" s="1"/>
  <c r="Y717" i="3"/>
  <c r="Z718" i="3" s="1"/>
  <c r="Y754" i="3"/>
  <c r="Z755" i="3" s="1"/>
  <c r="Y637" i="3"/>
  <c r="Z638" i="3" s="1"/>
  <c r="Y125" i="3"/>
  <c r="Z126" i="3" s="1"/>
  <c r="Y355" i="3"/>
  <c r="Z356" i="3" s="1"/>
  <c r="Y211" i="3"/>
  <c r="Z212" i="3" s="1"/>
  <c r="Y538" i="3"/>
  <c r="Z539" i="3" s="1"/>
  <c r="Y650" i="3"/>
  <c r="Z651" i="3" s="1"/>
  <c r="Y988" i="3"/>
  <c r="Z989" i="3" s="1"/>
  <c r="Y912" i="3"/>
  <c r="Z913" i="3" s="1"/>
  <c r="Y745" i="3"/>
  <c r="Z746" i="3" s="1"/>
  <c r="Y576" i="3"/>
  <c r="Z577" i="3" s="1"/>
  <c r="Y971" i="3"/>
  <c r="Z972" i="3" s="1"/>
  <c r="Y1208" i="3"/>
  <c r="Z1209" i="3" s="1"/>
  <c r="Y993" i="3"/>
  <c r="Z994" i="3" s="1"/>
  <c r="Y1175" i="3"/>
  <c r="Z1176" i="3" s="1"/>
  <c r="Y873" i="3"/>
  <c r="Z874" i="3" s="1"/>
  <c r="Y1192" i="3"/>
  <c r="Z1193" i="3" s="1"/>
  <c r="Y320" i="3"/>
  <c r="Z321" i="3" s="1"/>
  <c r="Y907" i="3"/>
  <c r="Z908" i="3" s="1"/>
  <c r="Y245" i="3"/>
  <c r="Z246" i="3" s="1"/>
  <c r="Y105" i="3"/>
  <c r="Z106" i="3" s="1"/>
  <c r="Y340" i="3"/>
  <c r="Z341" i="3" s="1"/>
  <c r="Y496" i="3"/>
  <c r="Z497" i="3" s="1"/>
  <c r="Y663" i="3"/>
  <c r="Z664" i="3" s="1"/>
  <c r="Y151" i="3"/>
  <c r="Z152" i="3" s="1"/>
  <c r="Y318" i="3"/>
  <c r="Z319" i="3" s="1"/>
  <c r="Y485" i="3"/>
  <c r="Z486" i="3" s="1"/>
  <c r="Y265" i="3"/>
  <c r="Z266" i="3" s="1"/>
  <c r="Y1079" i="3"/>
  <c r="Z1080" i="3" s="1"/>
  <c r="Y904" i="3"/>
  <c r="Z905" i="3" s="1"/>
  <c r="Y1071" i="3"/>
  <c r="Z1072" i="3" s="1"/>
  <c r="Y1152" i="3"/>
  <c r="Z1153" i="3" s="1"/>
  <c r="Y586" i="3"/>
  <c r="Z587" i="3" s="1"/>
  <c r="Y807" i="3"/>
  <c r="Z808" i="3" s="1"/>
  <c r="Y64" i="3"/>
  <c r="Z65" i="3" s="1"/>
  <c r="Y329" i="3"/>
  <c r="Z330" i="3" s="1"/>
  <c r="Y1123" i="3"/>
  <c r="Z1124" i="3" s="1"/>
  <c r="Y282" i="3"/>
  <c r="Z283" i="3" s="1"/>
  <c r="Y487" i="3"/>
  <c r="Z488" i="3" s="1"/>
  <c r="Y979" i="3"/>
  <c r="Z980" i="3" s="1"/>
  <c r="Y771" i="3"/>
  <c r="Z772" i="3" s="1"/>
  <c r="Y402" i="3"/>
  <c r="Z403" i="3" s="1"/>
  <c r="Y41" i="3"/>
  <c r="Z42" i="3" s="1"/>
  <c r="Y120" i="3"/>
  <c r="Z121" i="3" s="1"/>
  <c r="Y287" i="3"/>
  <c r="Z288" i="3" s="1"/>
  <c r="Y454" i="3"/>
  <c r="Z455" i="3" s="1"/>
  <c r="Y621" i="3"/>
  <c r="Z622" i="3" s="1"/>
  <c r="Y109" i="3"/>
  <c r="Z110" i="3" s="1"/>
  <c r="Y276" i="3"/>
  <c r="Z277" i="3" s="1"/>
  <c r="Y432" i="3"/>
  <c r="Z433" i="3" s="1"/>
  <c r="Y599" i="3"/>
  <c r="Z600" i="3" s="1"/>
  <c r="Y87" i="3"/>
  <c r="Z88" i="3" s="1"/>
  <c r="Y254" i="3"/>
  <c r="Z255" i="3" s="1"/>
  <c r="Y421" i="3"/>
  <c r="Z422" i="3" s="1"/>
  <c r="Y868" i="3"/>
  <c r="Z869" i="3" s="1"/>
  <c r="Y985" i="3"/>
  <c r="Z986" i="3" s="1"/>
  <c r="Y401" i="3"/>
  <c r="Z402" i="3" s="1"/>
  <c r="Y1116" i="3"/>
  <c r="Z1117" i="3" s="1"/>
  <c r="Y1073" i="3"/>
  <c r="Z1074" i="3" s="1"/>
  <c r="Y1160" i="3"/>
  <c r="Z1161" i="3" s="1"/>
  <c r="Y608" i="3"/>
  <c r="Z609" i="3" s="1"/>
  <c r="Y815" i="3"/>
  <c r="Z816" i="3" s="1"/>
  <c r="Y859" i="3"/>
  <c r="Z860" i="3" s="1"/>
  <c r="Y896" i="3"/>
  <c r="Z897" i="3" s="1"/>
  <c r="Y1063" i="3"/>
  <c r="Z1064" i="3" s="1"/>
  <c r="Y929" i="3"/>
  <c r="Z930" i="3" s="1"/>
  <c r="Y505" i="3"/>
  <c r="Z506" i="3" s="1"/>
  <c r="Y966" i="3"/>
  <c r="Z967" i="3" s="1"/>
  <c r="Y1182" i="3"/>
  <c r="Z1183" i="3" s="1"/>
  <c r="Y290" i="3"/>
  <c r="Z291" i="3" s="1"/>
  <c r="Y827" i="3"/>
  <c r="Z828" i="3" s="1"/>
  <c r="Y1109" i="3"/>
  <c r="Z1110" i="3" s="1"/>
  <c r="Y604" i="3"/>
  <c r="Z605" i="3" s="1"/>
  <c r="Y551" i="3"/>
  <c r="Z552" i="3" s="1"/>
  <c r="Y1156" i="3"/>
  <c r="Z1157" i="3" s="1"/>
  <c r="Y793" i="3"/>
  <c r="Z794" i="3" s="1"/>
  <c r="Y250" i="3"/>
  <c r="Z251" i="3" s="1"/>
  <c r="Y423" i="3"/>
  <c r="Z424" i="3" s="1"/>
  <c r="Y18" i="3"/>
  <c r="Z19" i="3" s="1"/>
  <c r="Y376" i="3"/>
  <c r="Z377" i="3" s="1"/>
  <c r="Y543" i="3"/>
  <c r="Z544" i="3" s="1"/>
  <c r="Y31" i="3"/>
  <c r="Z32" i="3" s="1"/>
  <c r="Y198" i="3"/>
  <c r="Z199" i="3" s="1"/>
  <c r="Y365" i="3"/>
  <c r="Z366" i="3" s="1"/>
  <c r="Y553" i="3"/>
  <c r="Z554" i="3" s="1"/>
  <c r="Y97" i="3"/>
  <c r="Z98" i="3" s="1"/>
  <c r="Y465" i="3"/>
  <c r="Z466" i="3" s="1"/>
  <c r="Y644" i="3"/>
  <c r="Z645" i="3" s="1"/>
  <c r="Y578" i="3"/>
  <c r="Z579" i="3" s="1"/>
  <c r="Y917" i="3"/>
  <c r="Z918" i="3" s="1"/>
  <c r="Y1011" i="3"/>
  <c r="Z1012" i="3" s="1"/>
  <c r="Y901" i="3"/>
  <c r="Z902" i="3" s="1"/>
  <c r="Y1110" i="3"/>
  <c r="Z1111" i="3" s="1"/>
  <c r="Y667" i="3"/>
  <c r="Z668" i="3" s="1"/>
  <c r="Y529" i="3"/>
  <c r="Z530" i="3" s="1"/>
  <c r="Y830" i="3"/>
  <c r="Z831" i="3" s="1"/>
  <c r="Y1107" i="3"/>
  <c r="Z1108" i="3" s="1"/>
  <c r="Y1078" i="3"/>
  <c r="Z1079" i="3" s="1"/>
  <c r="Y138" i="3"/>
  <c r="Z139" i="3" s="1"/>
  <c r="Y1129" i="3"/>
  <c r="Z1130" i="3" s="1"/>
  <c r="Y659" i="3"/>
  <c r="Z660" i="3" s="1"/>
  <c r="Y177" i="3"/>
  <c r="Z178" i="3" s="1"/>
  <c r="Y504" i="3"/>
  <c r="Z505" i="3" s="1"/>
  <c r="Y671" i="3"/>
  <c r="Z672" i="3" s="1"/>
  <c r="Y159" i="3"/>
  <c r="Z160" i="3" s="1"/>
  <c r="Y326" i="3"/>
  <c r="Z327" i="3" s="1"/>
  <c r="Y493" i="3"/>
  <c r="Z494" i="3" s="1"/>
  <c r="Y225" i="3"/>
  <c r="Z226" i="3" s="1"/>
  <c r="Y25" i="3"/>
  <c r="Z26" i="3" s="1"/>
  <c r="Y260" i="3"/>
  <c r="Z261" i="3" s="1"/>
  <c r="Y554" i="3"/>
  <c r="Z555" i="3" s="1"/>
  <c r="Y1076" i="3"/>
  <c r="Z1077" i="3" s="1"/>
  <c r="Y951" i="3"/>
  <c r="Z952" i="3" s="1"/>
  <c r="Y181" i="3"/>
  <c r="Z182" i="3" s="1"/>
  <c r="Y1173" i="3"/>
  <c r="Z1174" i="3" s="1"/>
  <c r="Y995" i="3"/>
  <c r="Z996" i="3" s="1"/>
  <c r="Y819" i="3"/>
  <c r="Z820" i="3" s="1"/>
  <c r="Y712" i="3"/>
  <c r="Z713" i="3" s="1"/>
  <c r="Y879" i="3"/>
  <c r="Z880" i="3" s="1"/>
  <c r="Y1046" i="3"/>
  <c r="Z1047" i="3" s="1"/>
  <c r="Y828" i="3"/>
  <c r="Z829" i="3" s="1"/>
  <c r="Y987" i="3"/>
  <c r="Z988" i="3" s="1"/>
  <c r="Y960" i="3"/>
  <c r="Z961" i="3" s="1"/>
  <c r="Y1127" i="3"/>
  <c r="Z1128" i="3" s="1"/>
  <c r="Y925" i="3"/>
  <c r="Z926" i="3" s="1"/>
  <c r="Y795" i="3"/>
  <c r="Z796" i="3" s="1"/>
  <c r="Y955" i="3"/>
  <c r="Z956" i="3" s="1"/>
  <c r="Y889" i="3"/>
  <c r="Z890" i="3" s="1"/>
  <c r="Y475" i="3"/>
  <c r="Z476" i="3" s="1"/>
  <c r="Y384" i="3"/>
  <c r="Z385" i="3" s="1"/>
  <c r="Y702" i="3"/>
  <c r="Z703" i="3" s="1"/>
  <c r="Y337" i="3"/>
  <c r="Z338" i="3" s="1"/>
  <c r="Y537" i="3"/>
  <c r="Z538" i="3" s="1"/>
  <c r="Y90" i="3"/>
  <c r="Z91" i="3" s="1"/>
  <c r="Y632" i="3"/>
  <c r="Z633" i="3" s="1"/>
  <c r="Y1133" i="3"/>
  <c r="Z1134" i="3" s="1"/>
  <c r="Y976" i="3"/>
  <c r="Z977" i="3" s="1"/>
  <c r="Y825" i="3"/>
  <c r="Z826" i="3" s="1"/>
  <c r="Y348" i="3"/>
  <c r="Z349" i="3" s="1"/>
  <c r="Y1101" i="3"/>
  <c r="Z1102" i="3" s="1"/>
  <c r="Y751" i="3"/>
  <c r="Z752" i="3" s="1"/>
  <c r="Y852" i="3"/>
  <c r="Z853" i="3" s="1"/>
  <c r="Y394" i="3"/>
  <c r="Z395" i="3" s="1"/>
  <c r="Y523" i="3"/>
  <c r="Z524" i="3" s="1"/>
  <c r="Y609" i="3"/>
  <c r="Z610" i="3" s="1"/>
  <c r="Y816" i="3"/>
  <c r="Z817" i="3" s="1"/>
  <c r="Y983" i="3"/>
  <c r="Z984" i="3" s="1"/>
  <c r="Y482" i="3"/>
  <c r="Z483" i="3" s="1"/>
  <c r="Y1064" i="3"/>
  <c r="Z1065" i="3" s="1"/>
  <c r="Y39" i="3"/>
  <c r="Z40" i="3" s="1"/>
  <c r="Y1190" i="3"/>
  <c r="Z1191" i="3" s="1"/>
  <c r="Y258" i="3"/>
  <c r="Z259" i="3" s="1"/>
  <c r="Y800" i="3"/>
  <c r="Z801" i="3" s="1"/>
  <c r="Y967" i="3"/>
  <c r="Z968" i="3" s="1"/>
  <c r="Y1048" i="3"/>
  <c r="Z1049" i="3" s="1"/>
  <c r="Y307" i="3"/>
  <c r="Z308" i="3" s="1"/>
  <c r="Y930" i="3"/>
  <c r="Z931" i="3" s="1"/>
  <c r="Y468" i="3"/>
  <c r="Z469" i="3" s="1"/>
  <c r="Y730" i="3"/>
  <c r="Z731" i="3" s="1"/>
  <c r="Y291" i="3"/>
  <c r="Z292" i="3" s="1"/>
  <c r="Y424" i="3"/>
  <c r="Z425" i="3" s="1"/>
  <c r="Y580" i="3"/>
  <c r="Z581" i="3" s="1"/>
  <c r="Y778" i="3"/>
  <c r="Z779" i="3" s="1"/>
  <c r="Y1090" i="3"/>
  <c r="Z1091" i="3" s="1"/>
  <c r="Y419" i="3"/>
  <c r="Z420" i="3" s="1"/>
  <c r="Y57" i="3"/>
  <c r="Z58" i="3" s="1"/>
  <c r="Y1164" i="3"/>
  <c r="Z1165" i="3" s="1"/>
  <c r="Y784" i="3"/>
  <c r="Z785" i="3" s="1"/>
  <c r="Y1143" i="3"/>
  <c r="Z1144" i="3" s="1"/>
  <c r="Y1168" i="3"/>
  <c r="Z1169" i="3" s="1"/>
  <c r="Y748" i="3"/>
  <c r="Z749" i="3" s="1"/>
  <c r="Y1131" i="3"/>
  <c r="Z1132" i="3" s="1"/>
  <c r="Y1145" i="3"/>
  <c r="Z1146" i="3" s="1"/>
  <c r="Y1032" i="3"/>
  <c r="Z1033" i="3" s="1"/>
  <c r="Y251" i="3"/>
  <c r="Z252" i="3" s="1"/>
  <c r="Y897" i="3"/>
  <c r="Z898" i="3" s="1"/>
  <c r="Y768" i="3"/>
  <c r="Z769" i="3" s="1"/>
  <c r="Y935" i="3"/>
  <c r="Z936" i="3" s="1"/>
  <c r="Y835" i="3"/>
  <c r="Z836" i="3" s="1"/>
  <c r="Y1086" i="3"/>
  <c r="Z1087" i="3" s="1"/>
  <c r="Y619" i="3"/>
  <c r="Z620" i="3" s="1"/>
  <c r="Y206" i="3"/>
  <c r="Z207" i="3" s="1"/>
  <c r="Y1212" i="3"/>
  <c r="Z1213" i="3" s="1"/>
  <c r="Y1035" i="3"/>
  <c r="Z1036" i="3" s="1"/>
  <c r="Y1113" i="3"/>
  <c r="Z1114" i="3" s="1"/>
  <c r="Y203" i="3"/>
  <c r="Z204" i="3" s="1"/>
  <c r="Y169" i="3"/>
  <c r="Z170" i="3" s="1"/>
  <c r="Y555" i="3"/>
  <c r="Z556" i="3" s="1"/>
  <c r="Y560" i="3"/>
  <c r="Z561" i="3" s="1"/>
  <c r="Y48" i="3"/>
  <c r="Z49" i="3" s="1"/>
  <c r="Y215" i="3"/>
  <c r="Z216" i="3" s="1"/>
  <c r="Y382" i="3"/>
  <c r="Z383" i="3" s="1"/>
  <c r="Y549" i="3"/>
  <c r="Z550" i="3" s="1"/>
  <c r="Y37" i="3"/>
  <c r="Z38" i="3" s="1"/>
  <c r="Y531" i="3"/>
  <c r="Z532" i="3" s="1"/>
  <c r="Y516" i="3"/>
  <c r="Z517" i="3" s="1"/>
  <c r="Y17" i="3"/>
  <c r="Z18" i="3" s="1"/>
  <c r="Y648" i="3"/>
  <c r="Z649" i="3" s="1"/>
  <c r="Y617" i="3"/>
  <c r="Z618" i="3" s="1"/>
  <c r="Y526" i="3"/>
  <c r="Z527" i="3" s="1"/>
  <c r="Y562" i="3"/>
  <c r="Z563" i="3" s="1"/>
  <c r="Y1057" i="3"/>
  <c r="Z1058" i="3" s="1"/>
  <c r="Y1003" i="3"/>
  <c r="Z1004" i="3" s="1"/>
  <c r="Y331" i="3"/>
  <c r="Z332" i="3" s="1"/>
  <c r="Y905" i="3"/>
  <c r="Z906" i="3" s="1"/>
  <c r="Y761" i="3"/>
  <c r="Z762" i="3" s="1"/>
  <c r="Y1197" i="3"/>
  <c r="Z1198" i="3" s="1"/>
  <c r="Y700" i="3"/>
  <c r="Z701" i="3" s="1"/>
  <c r="Y373" i="3"/>
  <c r="Z374" i="3" s="1"/>
  <c r="Y1205" i="3"/>
  <c r="Z1206" i="3" s="1"/>
  <c r="Y569" i="3"/>
  <c r="Z570" i="3" s="1"/>
  <c r="Y656" i="3"/>
  <c r="Z657" i="3" s="1"/>
  <c r="Y571" i="3"/>
  <c r="Z572" i="3" s="1"/>
  <c r="Y184" i="3"/>
  <c r="Z185" i="3" s="1"/>
  <c r="Y351" i="3"/>
  <c r="Z352" i="3" s="1"/>
  <c r="Y518" i="3"/>
  <c r="Z519" i="3" s="1"/>
  <c r="Y685" i="3"/>
  <c r="Z686" i="3" s="1"/>
  <c r="Y173" i="3"/>
  <c r="Z174" i="3" s="1"/>
  <c r="Y758" i="3"/>
  <c r="Z759" i="3" s="1"/>
  <c r="Y386" i="3"/>
  <c r="Z387" i="3" s="1"/>
  <c r="Y369" i="3"/>
  <c r="Z370" i="3" s="1"/>
  <c r="Y362" i="3"/>
  <c r="Z363" i="3" s="1"/>
  <c r="Y217" i="3"/>
  <c r="Z218" i="3" s="1"/>
  <c r="Y452" i="3"/>
  <c r="Z453" i="3" s="1"/>
  <c r="Y115" i="3"/>
  <c r="Z116" i="3" s="1"/>
  <c r="Y514" i="3"/>
  <c r="Z515" i="3" s="1"/>
  <c r="Y26" i="3"/>
  <c r="Z27" i="3" s="1"/>
  <c r="Y490" i="3"/>
  <c r="Z491" i="3" s="1"/>
  <c r="Y300" i="3"/>
  <c r="Z301" i="3" s="1"/>
  <c r="Y782" i="3"/>
  <c r="Z783" i="3" s="1"/>
  <c r="Y450" i="3"/>
  <c r="Z451" i="3" s="1"/>
  <c r="Y192" i="3"/>
  <c r="Z193" i="3" s="1"/>
  <c r="Y1147" i="3"/>
  <c r="Z1148" i="3" s="1"/>
  <c r="Y798" i="3"/>
  <c r="Z799" i="3" s="1"/>
  <c r="Y1045" i="3"/>
  <c r="Z1046" i="3" s="1"/>
  <c r="Y884" i="3"/>
  <c r="Z885" i="3" s="1"/>
  <c r="Y875" i="3"/>
  <c r="Z876" i="3" s="1"/>
  <c r="Y809" i="3"/>
  <c r="Z810" i="3" s="1"/>
  <c r="Y1157" i="3"/>
  <c r="Z1158" i="3" s="1"/>
  <c r="Y1187" i="3"/>
  <c r="Z1188" i="3" s="1"/>
  <c r="Y377" i="3"/>
  <c r="Z378" i="3" s="1"/>
  <c r="Y843" i="3"/>
  <c r="Z844" i="3" s="1"/>
  <c r="Y427" i="3"/>
  <c r="Z428" i="3" s="1"/>
  <c r="Y1171" i="3"/>
  <c r="Z1172" i="3" s="1"/>
  <c r="Y865" i="3"/>
  <c r="Z866" i="3" s="1"/>
  <c r="Y958" i="3"/>
  <c r="Z959" i="3" s="1"/>
  <c r="Y153" i="3"/>
  <c r="Z154" i="3" s="1"/>
  <c r="Y51" i="3"/>
  <c r="Z52" i="3" s="1"/>
  <c r="Y201" i="3"/>
  <c r="Z202" i="3" s="1"/>
  <c r="Y683" i="3"/>
  <c r="Z684" i="3" s="1"/>
  <c r="Y462" i="3"/>
  <c r="Z463" i="3" s="1"/>
  <c r="Y931" i="3"/>
  <c r="Z932" i="3" s="1"/>
  <c r="Y932" i="3"/>
  <c r="Z933" i="3" s="1"/>
  <c r="Y1102" i="3"/>
  <c r="Z1103" i="3" s="1"/>
  <c r="Y1060" i="3"/>
  <c r="Z1061" i="3" s="1"/>
  <c r="Y1065" i="3"/>
  <c r="Z1066" i="3" s="1"/>
  <c r="Y1016" i="3"/>
  <c r="Z1017" i="3" s="1"/>
  <c r="Y187" i="3"/>
  <c r="Z188" i="3" s="1"/>
  <c r="Y756" i="3"/>
  <c r="Z757" i="3" s="1"/>
  <c r="Y1166" i="3"/>
  <c r="Z1167" i="3" s="1"/>
  <c r="Y853" i="3"/>
  <c r="Z854" i="3" s="1"/>
  <c r="Y752" i="3"/>
  <c r="Z753" i="3" s="1"/>
  <c r="Y919" i="3"/>
  <c r="Z920" i="3" s="1"/>
  <c r="Y836" i="3"/>
  <c r="Z837" i="3" s="1"/>
  <c r="Y1067" i="3"/>
  <c r="Z1068" i="3" s="1"/>
  <c r="Y1017" i="3"/>
  <c r="Z1018" i="3" s="1"/>
  <c r="Y1161" i="3"/>
  <c r="Z1162" i="3" s="1"/>
  <c r="Y1000" i="3"/>
  <c r="Z1001" i="3" s="1"/>
  <c r="Y716" i="3"/>
  <c r="Z717" i="3" s="1"/>
  <c r="Y1198" i="3"/>
  <c r="Z1199" i="3" s="1"/>
  <c r="Y821" i="3"/>
  <c r="Z822" i="3" s="1"/>
  <c r="Y736" i="3"/>
  <c r="Z737" i="3" s="1"/>
  <c r="Y903" i="3"/>
  <c r="Z904" i="3" s="1"/>
  <c r="Y1070" i="3"/>
  <c r="Z1071" i="3" s="1"/>
  <c r="Y1174" i="3"/>
  <c r="Z1175" i="3" s="1"/>
  <c r="Y876" i="3"/>
  <c r="Z877" i="3" s="1"/>
  <c r="Y969" i="3"/>
  <c r="Z970" i="3" s="1"/>
  <c r="Y984" i="3"/>
  <c r="Z985" i="3" s="1"/>
  <c r="Y1151" i="3"/>
  <c r="Z1152" i="3" s="1"/>
  <c r="Y866" i="3"/>
  <c r="Z867" i="3" s="1"/>
  <c r="Y404" i="3"/>
  <c r="Z405" i="3" s="1"/>
  <c r="Y67" i="3"/>
  <c r="Z68" i="3" s="1"/>
  <c r="Y642" i="3"/>
  <c r="Z643" i="3" s="1"/>
  <c r="Y204" i="3"/>
  <c r="Z205" i="3" s="1"/>
  <c r="Y978" i="3"/>
  <c r="Z979" i="3" s="1"/>
  <c r="Y360" i="3"/>
  <c r="Z361" i="3" s="1"/>
  <c r="Y527" i="3"/>
  <c r="Z528" i="3" s="1"/>
  <c r="Y15" i="3"/>
  <c r="Z16" i="3" s="1"/>
  <c r="Y182" i="3"/>
  <c r="Z183" i="3" s="1"/>
  <c r="Y349" i="3"/>
  <c r="Z350" i="3" s="1"/>
  <c r="Y179" i="3"/>
  <c r="Z180" i="3" s="1"/>
  <c r="Y665" i="3"/>
  <c r="Z666" i="3" s="1"/>
  <c r="Y338" i="3"/>
  <c r="Z339" i="3" s="1"/>
  <c r="Y714" i="3"/>
  <c r="Z715" i="3" s="1"/>
  <c r="Y96" i="3"/>
  <c r="Z97" i="3" s="1"/>
  <c r="Y263" i="3"/>
  <c r="Z264" i="3" s="1"/>
  <c r="Y430" i="3"/>
  <c r="Z431" i="3" s="1"/>
  <c r="Y597" i="3"/>
  <c r="Z598" i="3" s="1"/>
  <c r="Y85" i="3"/>
  <c r="Z86" i="3" s="1"/>
  <c r="Y252" i="3"/>
  <c r="Z253" i="3" s="1"/>
  <c r="Y1026" i="3"/>
  <c r="Z1027" i="3" s="1"/>
  <c r="Y227" i="3"/>
  <c r="Z228" i="3" s="1"/>
  <c r="Y408" i="3"/>
  <c r="Z409" i="3" s="1"/>
  <c r="Y575" i="3"/>
  <c r="Z576" i="3" s="1"/>
  <c r="Y63" i="3"/>
  <c r="Z64" i="3" s="1"/>
  <c r="Y230" i="3"/>
  <c r="Z231" i="3" s="1"/>
  <c r="Y397" i="3"/>
  <c r="Z398" i="3" s="1"/>
  <c r="Y564" i="3"/>
  <c r="Z565" i="3" s="1"/>
  <c r="Y52" i="3"/>
  <c r="Z53" i="3" s="1"/>
  <c r="Y789" i="3"/>
  <c r="Z790" i="3" s="1"/>
  <c r="Y627" i="3"/>
  <c r="Z628" i="3" s="1"/>
  <c r="Y826" i="3"/>
  <c r="Z827" i="3" s="1"/>
  <c r="Y129" i="3"/>
  <c r="Z130" i="3" s="1"/>
  <c r="Y208" i="3"/>
  <c r="Z209" i="3" s="1"/>
  <c r="Y375" i="3"/>
  <c r="Z376" i="3" s="1"/>
  <c r="Y542" i="3"/>
  <c r="Z543" i="3" s="1"/>
  <c r="Y30" i="3"/>
  <c r="Z31" i="3" s="1"/>
  <c r="Y197" i="3"/>
  <c r="Z198" i="3" s="1"/>
  <c r="Y364" i="3"/>
  <c r="Z365" i="3" s="1"/>
  <c r="Y27" i="3"/>
  <c r="Z28" i="3" s="1"/>
  <c r="Y266" i="3"/>
  <c r="Z267" i="3" s="1"/>
  <c r="Y690" i="3"/>
  <c r="Z691" i="3" s="1"/>
  <c r="Y584" i="3"/>
  <c r="Z585" i="3" s="1"/>
  <c r="Y72" i="3"/>
  <c r="Z73" i="3" s="1"/>
  <c r="Y239" i="3"/>
  <c r="Z240" i="3" s="1"/>
  <c r="Y406" i="3"/>
  <c r="Z407" i="3" s="1"/>
  <c r="Y573" i="3"/>
  <c r="Z574" i="3" s="1"/>
  <c r="Y61" i="3"/>
  <c r="Z62" i="3" s="1"/>
  <c r="Y228" i="3"/>
  <c r="Z229" i="3" s="1"/>
  <c r="Y1013" i="3"/>
  <c r="Z1014" i="3" s="1"/>
  <c r="Y292" i="3"/>
  <c r="Z293" i="3" s="1"/>
  <c r="Y1049" i="3"/>
  <c r="Z1050" i="3" s="1"/>
  <c r="Y968" i="3"/>
  <c r="Z969" i="3" s="1"/>
  <c r="Y1135" i="3"/>
  <c r="Z1136" i="3" s="1"/>
  <c r="Y629" i="3"/>
  <c r="Z630" i="3" s="1"/>
  <c r="Y1005" i="3"/>
  <c r="Z1006" i="3" s="1"/>
  <c r="Y704" i="3"/>
  <c r="Z705" i="3" s="1"/>
  <c r="Y871" i="3"/>
  <c r="Z872" i="3" s="1"/>
  <c r="Y952" i="3"/>
  <c r="Z953" i="3" s="1"/>
  <c r="Y1119" i="3"/>
  <c r="Z1120" i="3" s="1"/>
  <c r="Y742" i="3"/>
  <c r="Z743" i="3" s="1"/>
  <c r="Y861" i="3"/>
  <c r="Z862" i="3" s="1"/>
  <c r="Y855" i="3"/>
  <c r="Z856" i="3" s="1"/>
  <c r="Y1022" i="3"/>
  <c r="Z1023" i="3" s="1"/>
  <c r="Y939" i="3"/>
  <c r="Z940" i="3" s="1"/>
  <c r="Y936" i="3"/>
  <c r="Z937" i="3" s="1"/>
  <c r="Y1103" i="3"/>
  <c r="Z1104" i="3" s="1"/>
  <c r="Y602" i="3"/>
  <c r="Z603" i="3" s="1"/>
  <c r="Y849" i="3"/>
  <c r="Z850" i="3" s="1"/>
  <c r="Y1105" i="3"/>
  <c r="Z1106" i="3" s="1"/>
  <c r="Y839" i="3"/>
  <c r="Z840" i="3" s="1"/>
  <c r="Y1006" i="3"/>
  <c r="Z1007" i="3" s="1"/>
  <c r="Y1028" i="3"/>
  <c r="Z1029" i="3" s="1"/>
  <c r="Y731" i="3"/>
  <c r="Z732" i="3" s="1"/>
  <c r="Y841" i="3"/>
  <c r="Z842" i="3" s="1"/>
  <c r="Y1176" i="3"/>
  <c r="Z1177" i="3" s="1"/>
  <c r="Y920" i="3"/>
  <c r="Z921" i="3" s="1"/>
  <c r="Y1087" i="3"/>
  <c r="Z1088" i="3" s="1"/>
  <c r="Y411" i="3"/>
  <c r="Z412" i="3" s="1"/>
  <c r="Y243" i="3"/>
  <c r="Z244" i="3" s="1"/>
  <c r="Y765" i="3"/>
  <c r="Z766" i="3" s="1"/>
  <c r="Y802" i="3"/>
  <c r="Z803" i="3" s="1"/>
  <c r="Y1114" i="3"/>
  <c r="Z1115" i="3" s="1"/>
  <c r="Y483" i="3"/>
  <c r="Z484" i="3" s="1"/>
  <c r="Y652" i="3"/>
  <c r="Z653" i="3" s="1"/>
  <c r="Y140" i="3"/>
  <c r="Z141" i="3" s="1"/>
  <c r="Y914" i="3"/>
  <c r="Z915" i="3" s="1"/>
  <c r="Y296" i="3"/>
  <c r="Z297" i="3" s="1"/>
  <c r="Y463" i="3"/>
  <c r="Z464" i="3" s="1"/>
  <c r="Y630" i="3"/>
  <c r="Z631" i="3" s="1"/>
  <c r="Y118" i="3"/>
  <c r="Z119" i="3" s="1"/>
  <c r="Y285" i="3"/>
  <c r="Z286" i="3" s="1"/>
  <c r="Y610" i="3"/>
  <c r="Z611" i="3" s="1"/>
  <c r="Y544" i="3"/>
  <c r="Z545" i="3" s="1"/>
  <c r="Y32" i="3"/>
  <c r="Z33" i="3" s="1"/>
  <c r="Y199" i="3"/>
  <c r="Z200" i="3" s="1"/>
  <c r="Y366" i="3"/>
  <c r="Z367" i="3" s="1"/>
  <c r="Y533" i="3"/>
  <c r="Z534" i="3" s="1"/>
  <c r="Y21" i="3"/>
  <c r="Z22" i="3" s="1"/>
  <c r="Y188" i="3"/>
  <c r="Z189" i="3" s="1"/>
  <c r="Y497" i="3"/>
  <c r="Z498" i="3" s="1"/>
  <c r="Y962" i="3"/>
  <c r="Z963" i="3" s="1"/>
  <c r="Y344" i="3"/>
  <c r="Z345" i="3" s="1"/>
  <c r="Y511" i="3"/>
  <c r="Z512" i="3" s="1"/>
  <c r="Y678" i="3"/>
  <c r="Z679" i="3" s="1"/>
  <c r="Y166" i="3"/>
  <c r="Z167" i="3" s="1"/>
  <c r="Y333" i="3"/>
  <c r="Z334" i="3" s="1"/>
  <c r="Y500" i="3"/>
  <c r="Z501" i="3" s="1"/>
  <c r="Y163" i="3"/>
  <c r="Z164" i="3" s="1"/>
  <c r="Y725" i="3"/>
  <c r="Z726" i="3" s="1"/>
  <c r="Y466" i="3"/>
  <c r="Z467" i="3" s="1"/>
  <c r="Y762" i="3"/>
  <c r="Z763" i="3" s="1"/>
  <c r="Y65" i="3"/>
  <c r="Z66" i="3" s="1"/>
  <c r="Y144" i="3"/>
  <c r="Z145" i="3" s="1"/>
  <c r="Y311" i="3"/>
  <c r="Z312" i="3" s="1"/>
  <c r="Y478" i="3"/>
  <c r="Z479" i="3" s="1"/>
  <c r="Y645" i="3"/>
  <c r="Z646" i="3" s="1"/>
  <c r="Y133" i="3"/>
  <c r="Z134" i="3" s="1"/>
  <c r="Y1138" i="3"/>
  <c r="Z1139" i="3" s="1"/>
  <c r="Y547" i="3"/>
  <c r="Z548" i="3" s="1"/>
  <c r="Y520" i="3"/>
  <c r="Z521" i="3" s="1"/>
  <c r="Y687" i="3"/>
  <c r="Z688" i="3" s="1"/>
  <c r="Y175" i="3"/>
  <c r="Z176" i="3" s="1"/>
  <c r="Y342" i="3"/>
  <c r="Z343" i="3" s="1"/>
  <c r="Y509" i="3"/>
  <c r="Z510" i="3" s="1"/>
  <c r="Y676" i="3"/>
  <c r="Z677" i="3" s="1"/>
  <c r="Y164" i="3"/>
  <c r="Z165" i="3" s="1"/>
  <c r="Y591" i="3"/>
  <c r="Z592" i="3" s="1"/>
  <c r="Y1203" i="3"/>
  <c r="Z1204" i="3" s="1"/>
  <c r="Y1091" i="3"/>
  <c r="Z1092" i="3" s="1"/>
  <c r="Y709" i="3"/>
  <c r="Z710" i="3" s="1"/>
  <c r="Y117" i="3"/>
  <c r="Z118" i="3" s="1"/>
  <c r="Y977" i="3"/>
  <c r="Z978" i="3" s="1"/>
  <c r="Y817" i="3"/>
  <c r="Z818" i="3" s="1"/>
  <c r="Y974" i="3"/>
  <c r="Z975" i="3" s="1"/>
  <c r="Y459" i="3"/>
  <c r="Z460" i="3" s="1"/>
  <c r="Y769" i="3"/>
  <c r="Z770" i="3" s="1"/>
  <c r="Y1125" i="3"/>
  <c r="Z1126" i="3" s="1"/>
  <c r="Y888" i="3"/>
  <c r="Z889" i="3" s="1"/>
  <c r="Y1055" i="3"/>
  <c r="Z1056" i="3" s="1"/>
  <c r="Y668" i="3"/>
  <c r="Z669" i="3" s="1"/>
  <c r="Y1037" i="3"/>
  <c r="Z1038" i="3" s="1"/>
  <c r="Y1204" i="3"/>
  <c r="Z1205" i="3" s="1"/>
  <c r="Y1136" i="3"/>
  <c r="Z1137" i="3" s="1"/>
  <c r="Y791" i="3"/>
  <c r="Z792" i="3" s="1"/>
  <c r="Y1191" i="3"/>
  <c r="Z1192" i="3" s="1"/>
  <c r="Y811" i="3"/>
  <c r="Z812" i="3" s="1"/>
  <c r="Y724" i="3"/>
  <c r="Z725" i="3" s="1"/>
  <c r="Y872" i="3"/>
  <c r="Z873" i="3" s="1"/>
  <c r="Y1039" i="3"/>
  <c r="Z1040" i="3" s="1"/>
  <c r="Y595" i="3"/>
  <c r="Z596" i="3" s="1"/>
  <c r="Y540" i="3"/>
  <c r="Z541" i="3" s="1"/>
  <c r="Y1148" i="3"/>
  <c r="Z1149" i="3" s="1"/>
  <c r="Y893" i="3"/>
  <c r="Z894" i="3" s="1"/>
  <c r="Y657" i="3"/>
  <c r="Z658" i="3" s="1"/>
  <c r="Y1117" i="3"/>
  <c r="Z1118" i="3" s="1"/>
  <c r="Y1120" i="3"/>
  <c r="Z1121" i="3" s="1"/>
  <c r="Y499" i="3"/>
  <c r="Z500" i="3" s="1"/>
  <c r="Y775" i="3"/>
  <c r="Z776" i="3" s="1"/>
  <c r="Y942" i="3"/>
  <c r="Z943" i="3" s="1"/>
  <c r="Y1092" i="3"/>
  <c r="Z1093" i="3" s="1"/>
  <c r="Y675" i="3"/>
  <c r="Z676" i="3" s="1"/>
  <c r="Y1061" i="3"/>
  <c r="Z1062" i="3" s="1"/>
  <c r="Y856" i="3"/>
  <c r="Z857" i="3" s="1"/>
  <c r="Y1023" i="3"/>
  <c r="Z1024" i="3" s="1"/>
  <c r="Y235" i="3"/>
  <c r="Z236" i="3" s="1"/>
  <c r="Y412" i="3"/>
  <c r="Z413" i="3" s="1"/>
  <c r="Y701" i="3"/>
  <c r="Z702" i="3" s="1"/>
  <c r="Y738" i="3"/>
  <c r="Z739" i="3" s="1"/>
  <c r="Y694" i="3"/>
  <c r="Z695" i="3" s="1"/>
  <c r="Y170" i="3"/>
  <c r="Z171" i="3" s="1"/>
  <c r="Y1050" i="3"/>
  <c r="Z1051" i="3" s="1"/>
  <c r="Y314" i="3"/>
  <c r="Z315" i="3" s="1"/>
  <c r="Y588" i="3"/>
  <c r="Z589" i="3" s="1"/>
  <c r="Y76" i="3"/>
  <c r="Z77" i="3" s="1"/>
  <c r="Y114" i="3"/>
  <c r="Z115" i="3" s="1"/>
  <c r="Y98" i="3"/>
  <c r="Z99" i="3" s="1"/>
  <c r="Y850" i="3"/>
  <c r="Z851" i="3" s="1"/>
  <c r="Y232" i="3"/>
  <c r="Z233" i="3" s="1"/>
  <c r="Y399" i="3"/>
  <c r="Z400" i="3" s="1"/>
  <c r="Y566" i="3"/>
  <c r="Z567" i="3" s="1"/>
  <c r="Y54" i="3"/>
  <c r="Z55" i="3" s="1"/>
  <c r="Y221" i="3"/>
  <c r="Z222" i="3" s="1"/>
  <c r="Y388" i="3"/>
  <c r="Z389" i="3" s="1"/>
  <c r="Y345" i="3"/>
  <c r="Z346" i="3" s="1"/>
  <c r="Y1098" i="3"/>
  <c r="Z1099" i="3" s="1"/>
  <c r="Y442" i="3"/>
  <c r="Z443" i="3" s="1"/>
  <c r="Y480" i="3"/>
  <c r="Z481" i="3" s="1"/>
  <c r="Y647" i="3"/>
  <c r="Z648" i="3" s="1"/>
  <c r="Y135" i="3"/>
  <c r="Z136" i="3" s="1"/>
  <c r="Y302" i="3"/>
  <c r="Z303" i="3" s="1"/>
  <c r="Y469" i="3"/>
  <c r="Z470" i="3" s="1"/>
  <c r="Y636" i="3"/>
  <c r="Z637" i="3" s="1"/>
  <c r="Y124" i="3"/>
  <c r="Z125" i="3" s="1"/>
  <c r="Y323" i="3"/>
  <c r="Z324" i="3" s="1"/>
  <c r="Y321" i="3"/>
  <c r="Z322" i="3" s="1"/>
  <c r="Y898" i="3"/>
  <c r="Z899" i="3" s="1"/>
  <c r="Y280" i="3"/>
  <c r="Z281" i="3" s="1"/>
  <c r="Y447" i="3"/>
  <c r="Z448" i="3" s="1"/>
  <c r="Y614" i="3"/>
  <c r="Z615" i="3" s="1"/>
  <c r="Y102" i="3"/>
  <c r="Z103" i="3" s="1"/>
  <c r="Y269" i="3"/>
  <c r="Z270" i="3" s="1"/>
  <c r="Y436" i="3"/>
  <c r="Z437" i="3" s="1"/>
  <c r="Y99" i="3"/>
  <c r="Z100" i="3" s="1"/>
  <c r="Y633" i="3"/>
  <c r="Z634" i="3" s="1"/>
  <c r="Y297" i="3"/>
  <c r="Z298" i="3" s="1"/>
  <c r="Y698" i="3"/>
  <c r="Z699" i="3" s="1"/>
  <c r="Y592" i="3"/>
  <c r="Z593" i="3" s="1"/>
  <c r="Y80" i="3"/>
  <c r="Z81" i="3" s="1"/>
  <c r="Y247" i="3"/>
  <c r="Z248" i="3" s="1"/>
  <c r="Y414" i="3"/>
  <c r="Z415" i="3" s="1"/>
  <c r="Y581" i="3"/>
  <c r="Z582" i="3" s="1"/>
  <c r="Y69" i="3"/>
  <c r="Z70" i="3" s="1"/>
  <c r="Y236" i="3"/>
  <c r="Z237" i="3" s="1"/>
  <c r="Y718" i="3"/>
  <c r="Z719" i="3" s="1"/>
  <c r="Y274" i="3"/>
  <c r="Z275" i="3" s="1"/>
  <c r="Y1074" i="3"/>
  <c r="Z1075" i="3" s="1"/>
  <c r="Y378" i="3"/>
  <c r="Z379" i="3" s="1"/>
  <c r="Y456" i="3"/>
  <c r="Z457" i="3" s="1"/>
  <c r="Y623" i="3"/>
  <c r="Z624" i="3" s="1"/>
  <c r="Y111" i="3"/>
  <c r="Z112" i="3" s="1"/>
  <c r="Y278" i="3"/>
  <c r="Z279" i="3" s="1"/>
  <c r="Y445" i="3"/>
  <c r="Z446" i="3" s="1"/>
  <c r="Y612" i="3"/>
  <c r="Z613" i="3" s="1"/>
  <c r="Y100" i="3"/>
  <c r="Z101" i="3" s="1"/>
  <c r="Y425" i="3"/>
  <c r="Z426" i="3" s="1"/>
  <c r="Y284" i="3"/>
  <c r="Z285" i="3" s="1"/>
  <c r="Y1210" i="3"/>
  <c r="Z1211" i="3" s="1"/>
  <c r="Y743" i="3"/>
  <c r="Z744" i="3" s="1"/>
  <c r="Y997" i="3"/>
  <c r="Z998" i="3" s="1"/>
  <c r="Y824" i="3"/>
  <c r="Z825" i="3" s="1"/>
  <c r="Y991" i="3"/>
  <c r="Z992" i="3" s="1"/>
  <c r="Y1158" i="3"/>
  <c r="Z1159" i="3" s="1"/>
  <c r="Y1186" i="3"/>
  <c r="Z1187" i="3" s="1"/>
  <c r="Y909" i="3"/>
  <c r="Z910" i="3" s="1"/>
  <c r="Y713" i="3"/>
  <c r="Z714" i="3" s="1"/>
  <c r="Y1072" i="3"/>
  <c r="Z1073" i="3" s="1"/>
  <c r="Y371" i="3"/>
  <c r="Z372" i="3" s="1"/>
  <c r="Y1189" i="3"/>
  <c r="Z1190" i="3" s="1"/>
  <c r="Y965" i="3"/>
  <c r="Z966" i="3" s="1"/>
  <c r="Y808" i="3"/>
  <c r="Z809" i="3" s="1"/>
  <c r="Y975" i="3"/>
  <c r="Z976" i="3" s="1"/>
  <c r="Y1142" i="3"/>
  <c r="Z1143" i="3" s="1"/>
  <c r="Y1002" i="3"/>
  <c r="Z1003" i="3" s="1"/>
  <c r="Y1020" i="3"/>
  <c r="Z1021" i="3" s="1"/>
  <c r="Y1170" i="3"/>
  <c r="Z1171" i="3" s="1"/>
  <c r="Y777" i="3"/>
  <c r="Z778" i="3" s="1"/>
  <c r="Y1211" i="3"/>
  <c r="Z1212" i="3" s="1"/>
  <c r="Y1056" i="3"/>
  <c r="Z1057" i="3" s="1"/>
  <c r="Y330" i="3"/>
  <c r="Z331" i="3" s="1"/>
  <c r="Y711" i="3"/>
  <c r="Z712" i="3" s="1"/>
  <c r="Y878" i="3"/>
  <c r="Z879" i="3" s="1"/>
  <c r="Y1089" i="3"/>
  <c r="Z1090" i="3" s="1"/>
  <c r="Y1167" i="3"/>
  <c r="Z1168" i="3" s="1"/>
  <c r="Y900" i="3"/>
  <c r="Z901" i="3" s="1"/>
  <c r="Y933" i="3"/>
  <c r="Z934" i="3" s="1"/>
  <c r="Y792" i="3"/>
  <c r="Z793" i="3" s="1"/>
  <c r="Y959" i="3"/>
  <c r="Z960" i="3" s="1"/>
  <c r="Y1126" i="3"/>
  <c r="Z1127" i="3" s="1"/>
  <c r="Y874" i="3"/>
  <c r="Z875" i="3" s="1"/>
  <c r="Y75" i="3"/>
  <c r="Z76" i="3" s="1"/>
  <c r="Y658" i="3"/>
  <c r="Z659" i="3" s="1"/>
  <c r="Y212" i="3"/>
  <c r="Z213" i="3" s="1"/>
  <c r="Y561" i="3"/>
  <c r="Z562" i="3" s="1"/>
  <c r="Y986" i="3"/>
  <c r="Z987" i="3" s="1"/>
  <c r="Y524" i="3"/>
  <c r="Z525" i="3" s="1"/>
  <c r="Y749" i="3"/>
  <c r="Z750" i="3" s="1"/>
  <c r="Y530" i="3"/>
  <c r="Z531" i="3" s="1"/>
  <c r="Y786" i="3"/>
  <c r="Z787" i="3" s="1"/>
  <c r="Y168" i="3"/>
  <c r="Z169" i="3" s="1"/>
  <c r="Y335" i="3"/>
  <c r="Z336" i="3" s="1"/>
  <c r="Y502" i="3"/>
  <c r="Z503" i="3" s="1"/>
  <c r="Y669" i="3"/>
  <c r="Z670" i="3" s="1"/>
  <c r="Y157" i="3"/>
  <c r="Z158" i="3" s="1"/>
  <c r="Y666" i="3"/>
  <c r="Z667" i="3" s="1"/>
  <c r="Y42" i="3"/>
  <c r="Z43" i="3" s="1"/>
  <c r="Y1034" i="3"/>
  <c r="Z1035" i="3" s="1"/>
  <c r="Y259" i="3"/>
  <c r="Z260" i="3" s="1"/>
  <c r="Y416" i="3"/>
  <c r="Z417" i="3" s="1"/>
  <c r="Y583" i="3"/>
  <c r="Z584" i="3" s="1"/>
  <c r="Y71" i="3"/>
  <c r="Z72" i="3" s="1"/>
  <c r="Y238" i="3"/>
  <c r="Z239" i="3" s="1"/>
  <c r="Y405" i="3"/>
  <c r="Z406" i="3" s="1"/>
  <c r="Y572" i="3"/>
  <c r="Z573" i="3" s="1"/>
  <c r="Y60" i="3"/>
  <c r="Z61" i="3" s="1"/>
  <c r="Y797" i="3"/>
  <c r="Z798" i="3" s="1"/>
  <c r="Y643" i="3"/>
  <c r="Z644" i="3" s="1"/>
  <c r="Y834" i="3"/>
  <c r="Z835" i="3" s="1"/>
  <c r="Y137" i="3"/>
  <c r="Z138" i="3" s="1"/>
  <c r="Y216" i="3"/>
  <c r="Z217" i="3" s="1"/>
  <c r="Y383" i="3"/>
  <c r="Z384" i="3" s="1"/>
  <c r="Y550" i="3"/>
  <c r="Z551" i="3" s="1"/>
  <c r="Y38" i="3"/>
  <c r="Z39" i="3" s="1"/>
  <c r="Y205" i="3"/>
  <c r="Z206" i="3" s="1"/>
  <c r="Y372" i="3"/>
  <c r="Z373" i="3" s="1"/>
  <c r="Y35" i="3"/>
  <c r="Z36" i="3" s="1"/>
  <c r="Y473" i="3"/>
  <c r="Z474" i="3" s="1"/>
  <c r="Y1146" i="3"/>
  <c r="Z1147" i="3" s="1"/>
  <c r="Y570" i="3"/>
  <c r="Z571" i="3" s="1"/>
  <c r="Y528" i="3"/>
  <c r="Z529" i="3" s="1"/>
  <c r="Y16" i="3"/>
  <c r="Z17" i="3" s="1"/>
  <c r="Y183" i="3"/>
  <c r="Z184" i="3" s="1"/>
  <c r="Y350" i="3"/>
  <c r="Z351" i="3" s="1"/>
  <c r="Y517" i="3"/>
  <c r="Z518" i="3" s="1"/>
  <c r="Y684" i="3"/>
  <c r="Z685" i="3" s="1"/>
  <c r="Y172" i="3"/>
  <c r="Z173" i="3" s="1"/>
  <c r="Y618" i="3"/>
  <c r="Z619" i="3" s="1"/>
  <c r="Y616" i="3"/>
  <c r="Z617" i="3" s="1"/>
  <c r="Y1010" i="3"/>
  <c r="Z1011" i="3" s="1"/>
  <c r="Y146" i="3"/>
  <c r="Z147" i="3" s="1"/>
  <c r="Y392" i="3"/>
  <c r="Z393" i="3" s="1"/>
  <c r="Y559" i="3"/>
  <c r="Z560" i="3" s="1"/>
  <c r="Y47" i="3"/>
  <c r="Z48" i="3" s="1"/>
  <c r="Y214" i="3"/>
  <c r="Z215" i="3" s="1"/>
  <c r="Y381" i="3"/>
  <c r="Z382" i="3" s="1"/>
  <c r="Y548" i="3"/>
  <c r="Z549" i="3" s="1"/>
  <c r="Y36" i="3"/>
  <c r="Z37" i="3" s="1"/>
  <c r="Y720" i="3"/>
  <c r="Z721" i="3" s="1"/>
  <c r="Y740" i="3"/>
  <c r="Z741" i="3" s="1"/>
  <c r="Y746" i="3"/>
  <c r="Z747" i="3" s="1"/>
  <c r="Y1097" i="3"/>
  <c r="Z1098" i="3" s="1"/>
  <c r="Y846" i="3"/>
  <c r="Z847" i="3" s="1"/>
  <c r="Y833" i="3"/>
  <c r="Z834" i="3" s="1"/>
  <c r="Y869" i="3"/>
  <c r="Z870" i="3" s="1"/>
  <c r="Y760" i="3"/>
  <c r="Z761" i="3" s="1"/>
  <c r="Y927" i="3"/>
  <c r="Z928" i="3" s="1"/>
  <c r="Y1033" i="3"/>
  <c r="Z1034" i="3" s="1"/>
  <c r="Y1169" i="3"/>
  <c r="Z1170" i="3" s="1"/>
  <c r="Y1008" i="3"/>
  <c r="Z1009" i="3" s="1"/>
  <c r="Y692" i="3"/>
  <c r="Z693" i="3" s="1"/>
  <c r="Y837" i="3"/>
  <c r="Z838" i="3" s="1"/>
  <c r="Y744" i="3"/>
  <c r="Z745" i="3" s="1"/>
  <c r="Y911" i="3"/>
  <c r="Z912" i="3" s="1"/>
  <c r="Y82" i="3"/>
  <c r="Z83" i="3" s="1"/>
  <c r="Y892" i="3"/>
  <c r="Z893" i="3" s="1"/>
  <c r="Y992" i="3"/>
  <c r="Z993" i="3" s="1"/>
  <c r="Y1159" i="3"/>
  <c r="Z1160" i="3" s="1"/>
  <c r="Y603" i="3"/>
  <c r="Z604" i="3" s="1"/>
  <c r="Y814" i="3"/>
  <c r="Z815" i="3" s="1"/>
  <c r="Y1180" i="3"/>
  <c r="Z1181" i="3" s="1"/>
  <c r="Y805" i="3"/>
  <c r="Z806" i="3" s="1"/>
  <c r="Y728" i="3"/>
  <c r="Z729" i="3" s="1"/>
  <c r="Y895" i="3"/>
  <c r="Z896" i="3" s="1"/>
  <c r="Y766" i="3"/>
  <c r="Z767" i="3" s="1"/>
  <c r="Y1122" i="3"/>
  <c r="Z1123" i="3" s="1"/>
  <c r="Y506" i="3"/>
  <c r="Z507" i="3" s="1"/>
  <c r="Y660" i="3"/>
  <c r="Z661" i="3" s="1"/>
  <c r="Y387" i="3"/>
  <c r="Z388" i="3" s="1"/>
  <c r="Y385" i="3"/>
  <c r="Z386" i="3" s="1"/>
  <c r="Y922" i="3"/>
  <c r="Z923" i="3" s="1"/>
  <c r="Y304" i="3"/>
  <c r="Z305" i="3" s="1"/>
  <c r="Y471" i="3"/>
  <c r="Z472" i="3" s="1"/>
  <c r="Y638" i="3"/>
  <c r="Z639" i="3" s="1"/>
  <c r="Y126" i="3"/>
  <c r="Z127" i="3" s="1"/>
  <c r="Y293" i="3"/>
  <c r="Z294" i="3" s="1"/>
  <c r="Y460" i="3"/>
  <c r="Z461" i="3" s="1"/>
  <c r="Y123" i="3"/>
  <c r="Z124" i="3" s="1"/>
  <c r="Y681" i="3"/>
  <c r="Z682" i="3" s="1"/>
  <c r="Y361" i="3"/>
  <c r="Z362" i="3" s="1"/>
  <c r="Y722" i="3"/>
  <c r="Z723" i="3" s="1"/>
  <c r="Y104" i="3"/>
  <c r="Z105" i="3" s="1"/>
  <c r="Y271" i="3"/>
  <c r="Z272" i="3" s="1"/>
  <c r="Y438" i="3"/>
  <c r="Z439" i="3" s="1"/>
  <c r="Y605" i="3"/>
  <c r="Z606" i="3" s="1"/>
  <c r="Y93" i="3"/>
  <c r="Z94" i="3" s="1"/>
  <c r="Y515" i="3"/>
  <c r="Z516" i="3" s="1"/>
  <c r="Y513" i="3"/>
  <c r="Z514" i="3" s="1"/>
  <c r="Y970" i="3"/>
  <c r="Z971" i="3" s="1"/>
  <c r="Y273" i="3"/>
  <c r="Z274" i="3" s="1"/>
  <c r="Y352" i="3"/>
  <c r="Z353" i="3" s="1"/>
  <c r="Y519" i="3"/>
  <c r="Z520" i="3" s="1"/>
  <c r="Y686" i="3"/>
  <c r="Z687" i="3" s="1"/>
  <c r="Y174" i="3"/>
  <c r="Z175" i="3" s="1"/>
  <c r="Y341" i="3"/>
  <c r="Z342" i="3" s="1"/>
  <c r="Y508" i="3"/>
  <c r="Z509" i="3" s="1"/>
  <c r="Y171" i="3"/>
  <c r="Z172" i="3" s="1"/>
  <c r="Y733" i="3"/>
  <c r="Z734" i="3" s="1"/>
  <c r="Y489" i="3"/>
  <c r="Z490" i="3" s="1"/>
  <c r="Y770" i="3"/>
  <c r="Z771" i="3" s="1"/>
  <c r="Y152" i="3"/>
  <c r="Z153" i="3" s="1"/>
  <c r="Y319" i="3"/>
  <c r="Z320" i="3" s="1"/>
  <c r="Y486" i="3"/>
  <c r="Z487" i="3" s="1"/>
  <c r="Y653" i="3"/>
  <c r="Z654" i="3" s="1"/>
  <c r="Y141" i="3"/>
  <c r="Z142" i="3" s="1"/>
  <c r="Y308" i="3"/>
  <c r="Z309" i="3" s="1"/>
  <c r="Y726" i="3"/>
  <c r="Z727" i="3" s="1"/>
  <c r="Y299" i="3"/>
  <c r="Z300" i="3" s="1"/>
  <c r="Y1082" i="3"/>
  <c r="Z1083" i="3" s="1"/>
  <c r="Y464" i="3"/>
  <c r="Z465" i="3" s="1"/>
  <c r="Y631" i="3"/>
  <c r="Z632" i="3" s="1"/>
  <c r="Y119" i="3"/>
  <c r="Z120" i="3" s="1"/>
  <c r="Y286" i="3"/>
  <c r="Z287" i="3" s="1"/>
  <c r="Y453" i="3"/>
  <c r="Z454" i="3" s="1"/>
  <c r="Y620" i="3"/>
  <c r="Z621" i="3" s="1"/>
  <c r="Y108" i="3"/>
  <c r="Z109" i="3" s="1"/>
  <c r="Y451" i="3"/>
  <c r="Z452" i="3" s="1"/>
  <c r="Y449" i="3"/>
  <c r="Z450" i="3" s="1"/>
  <c r="Y946" i="3"/>
  <c r="Z947" i="3" s="1"/>
  <c r="Y249" i="3"/>
  <c r="Z250" i="3" s="1"/>
  <c r="Y328" i="3"/>
  <c r="Z329" i="3" s="1"/>
  <c r="Y495" i="3"/>
  <c r="Z496" i="3" s="1"/>
  <c r="Y662" i="3"/>
  <c r="Z663" i="3" s="1"/>
  <c r="Y150" i="3"/>
  <c r="Z151" i="3" s="1"/>
  <c r="Y317" i="3"/>
  <c r="Z318" i="3" s="1"/>
  <c r="Y484" i="3"/>
  <c r="Z485" i="3" s="1"/>
  <c r="Y147" i="3"/>
  <c r="Z148" i="3" s="1"/>
  <c r="Y887" i="3"/>
  <c r="Z888" i="3" s="1"/>
  <c r="Y708" i="3"/>
  <c r="Z709" i="3" s="1"/>
  <c r="Y1069" i="3"/>
  <c r="Z1070" i="3" s="1"/>
  <c r="Y774" i="3"/>
  <c r="Z775" i="3" s="1"/>
  <c r="Y1041" i="3"/>
  <c r="Z1042" i="3" s="1"/>
  <c r="Y696" i="3"/>
  <c r="Z697" i="3" s="1"/>
  <c r="Y863" i="3"/>
  <c r="Z864" i="3" s="1"/>
  <c r="Y1030" i="3"/>
  <c r="Z1031" i="3" s="1"/>
  <c r="Y1207" i="3"/>
  <c r="Z1208" i="3" s="1"/>
  <c r="Y1200" i="3"/>
  <c r="Z1201" i="3" s="1"/>
  <c r="Y944" i="3"/>
  <c r="Z945" i="3" s="1"/>
  <c r="Y1111" i="3"/>
  <c r="Z1112" i="3" s="1"/>
  <c r="Y710" i="3"/>
  <c r="Z711" i="3" s="1"/>
  <c r="Y813" i="3"/>
  <c r="Z814" i="3" s="1"/>
  <c r="Y913" i="3"/>
  <c r="Z914" i="3" s="1"/>
  <c r="Y354" i="3"/>
  <c r="Z355" i="3" s="1"/>
  <c r="Y1153" i="3"/>
  <c r="Z1154" i="3" s="1"/>
  <c r="Y847" i="3"/>
  <c r="Z848" i="3" s="1"/>
  <c r="Y1014" i="3"/>
  <c r="Z1015" i="3" s="1"/>
  <c r="Y1108" i="3"/>
  <c r="Z1109" i="3" s="1"/>
  <c r="Y753" i="3"/>
  <c r="Z754" i="3" s="1"/>
  <c r="Y1184" i="3"/>
  <c r="Z1185" i="3" s="1"/>
  <c r="Y928" i="3"/>
  <c r="Z929" i="3" s="1"/>
  <c r="Y1095" i="3"/>
  <c r="Z1096" i="3" s="1"/>
  <c r="Y313" i="3"/>
  <c r="Z314" i="3" s="1"/>
  <c r="Y779" i="3"/>
  <c r="Z780" i="3" s="1"/>
  <c r="Y1181" i="3"/>
  <c r="Z1182" i="3" s="1"/>
  <c r="Y1025" i="3"/>
  <c r="Z1026" i="3" s="1"/>
  <c r="Y395" i="3"/>
  <c r="Z396" i="3" s="1"/>
  <c r="Y640" i="3"/>
  <c r="Z641" i="3" s="1"/>
  <c r="Y831" i="3"/>
  <c r="Z832" i="3" s="1"/>
  <c r="Y998" i="3"/>
  <c r="Z999" i="3" s="1"/>
  <c r="Y1058" i="3"/>
  <c r="Z1059" i="3" s="1"/>
  <c r="Y440" i="3"/>
  <c r="Z441" i="3" s="1"/>
  <c r="Y607" i="3"/>
  <c r="Z608" i="3" s="1"/>
  <c r="Y95" i="3"/>
  <c r="Z96" i="3" s="1"/>
  <c r="Y262" i="3"/>
  <c r="Z263" i="3" s="1"/>
  <c r="Y429" i="3"/>
  <c r="Z430" i="3" s="1"/>
  <c r="Y596" i="3"/>
  <c r="Z597" i="3" s="1"/>
  <c r="Y178" i="3"/>
  <c r="Z179" i="3" s="1"/>
  <c r="Y858" i="3"/>
  <c r="Z859" i="3" s="1"/>
  <c r="Y161" i="3"/>
  <c r="Z162" i="3" s="1"/>
  <c r="Y396" i="3"/>
  <c r="Z397" i="3" s="1"/>
  <c r="Y59" i="3"/>
  <c r="Z60" i="3" s="1"/>
  <c r="Y626" i="3"/>
  <c r="Z627" i="3" s="1"/>
  <c r="Y552" i="3"/>
  <c r="Z553" i="3" s="1"/>
  <c r="Y40" i="3"/>
  <c r="Z41" i="3" s="1"/>
  <c r="Y207" i="3"/>
  <c r="Z208" i="3" s="1"/>
  <c r="Y374" i="3"/>
  <c r="Z375" i="3" s="1"/>
  <c r="Y541" i="3"/>
  <c r="Z542" i="3" s="1"/>
  <c r="Y29" i="3"/>
  <c r="Z30" i="3" s="1"/>
  <c r="Y339" i="3"/>
  <c r="Z340" i="3" s="1"/>
  <c r="Y906" i="3"/>
  <c r="Z907" i="3" s="1"/>
  <c r="Y288" i="3"/>
  <c r="Z289" i="3" s="1"/>
  <c r="Y455" i="3"/>
  <c r="Z456" i="3" s="1"/>
  <c r="Y622" i="3"/>
  <c r="Z623" i="3" s="1"/>
  <c r="Y110" i="3"/>
  <c r="Z111" i="3" s="1"/>
  <c r="Y277" i="3"/>
  <c r="Z278" i="3" s="1"/>
  <c r="Y444" i="3"/>
  <c r="Z445" i="3" s="1"/>
  <c r="Y107" i="3"/>
  <c r="Z108" i="3" s="1"/>
  <c r="Y649" i="3"/>
  <c r="Z650" i="3" s="1"/>
  <c r="Y315" i="3"/>
  <c r="Z316" i="3" s="1"/>
  <c r="Y706" i="3"/>
  <c r="Z707" i="3" s="1"/>
  <c r="Y600" i="3"/>
  <c r="Z601" i="3" s="1"/>
  <c r="Y88" i="3"/>
  <c r="Z89" i="3" s="1"/>
  <c r="Y255" i="3"/>
  <c r="Z256" i="3" s="1"/>
  <c r="Y422" i="3"/>
  <c r="Z423" i="3" s="1"/>
  <c r="Y589" i="3"/>
  <c r="Z590" i="3" s="1"/>
  <c r="Y77" i="3"/>
  <c r="Z78" i="3" s="1"/>
  <c r="Y244" i="3"/>
  <c r="Z245" i="3" s="1"/>
  <c r="Y1018" i="3"/>
  <c r="Z1019" i="3" s="1"/>
  <c r="Y195" i="3"/>
  <c r="Z196" i="3" s="1"/>
  <c r="Y400" i="3"/>
  <c r="Z401" i="3" s="1"/>
  <c r="Y567" i="3"/>
  <c r="Z568" i="3" s="1"/>
  <c r="Y55" i="3"/>
  <c r="Z56" i="3" s="1"/>
  <c r="Y222" i="3"/>
  <c r="Z223" i="3" s="1"/>
  <c r="Y389" i="3"/>
  <c r="Z390" i="3" s="1"/>
  <c r="Y556" i="3"/>
  <c r="Z557" i="3" s="1"/>
  <c r="Y44" i="3"/>
  <c r="Z45" i="3" s="1"/>
  <c r="Y267" i="3"/>
  <c r="Z268" i="3" s="1"/>
  <c r="Y882" i="3"/>
  <c r="Z883" i="3" s="1"/>
  <c r="Y185" i="3"/>
  <c r="Z186" i="3" s="1"/>
  <c r="Y264" i="3"/>
  <c r="Z265" i="3" s="1"/>
  <c r="Y431" i="3"/>
  <c r="Z432" i="3" s="1"/>
  <c r="Y598" i="3"/>
  <c r="Z599" i="3" s="1"/>
  <c r="Y86" i="3"/>
  <c r="Z87" i="3" s="1"/>
  <c r="Y253" i="3"/>
  <c r="Z254" i="3" s="1"/>
  <c r="Y420" i="3"/>
  <c r="Z421" i="3" s="1"/>
  <c r="Y83" i="3"/>
  <c r="Z84" i="3" s="1"/>
  <c r="Y1134" i="3"/>
  <c r="Z1135" i="3" s="1"/>
  <c r="Y194" i="3"/>
  <c r="Z195" i="3" s="1"/>
  <c r="Y1081" i="3"/>
  <c r="Z1082" i="3" s="1"/>
  <c r="Y891" i="3"/>
  <c r="Z892" i="3" s="1"/>
  <c r="Y1195" i="3"/>
  <c r="Z1196" i="3" s="1"/>
  <c r="Y982" i="3"/>
  <c r="Z983" i="3" s="1"/>
  <c r="Y128" i="3"/>
  <c r="Z129" i="3" s="1"/>
  <c r="Y785" i="3"/>
  <c r="Z786" i="3" s="1"/>
  <c r="Y625" i="3"/>
  <c r="Z626" i="3" s="1"/>
  <c r="Y788" i="3"/>
  <c r="Z789" i="3" s="1"/>
  <c r="Y1141" i="3"/>
  <c r="Z1142" i="3" s="1"/>
  <c r="Y1179" i="3"/>
  <c r="Z1180" i="3" s="1"/>
  <c r="Y1085" i="3"/>
  <c r="Z1086" i="3" s="1"/>
  <c r="Y1144" i="3"/>
  <c r="Z1145" i="3" s="1"/>
  <c r="Y563" i="3"/>
  <c r="Z564" i="3" s="1"/>
  <c r="Y799" i="3"/>
  <c r="Z800" i="3" s="1"/>
  <c r="Y747" i="3"/>
  <c r="Z748" i="3" s="1"/>
  <c r="Y880" i="3"/>
  <c r="Z881" i="3" s="1"/>
  <c r="Y1047" i="3"/>
  <c r="Z1048" i="3" s="1"/>
  <c r="Y306" i="3"/>
  <c r="Z307" i="3" s="1"/>
  <c r="Y242" i="3"/>
  <c r="Z243" i="3" s="1"/>
  <c r="Y1163" i="3"/>
  <c r="Z1164" i="3" s="1"/>
  <c r="Y957" i="3"/>
  <c r="Z958" i="3" s="1"/>
  <c r="Y801" i="3"/>
  <c r="Z802" i="3" s="1"/>
  <c r="Y1172" i="3"/>
  <c r="Z1173" i="3" s="1"/>
  <c r="Y1128" i="3"/>
  <c r="Z1129" i="3" s="1"/>
  <c r="Y522" i="3"/>
  <c r="Z523" i="3" s="1"/>
  <c r="Y950" i="3"/>
  <c r="Z951" i="3" s="1"/>
  <c r="Y1043" i="3"/>
  <c r="Z1044" i="3" s="1"/>
  <c r="Y705" i="3"/>
  <c r="Z706" i="3" s="1"/>
  <c r="Y1077" i="3"/>
  <c r="Z1078" i="3" s="1"/>
  <c r="Y864" i="3"/>
  <c r="Z865" i="3" s="1"/>
  <c r="Y1031" i="3"/>
  <c r="Z1032" i="3" s="1"/>
  <c r="Y426" i="3"/>
  <c r="Z427" i="3" s="1"/>
  <c r="Y476" i="3"/>
  <c r="Z477" i="3" s="1"/>
  <c r="Y1132" i="3"/>
  <c r="Z1133" i="3" s="1"/>
  <c r="Y829" i="3"/>
  <c r="Z830" i="3" s="1"/>
  <c r="Y1196" i="3"/>
  <c r="Z1197" i="3" s="1"/>
  <c r="Y1053" i="3"/>
  <c r="Z1054" i="3" s="1"/>
  <c r="Y1112" i="3"/>
  <c r="Z1113" i="3" s="1"/>
  <c r="Y767" i="3"/>
  <c r="Z768" i="3" s="1"/>
  <c r="Y934" i="3"/>
  <c r="Z935" i="3" s="1"/>
  <c r="Y579" i="3"/>
  <c r="Z580" i="3" s="1"/>
  <c r="Y577" i="3"/>
  <c r="Z578" i="3" s="1"/>
  <c r="Y994" i="3"/>
  <c r="Z995" i="3" s="1"/>
  <c r="Y532" i="3"/>
  <c r="Z533" i="3" s="1"/>
  <c r="Y757" i="3"/>
  <c r="Z758" i="3" s="1"/>
  <c r="Y794" i="3"/>
  <c r="Z795" i="3" s="1"/>
  <c r="Y332" i="3"/>
  <c r="Z333" i="3" s="1"/>
  <c r="Y750" i="3"/>
  <c r="Z751" i="3" s="1"/>
  <c r="Y363" i="3"/>
  <c r="Z364" i="3" s="1"/>
  <c r="Y1106" i="3"/>
  <c r="Z1107" i="3" s="1"/>
  <c r="Y488" i="3"/>
  <c r="Z489" i="3" s="1"/>
  <c r="Y655" i="3"/>
  <c r="Z656" i="3" s="1"/>
  <c r="Y143" i="3"/>
  <c r="Z144" i="3" s="1"/>
  <c r="Y310" i="3"/>
  <c r="Z311" i="3" s="1"/>
  <c r="Y477" i="3"/>
  <c r="Z478" i="3" s="1"/>
  <c r="Y132" i="3"/>
  <c r="Z133" i="3" s="1"/>
  <c r="Y50" i="3"/>
  <c r="Z51" i="3" s="1"/>
  <c r="Y34" i="3"/>
  <c r="Z35" i="3" s="1"/>
  <c r="Y842" i="3"/>
  <c r="Z843" i="3" s="1"/>
  <c r="Y224" i="3"/>
  <c r="Z225" i="3" s="1"/>
  <c r="Y391" i="3"/>
  <c r="Z392" i="3" s="1"/>
  <c r="Y558" i="3"/>
  <c r="Z559" i="3" s="1"/>
  <c r="Y46" i="3"/>
  <c r="Z47" i="3" s="1"/>
  <c r="Y213" i="3"/>
  <c r="Z214" i="3" s="1"/>
  <c r="Y380" i="3"/>
  <c r="Z381" i="3" s="1"/>
  <c r="Y43" i="3"/>
  <c r="Z44" i="3" s="1"/>
  <c r="Y491" i="3"/>
  <c r="Z492" i="3" s="1"/>
  <c r="Y1154" i="3"/>
  <c r="Z1155" i="3" s="1"/>
  <c r="Y536" i="3"/>
  <c r="Z537" i="3" s="1"/>
  <c r="Y24" i="3"/>
  <c r="Z25" i="3" s="1"/>
  <c r="Y191" i="3"/>
  <c r="Z192" i="3" s="1"/>
  <c r="Y358" i="3"/>
  <c r="Z359" i="3" s="1"/>
  <c r="Y525" i="3"/>
  <c r="Z526" i="3" s="1"/>
  <c r="Y180" i="3"/>
  <c r="Z181" i="3" s="1"/>
  <c r="Y474" i="3"/>
  <c r="Z475" i="3" s="1"/>
  <c r="Y467" i="3"/>
  <c r="Z468" i="3" s="1"/>
  <c r="Y954" i="3"/>
  <c r="Z955" i="3" s="1"/>
  <c r="Y257" i="3"/>
  <c r="Z258" i="3" s="1"/>
  <c r="Y336" i="3"/>
  <c r="Z337" i="3" s="1"/>
  <c r="Y503" i="3"/>
  <c r="Z504" i="3" s="1"/>
  <c r="Y670" i="3"/>
  <c r="Z671" i="3" s="1"/>
  <c r="Y158" i="3"/>
  <c r="Z159" i="3" s="1"/>
  <c r="Y325" i="3"/>
  <c r="Z326" i="3" s="1"/>
  <c r="Y492" i="3"/>
  <c r="Z493" i="3" s="1"/>
  <c r="Y155" i="3"/>
  <c r="Z156" i="3" s="1"/>
  <c r="Y781" i="3"/>
  <c r="Z782" i="3" s="1"/>
  <c r="Y611" i="3"/>
  <c r="Z612" i="3" s="1"/>
  <c r="Y818" i="3"/>
  <c r="Z819" i="3" s="1"/>
  <c r="Y121" i="3"/>
  <c r="Z122" i="3" s="1"/>
  <c r="Y200" i="3"/>
  <c r="Z201" i="3" s="1"/>
  <c r="Y367" i="3"/>
  <c r="Z368" i="3" s="1"/>
  <c r="Y534" i="3"/>
  <c r="Z535" i="3" s="1"/>
  <c r="Y22" i="3"/>
  <c r="Z23" i="3" s="1"/>
  <c r="Y189" i="3"/>
  <c r="Z190" i="3" s="1"/>
  <c r="Y356" i="3"/>
  <c r="Z357" i="3" s="1"/>
  <c r="Y19" i="3"/>
  <c r="Z20" i="3" s="1"/>
  <c r="AF18" i="3" l="1"/>
  <c r="AH17" i="3"/>
  <c r="U10" i="3"/>
  <c r="X10" i="3"/>
  <c r="W733" i="3"/>
  <c r="Z733" i="3"/>
  <c r="W734" i="3"/>
  <c r="AF19" i="3" l="1"/>
  <c r="AH18" i="3"/>
  <c r="AF20" i="3" l="1"/>
  <c r="AH19" i="3"/>
  <c r="AF21" i="3" l="1"/>
  <c r="AH20" i="3"/>
  <c r="AF22" i="3" l="1"/>
  <c r="AH21" i="3"/>
  <c r="AH22" i="3" l="1"/>
  <c r="AF23" i="3"/>
  <c r="AF24" i="3" l="1"/>
  <c r="AH23" i="3"/>
  <c r="AH24" i="3" l="1"/>
  <c r="AF25" i="3"/>
  <c r="AH25" i="3" l="1"/>
  <c r="AF26" i="3"/>
  <c r="AH26" i="3" l="1"/>
  <c r="AF27" i="3"/>
  <c r="AF28" i="3" l="1"/>
  <c r="AH27" i="3"/>
  <c r="AH28" i="3" l="1"/>
  <c r="AF29" i="3"/>
  <c r="AF30" i="3" l="1"/>
  <c r="AH29" i="3"/>
  <c r="AH30" i="3" l="1"/>
  <c r="AF31" i="3"/>
  <c r="AF32" i="3" l="1"/>
  <c r="AH31" i="3"/>
  <c r="AH32" i="3" l="1"/>
  <c r="AF33" i="3"/>
  <c r="AF34" i="3" l="1"/>
  <c r="AH33" i="3"/>
  <c r="AH34" i="3" l="1"/>
  <c r="AF35" i="3"/>
  <c r="AF36" i="3" l="1"/>
  <c r="AH35" i="3"/>
  <c r="AF37" i="3" l="1"/>
  <c r="AH36" i="3"/>
  <c r="AF38" i="3" l="1"/>
  <c r="AH37" i="3"/>
  <c r="AH38" i="3" l="1"/>
  <c r="AF39" i="3"/>
  <c r="AF40" i="3" l="1"/>
  <c r="AH39" i="3"/>
  <c r="AF41" i="3" l="1"/>
  <c r="AH40" i="3"/>
  <c r="AF42" i="3" l="1"/>
  <c r="AH41" i="3"/>
  <c r="AH42" i="3" l="1"/>
  <c r="AF43" i="3"/>
  <c r="AF44" i="3" l="1"/>
  <c r="AH43" i="3"/>
  <c r="AH44" i="3" l="1"/>
  <c r="AF45" i="3"/>
  <c r="AF46" i="3" l="1"/>
  <c r="AH45" i="3"/>
  <c r="AF47" i="3" l="1"/>
  <c r="AH46" i="3"/>
  <c r="AH47" i="3" l="1"/>
  <c r="AF48" i="3"/>
  <c r="AF49" i="3" l="1"/>
  <c r="AH48" i="3"/>
  <c r="AF50" i="3" l="1"/>
  <c r="AH49" i="3"/>
  <c r="AH50" i="3" l="1"/>
  <c r="AF51" i="3"/>
  <c r="AF52" i="3" l="1"/>
  <c r="AH51" i="3"/>
  <c r="AF53" i="3" l="1"/>
  <c r="AH52" i="3"/>
  <c r="AF54" i="3" l="1"/>
  <c r="AH53" i="3"/>
  <c r="AF55" i="3" l="1"/>
  <c r="AH54" i="3"/>
  <c r="AF56" i="3" l="1"/>
  <c r="AH55" i="3"/>
  <c r="AF57" i="3" l="1"/>
  <c r="AH56" i="3"/>
  <c r="AF58" i="3" l="1"/>
  <c r="AH57" i="3"/>
  <c r="AF59" i="3" l="1"/>
  <c r="AH58" i="3"/>
  <c r="AF60" i="3" l="1"/>
  <c r="AH59" i="3"/>
  <c r="AF61" i="3" l="1"/>
  <c r="AH60" i="3"/>
  <c r="AF62" i="3" l="1"/>
  <c r="AH61" i="3"/>
  <c r="AF63" i="3" l="1"/>
  <c r="AH62" i="3"/>
  <c r="AF64" i="3" l="1"/>
  <c r="AH63" i="3"/>
  <c r="AH64" i="3" l="1"/>
  <c r="AF65" i="3"/>
  <c r="AF66" i="3" l="1"/>
  <c r="AH65" i="3"/>
  <c r="AF67" i="3" l="1"/>
  <c r="AH66" i="3"/>
  <c r="AF68" i="3" l="1"/>
  <c r="AH67" i="3"/>
  <c r="AF69" i="3" l="1"/>
  <c r="AH68" i="3"/>
  <c r="AH69" i="3" l="1"/>
  <c r="AF70" i="3"/>
  <c r="AH70" i="3" l="1"/>
  <c r="AF71" i="3"/>
  <c r="AF72" i="3" l="1"/>
  <c r="AH71" i="3"/>
  <c r="AF73" i="3" l="1"/>
  <c r="AH72" i="3"/>
  <c r="AF74" i="3" l="1"/>
  <c r="AH73" i="3"/>
  <c r="AH74" i="3" l="1"/>
  <c r="AF75" i="3"/>
  <c r="AF76" i="3" l="1"/>
  <c r="AH75" i="3"/>
  <c r="AF77" i="3" l="1"/>
  <c r="AH76" i="3"/>
  <c r="AF78" i="3" l="1"/>
  <c r="AH77" i="3"/>
  <c r="AF79" i="3" l="1"/>
  <c r="AH78" i="3"/>
  <c r="AH79" i="3" l="1"/>
  <c r="AF80" i="3"/>
  <c r="AF81" i="3" l="1"/>
  <c r="AH80" i="3"/>
  <c r="AF82" i="3" l="1"/>
  <c r="AH81" i="3"/>
  <c r="AF83" i="3" l="1"/>
  <c r="AH82" i="3"/>
  <c r="AF84" i="3" l="1"/>
  <c r="AH83" i="3"/>
  <c r="AF85" i="3" l="1"/>
  <c r="AH84" i="3"/>
  <c r="AF86" i="3" l="1"/>
  <c r="AH85" i="3"/>
  <c r="AF87" i="3" l="1"/>
  <c r="AH86" i="3"/>
  <c r="AF88" i="3" l="1"/>
  <c r="AH87" i="3"/>
  <c r="AF89" i="3" l="1"/>
  <c r="AH88" i="3"/>
  <c r="AF90" i="3" l="1"/>
  <c r="AH89" i="3"/>
  <c r="AF91" i="3" l="1"/>
  <c r="AH90" i="3"/>
  <c r="AF92" i="3" l="1"/>
  <c r="AH91" i="3"/>
  <c r="AF93" i="3" l="1"/>
  <c r="AH92" i="3"/>
  <c r="AF94" i="3" l="1"/>
  <c r="AH93" i="3"/>
  <c r="AH94" i="3" l="1"/>
  <c r="AF95" i="3"/>
  <c r="AF96" i="3" l="1"/>
  <c r="AH95" i="3"/>
  <c r="AH96" i="3" l="1"/>
  <c r="AF97" i="3"/>
  <c r="AH97" i="3" l="1"/>
  <c r="AF98" i="3"/>
  <c r="AF99" i="3" l="1"/>
  <c r="AH98" i="3"/>
  <c r="AH99" i="3" l="1"/>
  <c r="AF100" i="3"/>
  <c r="AF101" i="3" l="1"/>
  <c r="AH100" i="3"/>
  <c r="AH101" i="3" l="1"/>
  <c r="AF102" i="3"/>
  <c r="AF103" i="3" l="1"/>
  <c r="AH102" i="3"/>
  <c r="AF104" i="3" l="1"/>
  <c r="AH103" i="3"/>
  <c r="AF105" i="3" l="1"/>
  <c r="AH104" i="3"/>
  <c r="AF106" i="3" l="1"/>
  <c r="AH105" i="3"/>
  <c r="AF107" i="3" l="1"/>
  <c r="AH106" i="3"/>
  <c r="AF108" i="3" l="1"/>
  <c r="AH107" i="3"/>
  <c r="AF109" i="3" l="1"/>
  <c r="AH108" i="3"/>
  <c r="AF110" i="3" l="1"/>
  <c r="AH109" i="3"/>
  <c r="AF111" i="3" l="1"/>
  <c r="AH110" i="3"/>
  <c r="AF112" i="3" l="1"/>
  <c r="AH111" i="3"/>
  <c r="AF113" i="3" l="1"/>
  <c r="AH112" i="3"/>
  <c r="AF114" i="3" l="1"/>
  <c r="AH113" i="3"/>
  <c r="AF115" i="3" l="1"/>
  <c r="AH114" i="3"/>
  <c r="AF116" i="3" l="1"/>
  <c r="AH115" i="3"/>
  <c r="AH116" i="3" l="1"/>
  <c r="AF117" i="3"/>
  <c r="AH117" i="3" l="1"/>
  <c r="AF118" i="3"/>
  <c r="AH118" i="3" l="1"/>
  <c r="AF119" i="3"/>
  <c r="AF120" i="3" l="1"/>
  <c r="AH119" i="3"/>
  <c r="AF121" i="3" l="1"/>
  <c r="AH120" i="3"/>
  <c r="AF122" i="3" l="1"/>
  <c r="AH121" i="3"/>
  <c r="AF123" i="3" l="1"/>
  <c r="AH122" i="3"/>
  <c r="AF124" i="3" l="1"/>
  <c r="AH123" i="3"/>
  <c r="AH124" i="3" l="1"/>
  <c r="AF125" i="3"/>
  <c r="AF126" i="3" l="1"/>
  <c r="AH125" i="3"/>
  <c r="AF127" i="3" l="1"/>
  <c r="AH126" i="3"/>
  <c r="AF128" i="3" l="1"/>
  <c r="AH127" i="3"/>
  <c r="AH128" i="3" l="1"/>
  <c r="AF129" i="3"/>
  <c r="AF130" i="3" l="1"/>
  <c r="AH129" i="3"/>
  <c r="AF131" i="3" l="1"/>
  <c r="AH130" i="3"/>
  <c r="AF132" i="3" l="1"/>
  <c r="AH131" i="3"/>
  <c r="AF133" i="3" l="1"/>
  <c r="AH132" i="3"/>
  <c r="AF134" i="3" l="1"/>
  <c r="AH133" i="3"/>
  <c r="AF135" i="3" l="1"/>
  <c r="AH134" i="3"/>
  <c r="AH135" i="3" l="1"/>
  <c r="AF136" i="3"/>
  <c r="AF137" i="3" l="1"/>
  <c r="AH136" i="3"/>
  <c r="AF138" i="3" l="1"/>
  <c r="AH137" i="3"/>
  <c r="AF139" i="3" l="1"/>
  <c r="AH138" i="3"/>
  <c r="AF140" i="3" l="1"/>
  <c r="AH139" i="3"/>
  <c r="AF141" i="3" l="1"/>
  <c r="AH140" i="3"/>
  <c r="AF142" i="3" l="1"/>
  <c r="AH141" i="3"/>
  <c r="AF143" i="3" l="1"/>
  <c r="AH142" i="3"/>
  <c r="AF144" i="3" l="1"/>
  <c r="AH143" i="3"/>
  <c r="AH144" i="3" l="1"/>
  <c r="AF145" i="3"/>
  <c r="AF146" i="3" l="1"/>
  <c r="AH145" i="3"/>
  <c r="AF147" i="3" l="1"/>
  <c r="AH146" i="3"/>
  <c r="AF148" i="3" l="1"/>
  <c r="AH147" i="3"/>
  <c r="AF149" i="3" l="1"/>
  <c r="AH148" i="3"/>
  <c r="AF150" i="3" l="1"/>
  <c r="AH149" i="3"/>
  <c r="AF151" i="3" l="1"/>
  <c r="AH150" i="3"/>
  <c r="AF152" i="3" l="1"/>
  <c r="AH151" i="3"/>
  <c r="AH152" i="3" l="1"/>
  <c r="AF153" i="3"/>
  <c r="AF154" i="3" l="1"/>
  <c r="AH153" i="3"/>
  <c r="AF155" i="3" l="1"/>
  <c r="AH154" i="3"/>
  <c r="AF156" i="3" l="1"/>
  <c r="AH155" i="3"/>
  <c r="AF157" i="3" l="1"/>
  <c r="AH156" i="3"/>
  <c r="AF158" i="3" l="1"/>
  <c r="AH157" i="3"/>
  <c r="AH158" i="3" l="1"/>
  <c r="AF159" i="3"/>
  <c r="AF160" i="3" l="1"/>
  <c r="AH159" i="3"/>
  <c r="AF161" i="3" l="1"/>
  <c r="AH160" i="3"/>
  <c r="AF162" i="3" l="1"/>
  <c r="AH161" i="3"/>
  <c r="AF163" i="3" l="1"/>
  <c r="AH162" i="3"/>
  <c r="AF164" i="3" l="1"/>
  <c r="AH163" i="3"/>
  <c r="AF165" i="3" l="1"/>
  <c r="AH164" i="3"/>
  <c r="AF166" i="3" l="1"/>
  <c r="AH165" i="3"/>
  <c r="AF167" i="3" l="1"/>
  <c r="AH166" i="3"/>
  <c r="AF168" i="3" l="1"/>
  <c r="AH167" i="3"/>
  <c r="AF169" i="3" l="1"/>
  <c r="AH168" i="3"/>
  <c r="AF170" i="3" l="1"/>
  <c r="AH169" i="3"/>
  <c r="AF171" i="3" l="1"/>
  <c r="AH170" i="3"/>
  <c r="AH171" i="3" l="1"/>
  <c r="AF172" i="3"/>
  <c r="AF173" i="3" l="1"/>
  <c r="AH172" i="3"/>
  <c r="AH173" i="3" l="1"/>
  <c r="AF174" i="3"/>
  <c r="AF175" i="3" l="1"/>
  <c r="AH174" i="3"/>
  <c r="AF176" i="3" l="1"/>
  <c r="AH175" i="3"/>
  <c r="AF177" i="3" l="1"/>
  <c r="AH176" i="3"/>
  <c r="AF178" i="3" l="1"/>
  <c r="AH177" i="3"/>
  <c r="AH178" i="3" l="1"/>
  <c r="AF179" i="3"/>
  <c r="AH179" i="3" l="1"/>
  <c r="AF180" i="3"/>
  <c r="AF181" i="3" l="1"/>
  <c r="AH180" i="3"/>
  <c r="AH181" i="3" l="1"/>
  <c r="AF182" i="3"/>
  <c r="AF183" i="3" l="1"/>
  <c r="AH182" i="3"/>
  <c r="AH183" i="3" l="1"/>
  <c r="AF184" i="3"/>
  <c r="AH184" i="3" l="1"/>
  <c r="AF185" i="3"/>
  <c r="AH185" i="3" l="1"/>
  <c r="AF186" i="3"/>
  <c r="AF187" i="3" l="1"/>
  <c r="AH186" i="3"/>
  <c r="AH187" i="3" l="1"/>
  <c r="AF188" i="3"/>
  <c r="AF189" i="3" l="1"/>
  <c r="AH188" i="3"/>
  <c r="AF190" i="3" l="1"/>
  <c r="AH189" i="3"/>
  <c r="AF191" i="3" l="1"/>
  <c r="AH190" i="3"/>
  <c r="AH191" i="3" l="1"/>
  <c r="AF192" i="3"/>
  <c r="AF193" i="3" l="1"/>
  <c r="AH192" i="3"/>
  <c r="AF194" i="3" l="1"/>
  <c r="AH193" i="3"/>
  <c r="AF195" i="3" l="1"/>
  <c r="AH194" i="3"/>
  <c r="AF196" i="3" l="1"/>
  <c r="AH195" i="3"/>
  <c r="AH196" i="3" l="1"/>
  <c r="AF197" i="3"/>
  <c r="AH197" i="3" l="1"/>
  <c r="AF198" i="3"/>
  <c r="AF199" i="3" l="1"/>
  <c r="AH198" i="3"/>
  <c r="AF200" i="3" l="1"/>
  <c r="AH199" i="3"/>
  <c r="AH200" i="3" l="1"/>
  <c r="AF201" i="3"/>
  <c r="AF202" i="3" l="1"/>
  <c r="AH201" i="3"/>
  <c r="AF203" i="3" l="1"/>
  <c r="AH202" i="3"/>
  <c r="AF204" i="3" l="1"/>
  <c r="AH203" i="3"/>
  <c r="AH204" i="3" l="1"/>
  <c r="AF205" i="3"/>
  <c r="AF206" i="3" l="1"/>
  <c r="AH205" i="3"/>
  <c r="AF207" i="3" l="1"/>
  <c r="AH206" i="3"/>
  <c r="AH207" i="3" l="1"/>
  <c r="AF208" i="3"/>
  <c r="AH208" i="3" l="1"/>
  <c r="AF209" i="3"/>
  <c r="AH209" i="3" l="1"/>
  <c r="AF210" i="3"/>
  <c r="AF211" i="3" l="1"/>
  <c r="AH210" i="3"/>
  <c r="AF212" i="3" l="1"/>
  <c r="AH211" i="3"/>
  <c r="AH212" i="3" l="1"/>
  <c r="AF213" i="3"/>
  <c r="AH213" i="3" l="1"/>
  <c r="AF214" i="3"/>
  <c r="AF215" i="3" l="1"/>
  <c r="AH214" i="3"/>
  <c r="AH215" i="3" l="1"/>
  <c r="AF216" i="3"/>
  <c r="AF217" i="3" l="1"/>
  <c r="AH216" i="3"/>
  <c r="AH217" i="3" l="1"/>
  <c r="AF218" i="3"/>
  <c r="AF219" i="3" l="1"/>
  <c r="AH218" i="3"/>
  <c r="AH219" i="3" l="1"/>
  <c r="AF220" i="3"/>
  <c r="AF221" i="3" l="1"/>
  <c r="AH220" i="3"/>
  <c r="AH221" i="3" l="1"/>
  <c r="AF222" i="3"/>
  <c r="AH222" i="3" l="1"/>
  <c r="AF223" i="3"/>
  <c r="AH223" i="3" l="1"/>
  <c r="AF224" i="3"/>
  <c r="AH224" i="3" l="1"/>
  <c r="AF225" i="3"/>
  <c r="AH225" i="3" l="1"/>
  <c r="AF226" i="3"/>
  <c r="AF227" i="3" l="1"/>
  <c r="AH226" i="3"/>
  <c r="AF228" i="3" l="1"/>
  <c r="AH227" i="3"/>
  <c r="AF229" i="3" l="1"/>
  <c r="AH228" i="3"/>
  <c r="AH229" i="3" l="1"/>
  <c r="AF230" i="3"/>
  <c r="AH230" i="3" l="1"/>
  <c r="AF231" i="3"/>
  <c r="AH231" i="3" l="1"/>
  <c r="AF232" i="3"/>
  <c r="AF233" i="3" l="1"/>
  <c r="AH232" i="3"/>
  <c r="AF234" i="3" l="1"/>
  <c r="AH233" i="3"/>
  <c r="AF235" i="3" l="1"/>
  <c r="AH234" i="3"/>
  <c r="AF236" i="3" l="1"/>
  <c r="AH235" i="3"/>
  <c r="AF237" i="3" l="1"/>
  <c r="AH236" i="3"/>
  <c r="AF238" i="3" l="1"/>
  <c r="AH237" i="3"/>
  <c r="AF239" i="3" l="1"/>
  <c r="AH238" i="3"/>
  <c r="AH239" i="3" l="1"/>
  <c r="AF240" i="3"/>
  <c r="AF241" i="3" l="1"/>
  <c r="AH240" i="3"/>
  <c r="AF242" i="3" l="1"/>
  <c r="AH241" i="3"/>
  <c r="AF243" i="3" l="1"/>
  <c r="AH242" i="3"/>
  <c r="AF244" i="3" l="1"/>
  <c r="AH243" i="3"/>
  <c r="AH244" i="3" l="1"/>
  <c r="AF245" i="3"/>
  <c r="AH245" i="3" l="1"/>
  <c r="AF246" i="3"/>
  <c r="AH246" i="3" l="1"/>
  <c r="AF247" i="3"/>
  <c r="AH247" i="3" l="1"/>
  <c r="AF248" i="3"/>
  <c r="AH248" i="3" l="1"/>
  <c r="AF249" i="3"/>
  <c r="AH249" i="3" l="1"/>
  <c r="AF250" i="3"/>
  <c r="AH250" i="3" l="1"/>
  <c r="AF251" i="3"/>
  <c r="AF252" i="3" l="1"/>
  <c r="AH251" i="3"/>
  <c r="AF253" i="3" l="1"/>
  <c r="AH252" i="3"/>
  <c r="AH253" i="3" l="1"/>
  <c r="AF254" i="3"/>
  <c r="AF255" i="3" l="1"/>
  <c r="AH254" i="3"/>
  <c r="AH255" i="3" l="1"/>
  <c r="AF256" i="3"/>
  <c r="AF257" i="3" l="1"/>
  <c r="AH256" i="3"/>
  <c r="AF258" i="3" l="1"/>
  <c r="AH257" i="3"/>
  <c r="AF259" i="3" l="1"/>
  <c r="AH258" i="3"/>
  <c r="AH259" i="3" l="1"/>
  <c r="AF260" i="3"/>
  <c r="AH260" i="3" l="1"/>
  <c r="AF261" i="3"/>
  <c r="AH261" i="3" l="1"/>
  <c r="AF262" i="3"/>
  <c r="AH262" i="3" l="1"/>
  <c r="AF263" i="3"/>
  <c r="AF264" i="3" l="1"/>
  <c r="AH263" i="3"/>
  <c r="AH264" i="3" l="1"/>
  <c r="AF265" i="3"/>
  <c r="AF266" i="3" l="1"/>
  <c r="AH265" i="3"/>
  <c r="AH266" i="3" l="1"/>
  <c r="AF267" i="3"/>
  <c r="AF268" i="3" l="1"/>
  <c r="AH267" i="3"/>
  <c r="AF269" i="3" l="1"/>
  <c r="AH268" i="3"/>
  <c r="AH269" i="3" l="1"/>
  <c r="AF270" i="3"/>
  <c r="AH270" i="3" l="1"/>
  <c r="AF271" i="3"/>
  <c r="AH271" i="3" l="1"/>
  <c r="AF272" i="3"/>
  <c r="AH272" i="3" l="1"/>
  <c r="AF273" i="3"/>
  <c r="AF274" i="3" l="1"/>
  <c r="AH273" i="3"/>
  <c r="AH274" i="3" l="1"/>
  <c r="AF275" i="3"/>
  <c r="AF276" i="3" l="1"/>
  <c r="AH275" i="3"/>
  <c r="AF277" i="3" l="1"/>
  <c r="AH276" i="3"/>
  <c r="AF278" i="3" l="1"/>
  <c r="AH277" i="3"/>
  <c r="AF279" i="3" l="1"/>
  <c r="AH278" i="3"/>
  <c r="AF280" i="3" l="1"/>
  <c r="AH279" i="3"/>
  <c r="AF281" i="3" l="1"/>
  <c r="AH280" i="3"/>
  <c r="AH281" i="3" l="1"/>
  <c r="AF282" i="3"/>
  <c r="AF283" i="3" l="1"/>
  <c r="AH282" i="3"/>
  <c r="AF284" i="3" l="1"/>
  <c r="AH283" i="3"/>
  <c r="AF285" i="3" l="1"/>
  <c r="AH284" i="3"/>
  <c r="AF286" i="3" l="1"/>
  <c r="AH285" i="3"/>
  <c r="AF287" i="3" l="1"/>
  <c r="AH286" i="3"/>
  <c r="AF288" i="3" l="1"/>
  <c r="AH287" i="3"/>
  <c r="AF289" i="3" l="1"/>
  <c r="AH288" i="3"/>
  <c r="AH289" i="3" l="1"/>
  <c r="AF290" i="3"/>
  <c r="AF291" i="3" l="1"/>
  <c r="AH290" i="3"/>
  <c r="AH291" i="3" l="1"/>
  <c r="AF292" i="3"/>
  <c r="AF293" i="3" l="1"/>
  <c r="AH292" i="3"/>
  <c r="AF294" i="3" l="1"/>
  <c r="AH293" i="3"/>
  <c r="AF295" i="3" l="1"/>
  <c r="AH294" i="3"/>
  <c r="AH295" i="3" l="1"/>
  <c r="AF296" i="3"/>
  <c r="AH296" i="3" l="1"/>
  <c r="AF297" i="3"/>
  <c r="AF298" i="3" l="1"/>
  <c r="AH297" i="3"/>
  <c r="AF299" i="3" l="1"/>
  <c r="AH298" i="3"/>
  <c r="AH299" i="3" l="1"/>
  <c r="AF300" i="3"/>
  <c r="AH300" i="3" l="1"/>
  <c r="AF301" i="3"/>
  <c r="AH301" i="3" l="1"/>
  <c r="AF302" i="3"/>
  <c r="AF303" i="3" l="1"/>
  <c r="AH302" i="3"/>
  <c r="AF304" i="3" l="1"/>
  <c r="AH303" i="3"/>
  <c r="AF305" i="3" l="1"/>
  <c r="AH304" i="3"/>
  <c r="AF306" i="3" l="1"/>
  <c r="AH305" i="3"/>
  <c r="AF307" i="3" l="1"/>
  <c r="AH306" i="3"/>
  <c r="AH307" i="3" l="1"/>
  <c r="AF308" i="3"/>
  <c r="AF309" i="3" l="1"/>
  <c r="AH308" i="3"/>
  <c r="AH309" i="3" l="1"/>
  <c r="AF310" i="3"/>
  <c r="AF311" i="3" l="1"/>
  <c r="AH310" i="3"/>
  <c r="AH311" i="3" l="1"/>
  <c r="AF312" i="3"/>
  <c r="AF313" i="3" l="1"/>
  <c r="AH312" i="3"/>
  <c r="AF314" i="3" l="1"/>
  <c r="AH313" i="3"/>
  <c r="AF315" i="3" l="1"/>
  <c r="AH314" i="3"/>
  <c r="AH315" i="3" l="1"/>
  <c r="AF316" i="3"/>
  <c r="AF317" i="3" l="1"/>
  <c r="AH316" i="3"/>
  <c r="AF318" i="3" l="1"/>
  <c r="AH317" i="3"/>
  <c r="AF319" i="3" l="1"/>
  <c r="AH318" i="3"/>
  <c r="AF320" i="3" l="1"/>
  <c r="AH319" i="3"/>
  <c r="AF321" i="3" l="1"/>
  <c r="AH320" i="3"/>
  <c r="AH321" i="3" l="1"/>
  <c r="AF322" i="3"/>
  <c r="AF323" i="3" l="1"/>
  <c r="AH322" i="3"/>
  <c r="AF324" i="3" l="1"/>
  <c r="AH323" i="3"/>
  <c r="AF325" i="3" l="1"/>
  <c r="AH324" i="3"/>
  <c r="AH325" i="3" l="1"/>
  <c r="AF326" i="3"/>
  <c r="AF327" i="3" l="1"/>
  <c r="AH326" i="3"/>
  <c r="AF328" i="3" l="1"/>
  <c r="AH327" i="3"/>
  <c r="AF329" i="3" l="1"/>
  <c r="AH328" i="3"/>
  <c r="AF330" i="3" l="1"/>
  <c r="AH329" i="3"/>
  <c r="AF331" i="3" l="1"/>
  <c r="AH330" i="3"/>
  <c r="AF332" i="3" l="1"/>
  <c r="AH331" i="3"/>
  <c r="AF333" i="3" l="1"/>
  <c r="AH332" i="3"/>
  <c r="AH333" i="3" l="1"/>
  <c r="AF334" i="3"/>
  <c r="AF335" i="3" l="1"/>
  <c r="AH334" i="3"/>
  <c r="AH335" i="3" l="1"/>
  <c r="AF336" i="3"/>
  <c r="AF337" i="3" l="1"/>
  <c r="AH336" i="3"/>
  <c r="AF338" i="3" l="1"/>
  <c r="AH337" i="3"/>
  <c r="AF339" i="3" l="1"/>
  <c r="AH338" i="3"/>
  <c r="AF340" i="3" l="1"/>
  <c r="AH339" i="3"/>
  <c r="AF341" i="3" l="1"/>
  <c r="AH340" i="3"/>
  <c r="AH341" i="3" l="1"/>
  <c r="AF342" i="3"/>
  <c r="AH342" i="3" l="1"/>
  <c r="AF343" i="3"/>
  <c r="AH343" i="3" l="1"/>
  <c r="AF344" i="3"/>
  <c r="AF345" i="3" l="1"/>
  <c r="AH344" i="3"/>
  <c r="AF346" i="3" l="1"/>
  <c r="AH345" i="3"/>
  <c r="AH346" i="3" l="1"/>
  <c r="AF347" i="3"/>
  <c r="AH347" i="3" l="1"/>
  <c r="AF348" i="3"/>
  <c r="AF349" i="3" l="1"/>
  <c r="AH348" i="3"/>
  <c r="AH349" i="3" l="1"/>
  <c r="AF350" i="3"/>
  <c r="AH350" i="3" l="1"/>
  <c r="AF351" i="3"/>
  <c r="AH351" i="3" l="1"/>
  <c r="AF352" i="3"/>
  <c r="AH352" i="3" l="1"/>
  <c r="AF353" i="3"/>
  <c r="AH353" i="3" l="1"/>
  <c r="AF354" i="3"/>
  <c r="AF355" i="3" l="1"/>
  <c r="AH354" i="3"/>
  <c r="AF356" i="3" l="1"/>
  <c r="AH355" i="3"/>
  <c r="AH356" i="3" l="1"/>
  <c r="AF357" i="3"/>
  <c r="AF358" i="3" l="1"/>
  <c r="AH357" i="3"/>
  <c r="AH358" i="3" l="1"/>
  <c r="AF359" i="3"/>
  <c r="AF360" i="3" l="1"/>
  <c r="AH359" i="3"/>
  <c r="AF361" i="3" l="1"/>
  <c r="AH360" i="3"/>
  <c r="AF362" i="3" l="1"/>
  <c r="AH361" i="3"/>
  <c r="AF363" i="3" l="1"/>
  <c r="AH362" i="3"/>
  <c r="AH363" i="3" l="1"/>
  <c r="AF364" i="3"/>
  <c r="AF365" i="3" l="1"/>
  <c r="AH364" i="3"/>
  <c r="AF366" i="3" l="1"/>
  <c r="AH365" i="3"/>
  <c r="AF367" i="3" l="1"/>
  <c r="AH366" i="3"/>
  <c r="AF368" i="3" l="1"/>
  <c r="AH367" i="3"/>
  <c r="AF369" i="3" l="1"/>
  <c r="AH368" i="3"/>
  <c r="AF370" i="3" l="1"/>
  <c r="AH369" i="3"/>
  <c r="AF371" i="3" l="1"/>
  <c r="AH370" i="3"/>
  <c r="AF372" i="3" l="1"/>
  <c r="AH371" i="3"/>
  <c r="AF373" i="3" l="1"/>
  <c r="AH372" i="3"/>
  <c r="AH373" i="3" l="1"/>
  <c r="AF374" i="3"/>
  <c r="AF375" i="3" l="1"/>
  <c r="AH374" i="3"/>
  <c r="AF376" i="3" l="1"/>
  <c r="AH375" i="3"/>
  <c r="AH376" i="3" l="1"/>
  <c r="AF377" i="3"/>
  <c r="AF378" i="3" l="1"/>
  <c r="AH377" i="3"/>
  <c r="AH378" i="3" l="1"/>
  <c r="AF379" i="3"/>
  <c r="AF380" i="3" l="1"/>
  <c r="AH379" i="3"/>
  <c r="AF381" i="3" l="1"/>
  <c r="AH380" i="3"/>
  <c r="AH381" i="3" l="1"/>
  <c r="AF382" i="3"/>
  <c r="AF383" i="3" l="1"/>
  <c r="AH382" i="3"/>
  <c r="AF384" i="3" l="1"/>
  <c r="AH383" i="3"/>
  <c r="AF385" i="3" l="1"/>
  <c r="AH384" i="3"/>
  <c r="AF386" i="3" l="1"/>
  <c r="AH385" i="3"/>
  <c r="AF387" i="3" l="1"/>
  <c r="AH386" i="3"/>
  <c r="AH387" i="3" l="1"/>
  <c r="AF388" i="3"/>
  <c r="AH388" i="3" l="1"/>
  <c r="AF389" i="3"/>
  <c r="AH389" i="3" l="1"/>
  <c r="AF390" i="3"/>
  <c r="AH390" i="3" l="1"/>
  <c r="AF391" i="3"/>
  <c r="AH391" i="3" l="1"/>
  <c r="AF392" i="3"/>
  <c r="AH392" i="3" l="1"/>
  <c r="AF393" i="3"/>
  <c r="AF394" i="3" l="1"/>
  <c r="AH393" i="3"/>
  <c r="AF395" i="3" l="1"/>
  <c r="AH394" i="3"/>
  <c r="AF396" i="3" l="1"/>
  <c r="AH395" i="3"/>
  <c r="AF397" i="3" l="1"/>
  <c r="AH396" i="3"/>
  <c r="AF398" i="3" l="1"/>
  <c r="AH397" i="3"/>
  <c r="AF399" i="3" l="1"/>
  <c r="AH398" i="3"/>
  <c r="AF400" i="3" l="1"/>
  <c r="AH399" i="3"/>
  <c r="AH400" i="3" l="1"/>
  <c r="AF401" i="3"/>
  <c r="AH401" i="3" l="1"/>
  <c r="AF402" i="3"/>
  <c r="AF403" i="3" l="1"/>
  <c r="AH402" i="3"/>
  <c r="AF404" i="3" l="1"/>
  <c r="AH403" i="3"/>
  <c r="AH404" i="3" l="1"/>
  <c r="AF405" i="3"/>
  <c r="AH405" i="3" l="1"/>
  <c r="AF406" i="3"/>
  <c r="AF407" i="3" l="1"/>
  <c r="AH406" i="3"/>
  <c r="AF408" i="3" l="1"/>
  <c r="AH407" i="3"/>
  <c r="AH408" i="3" l="1"/>
  <c r="AF409" i="3"/>
  <c r="AH409" i="3" l="1"/>
  <c r="AF410" i="3"/>
  <c r="AF411" i="3" l="1"/>
  <c r="AH410" i="3"/>
  <c r="AH411" i="3" l="1"/>
  <c r="AF412" i="3"/>
  <c r="AF413" i="3" l="1"/>
  <c r="AH412" i="3"/>
  <c r="AH413" i="3" l="1"/>
  <c r="AF414" i="3"/>
  <c r="AF415" i="3" l="1"/>
  <c r="AH414" i="3"/>
  <c r="AF416" i="3" l="1"/>
  <c r="AH415" i="3"/>
  <c r="AF417" i="3" l="1"/>
  <c r="AH416" i="3"/>
  <c r="AH417" i="3" l="1"/>
  <c r="AF418" i="3"/>
  <c r="AF419" i="3" l="1"/>
  <c r="AH418" i="3"/>
  <c r="AF420" i="3" l="1"/>
  <c r="AH419" i="3"/>
  <c r="AF421" i="3" l="1"/>
  <c r="AH420" i="3"/>
  <c r="AH421" i="3" l="1"/>
  <c r="AF422" i="3"/>
  <c r="AH422" i="3" l="1"/>
  <c r="AF423" i="3"/>
  <c r="AF424" i="3" l="1"/>
  <c r="AH423" i="3"/>
  <c r="AF425" i="3" l="1"/>
  <c r="AH424" i="3"/>
  <c r="AH425" i="3" l="1"/>
  <c r="AF426" i="3"/>
  <c r="AF427" i="3" l="1"/>
  <c r="AH426" i="3"/>
  <c r="AF428" i="3" l="1"/>
  <c r="AH427" i="3"/>
  <c r="AF429" i="3" l="1"/>
  <c r="AH428" i="3"/>
  <c r="AH429" i="3" l="1"/>
  <c r="AF430" i="3"/>
  <c r="AF431" i="3" l="1"/>
  <c r="AH430" i="3"/>
  <c r="AF432" i="3" l="1"/>
  <c r="AH431" i="3"/>
  <c r="AF433" i="3" l="1"/>
  <c r="AH432" i="3"/>
  <c r="AF434" i="3" l="1"/>
  <c r="AH433" i="3"/>
  <c r="AH434" i="3" l="1"/>
  <c r="AF435" i="3"/>
  <c r="AH435" i="3" l="1"/>
  <c r="AF436" i="3"/>
  <c r="AF437" i="3" l="1"/>
  <c r="AH436" i="3"/>
  <c r="AH437" i="3" l="1"/>
  <c r="AF438" i="3"/>
  <c r="AF439" i="3" l="1"/>
  <c r="AH438" i="3"/>
  <c r="AH439" i="3" l="1"/>
  <c r="AF440" i="3"/>
  <c r="AF441" i="3" l="1"/>
  <c r="AH440" i="3"/>
  <c r="AH441" i="3" l="1"/>
  <c r="AF442" i="3"/>
  <c r="AF443" i="3" l="1"/>
  <c r="AH442" i="3"/>
  <c r="AF444" i="3" l="1"/>
  <c r="AH443" i="3"/>
  <c r="AF445" i="3" l="1"/>
  <c r="AH444" i="3"/>
  <c r="AH445" i="3" l="1"/>
  <c r="AF446" i="3"/>
  <c r="AF447" i="3" l="1"/>
  <c r="AH446" i="3"/>
  <c r="AF448" i="3" l="1"/>
  <c r="AH447" i="3"/>
  <c r="AF449" i="3" l="1"/>
  <c r="AH448" i="3"/>
  <c r="AH449" i="3" l="1"/>
  <c r="AF450" i="3"/>
  <c r="AF451" i="3" l="1"/>
  <c r="AH450" i="3"/>
  <c r="AF452" i="3" l="1"/>
  <c r="AH451" i="3"/>
  <c r="AH452" i="3" l="1"/>
  <c r="AF453" i="3"/>
  <c r="AH453" i="3" l="1"/>
  <c r="AF454" i="3"/>
  <c r="AF455" i="3" l="1"/>
  <c r="AH454" i="3"/>
  <c r="AH455" i="3" l="1"/>
  <c r="AF456" i="3"/>
  <c r="AF457" i="3" l="1"/>
  <c r="AH456" i="3"/>
  <c r="AF458" i="3" l="1"/>
  <c r="AH457" i="3"/>
  <c r="AF459" i="3" l="1"/>
  <c r="AH458" i="3"/>
  <c r="AH459" i="3" l="1"/>
  <c r="AF460" i="3"/>
  <c r="AF461" i="3" l="1"/>
  <c r="AH460" i="3"/>
  <c r="AH461" i="3" l="1"/>
  <c r="AF462" i="3"/>
  <c r="AF463" i="3" l="1"/>
  <c r="AH462" i="3"/>
  <c r="AF464" i="3" l="1"/>
  <c r="AH463" i="3"/>
  <c r="AF465" i="3" l="1"/>
  <c r="AH464" i="3"/>
  <c r="AF466" i="3" l="1"/>
  <c r="AH465" i="3"/>
  <c r="AF467" i="3" l="1"/>
  <c r="AH466" i="3"/>
  <c r="AH467" i="3" l="1"/>
  <c r="AF468" i="3"/>
  <c r="AH468" i="3" l="1"/>
  <c r="AF469" i="3"/>
  <c r="AF470" i="3" l="1"/>
  <c r="AH469" i="3"/>
  <c r="AF471" i="3" l="1"/>
  <c r="AH470" i="3"/>
  <c r="AH471" i="3" l="1"/>
  <c r="AF472" i="3"/>
  <c r="AF473" i="3" l="1"/>
  <c r="AH472" i="3"/>
  <c r="AH473" i="3" l="1"/>
  <c r="AF474" i="3"/>
  <c r="AH474" i="3" l="1"/>
  <c r="AF475" i="3"/>
  <c r="AF476" i="3" l="1"/>
  <c r="AH475" i="3"/>
  <c r="AH476" i="3" l="1"/>
  <c r="AF477" i="3"/>
  <c r="AF478" i="3" l="1"/>
  <c r="AH477" i="3"/>
  <c r="AF479" i="3" l="1"/>
  <c r="AH478" i="3"/>
  <c r="AF480" i="3" l="1"/>
  <c r="AH479" i="3"/>
  <c r="AF481" i="3" l="1"/>
  <c r="AH480" i="3"/>
  <c r="AH481" i="3" l="1"/>
  <c r="AF482" i="3"/>
  <c r="AF483" i="3" l="1"/>
  <c r="AH482" i="3"/>
  <c r="AF484" i="3" l="1"/>
  <c r="AH483" i="3"/>
  <c r="AH484" i="3" l="1"/>
  <c r="AF485" i="3"/>
  <c r="AH485" i="3" l="1"/>
  <c r="AF486" i="3"/>
  <c r="AF487" i="3" l="1"/>
  <c r="AH486" i="3"/>
  <c r="AH487" i="3" l="1"/>
  <c r="AF488" i="3"/>
  <c r="AF489" i="3" l="1"/>
  <c r="AH488" i="3"/>
  <c r="AH489" i="3" l="1"/>
  <c r="AF490" i="3"/>
  <c r="AH490" i="3" l="1"/>
  <c r="AF491" i="3"/>
  <c r="AF492" i="3" l="1"/>
  <c r="AH491" i="3"/>
  <c r="AF493" i="3" l="1"/>
  <c r="AH492" i="3"/>
  <c r="AF494" i="3" l="1"/>
  <c r="AH493" i="3"/>
  <c r="AF495" i="3" l="1"/>
  <c r="AH494" i="3"/>
  <c r="AH495" i="3" l="1"/>
  <c r="AF496" i="3"/>
  <c r="AF497" i="3" l="1"/>
  <c r="AH496" i="3"/>
  <c r="AF498" i="3" l="1"/>
  <c r="AH497" i="3"/>
  <c r="AH498" i="3" l="1"/>
  <c r="AF499" i="3"/>
  <c r="AF500" i="3" l="1"/>
  <c r="AH499" i="3"/>
  <c r="AH500" i="3" l="1"/>
  <c r="AF501" i="3"/>
  <c r="AH501" i="3" l="1"/>
  <c r="AF502" i="3"/>
  <c r="AF503" i="3" l="1"/>
  <c r="AH502" i="3"/>
  <c r="AF504" i="3" l="1"/>
  <c r="AH503" i="3"/>
  <c r="AF505" i="3" l="1"/>
  <c r="AH504" i="3"/>
  <c r="AH505" i="3" l="1"/>
  <c r="AF506" i="3"/>
  <c r="AH506" i="3" l="1"/>
  <c r="AF507" i="3"/>
  <c r="AF508" i="3" l="1"/>
  <c r="AH507" i="3"/>
  <c r="AF509" i="3" l="1"/>
  <c r="AH508" i="3"/>
  <c r="AH509" i="3" l="1"/>
  <c r="AF510" i="3"/>
  <c r="AF511" i="3" l="1"/>
  <c r="AH510" i="3"/>
  <c r="AF512" i="3" l="1"/>
  <c r="AH511" i="3"/>
  <c r="AH512" i="3" l="1"/>
  <c r="AF513" i="3"/>
  <c r="AF514" i="3" l="1"/>
  <c r="AH513" i="3"/>
  <c r="AF515" i="3" l="1"/>
  <c r="AH514" i="3"/>
  <c r="AF516" i="3" l="1"/>
  <c r="AH515" i="3"/>
  <c r="AF517" i="3" l="1"/>
  <c r="AH516" i="3"/>
  <c r="AF518" i="3" l="1"/>
  <c r="AH517" i="3"/>
  <c r="AF519" i="3" l="1"/>
  <c r="AH518" i="3"/>
  <c r="AF520" i="3" l="1"/>
  <c r="AH519" i="3"/>
  <c r="AF521" i="3" l="1"/>
  <c r="AH520" i="3"/>
  <c r="AF522" i="3" l="1"/>
  <c r="AH521" i="3"/>
  <c r="AH522" i="3" l="1"/>
  <c r="AF523" i="3"/>
  <c r="AF524" i="3" l="1"/>
  <c r="AH523" i="3"/>
  <c r="AF525" i="3" l="1"/>
  <c r="AH524" i="3"/>
  <c r="AF526" i="3" l="1"/>
  <c r="AH525" i="3"/>
  <c r="AF527" i="3" l="1"/>
  <c r="AH526" i="3"/>
  <c r="AF528" i="3" l="1"/>
  <c r="AH527" i="3"/>
  <c r="AF529" i="3" l="1"/>
  <c r="AH528" i="3"/>
  <c r="AF530" i="3" l="1"/>
  <c r="AH529" i="3"/>
  <c r="AH530" i="3" l="1"/>
  <c r="AF531" i="3"/>
  <c r="AF532" i="3" l="1"/>
  <c r="AH531" i="3"/>
  <c r="AF533" i="3" l="1"/>
  <c r="AH532" i="3"/>
  <c r="AF534" i="3" l="1"/>
  <c r="AH533" i="3"/>
  <c r="AH534" i="3" l="1"/>
  <c r="AF535" i="3"/>
  <c r="AF536" i="3" l="1"/>
  <c r="AH535" i="3"/>
  <c r="AF537" i="3" l="1"/>
  <c r="AH536" i="3"/>
  <c r="AH537" i="3" l="1"/>
  <c r="AF538" i="3"/>
  <c r="AH538" i="3" l="1"/>
  <c r="AF539" i="3"/>
  <c r="AF540" i="3" l="1"/>
  <c r="AH539" i="3"/>
  <c r="AF541" i="3" l="1"/>
  <c r="AH540" i="3"/>
  <c r="AF542" i="3" l="1"/>
  <c r="AH541" i="3"/>
  <c r="AF543" i="3" l="1"/>
  <c r="AH542" i="3"/>
  <c r="AF544" i="3" l="1"/>
  <c r="AH543" i="3"/>
  <c r="AF545" i="3" l="1"/>
  <c r="AH544" i="3"/>
  <c r="AF546" i="3" l="1"/>
  <c r="AH545" i="3"/>
  <c r="AF547" i="3" l="1"/>
  <c r="AH546" i="3"/>
  <c r="AF548" i="3" l="1"/>
  <c r="AH547" i="3"/>
  <c r="AF549" i="3" l="1"/>
  <c r="AH548" i="3"/>
  <c r="AF550" i="3" l="1"/>
  <c r="AH549" i="3"/>
  <c r="AH550" i="3" l="1"/>
  <c r="AF551" i="3"/>
  <c r="AF552" i="3" l="1"/>
  <c r="AH551" i="3"/>
  <c r="AH552" i="3" l="1"/>
  <c r="AF553" i="3"/>
  <c r="AF554" i="3" l="1"/>
  <c r="AH553" i="3"/>
  <c r="AF555" i="3" l="1"/>
  <c r="AH554" i="3"/>
  <c r="AF556" i="3" l="1"/>
  <c r="AH555" i="3"/>
  <c r="AF557" i="3" l="1"/>
  <c r="AH556" i="3"/>
  <c r="AH557" i="3" l="1"/>
  <c r="AF558" i="3"/>
  <c r="AF559" i="3" l="1"/>
  <c r="AH558" i="3"/>
  <c r="AF560" i="3" l="1"/>
  <c r="AH559" i="3"/>
  <c r="AH560" i="3" l="1"/>
  <c r="AF561" i="3"/>
  <c r="AF562" i="3" l="1"/>
  <c r="AH561" i="3"/>
  <c r="AF563" i="3" l="1"/>
  <c r="AH562" i="3"/>
  <c r="AF564" i="3" l="1"/>
  <c r="AH563" i="3"/>
  <c r="AF565" i="3" l="1"/>
  <c r="AH564" i="3"/>
  <c r="AH565" i="3" l="1"/>
  <c r="AF566" i="3"/>
  <c r="AH566" i="3" l="1"/>
  <c r="AF567" i="3"/>
  <c r="AF568" i="3" l="1"/>
  <c r="AH567" i="3"/>
  <c r="AF569" i="3" l="1"/>
  <c r="AH568" i="3"/>
  <c r="AH569" i="3" l="1"/>
  <c r="AF570" i="3"/>
  <c r="AH570" i="3" l="1"/>
  <c r="AF571" i="3"/>
  <c r="AF572" i="3" l="1"/>
  <c r="AH571" i="3"/>
  <c r="AF573" i="3" l="1"/>
  <c r="AH572" i="3"/>
  <c r="AF574" i="3" l="1"/>
  <c r="AH573" i="3"/>
  <c r="AF575" i="3" l="1"/>
  <c r="AH574" i="3"/>
  <c r="AH575" i="3" l="1"/>
  <c r="AF576" i="3"/>
  <c r="AF577" i="3" l="1"/>
  <c r="AH576" i="3"/>
  <c r="AH577" i="3" l="1"/>
  <c r="AF578" i="3"/>
  <c r="AF579" i="3" l="1"/>
  <c r="AH578" i="3"/>
  <c r="AH579" i="3" l="1"/>
  <c r="AF580" i="3"/>
  <c r="AH580" i="3" l="1"/>
  <c r="AF581" i="3"/>
  <c r="AF582" i="3" l="1"/>
  <c r="AH581" i="3"/>
  <c r="AH582" i="3" l="1"/>
  <c r="AF583" i="3"/>
  <c r="AF584" i="3" l="1"/>
  <c r="AH583" i="3"/>
  <c r="AH584" i="3" l="1"/>
  <c r="AF585" i="3"/>
  <c r="AF586" i="3" l="1"/>
  <c r="AH585" i="3"/>
  <c r="AH586" i="3" l="1"/>
  <c r="AF587" i="3"/>
  <c r="AF588" i="3" l="1"/>
  <c r="AH587" i="3"/>
  <c r="AF589" i="3" l="1"/>
  <c r="AH588" i="3"/>
  <c r="AF590" i="3" l="1"/>
  <c r="AH589" i="3"/>
  <c r="AH590" i="3" l="1"/>
  <c r="AF591" i="3"/>
  <c r="AF592" i="3" l="1"/>
  <c r="AH591" i="3"/>
  <c r="AF593" i="3" l="1"/>
  <c r="AH592" i="3"/>
  <c r="AF594" i="3" l="1"/>
  <c r="AH593" i="3"/>
  <c r="AF595" i="3" l="1"/>
  <c r="AH594" i="3"/>
  <c r="AH595" i="3" l="1"/>
  <c r="AF596" i="3"/>
  <c r="AF597" i="3" l="1"/>
  <c r="AH596" i="3"/>
  <c r="AF598" i="3" l="1"/>
  <c r="AH597" i="3"/>
  <c r="AF599" i="3" l="1"/>
  <c r="AH598" i="3"/>
  <c r="AF600" i="3" l="1"/>
  <c r="AH599" i="3"/>
  <c r="AF601" i="3" l="1"/>
  <c r="AH600" i="3"/>
  <c r="AF602" i="3" l="1"/>
  <c r="AH601" i="3"/>
  <c r="AF603" i="3" l="1"/>
  <c r="AH602" i="3"/>
  <c r="AH603" i="3" l="1"/>
  <c r="AF604" i="3"/>
  <c r="AF605" i="3" l="1"/>
  <c r="AH604" i="3"/>
  <c r="AF606" i="3" l="1"/>
  <c r="AH605" i="3"/>
  <c r="AH606" i="3" l="1"/>
  <c r="AF607" i="3"/>
  <c r="AH607" i="3" l="1"/>
  <c r="AF608" i="3"/>
  <c r="AH608" i="3" l="1"/>
  <c r="AF609" i="3"/>
  <c r="AF610" i="3" l="1"/>
  <c r="AH609" i="3"/>
  <c r="AF611" i="3" l="1"/>
  <c r="AH610" i="3"/>
  <c r="AF612" i="3" l="1"/>
  <c r="AH611" i="3"/>
  <c r="AF613" i="3" l="1"/>
  <c r="AH612" i="3"/>
  <c r="AH613" i="3" l="1"/>
  <c r="AF614" i="3"/>
  <c r="AH614" i="3" l="1"/>
  <c r="AF615" i="3"/>
  <c r="AF616" i="3" l="1"/>
  <c r="AH615" i="3"/>
  <c r="AH616" i="3" l="1"/>
  <c r="AF617" i="3"/>
  <c r="AH617" i="3" l="1"/>
  <c r="AF618" i="3"/>
  <c r="AF619" i="3" l="1"/>
  <c r="AH618" i="3"/>
  <c r="AF620" i="3" l="1"/>
  <c r="AH619" i="3"/>
  <c r="AF621" i="3" l="1"/>
  <c r="AH620" i="3"/>
  <c r="AF622" i="3" l="1"/>
  <c r="AH621" i="3"/>
  <c r="AF623" i="3" l="1"/>
  <c r="AH622" i="3"/>
  <c r="AF624" i="3" l="1"/>
  <c r="AH623" i="3"/>
  <c r="AF625" i="3" l="1"/>
  <c r="AH624" i="3"/>
  <c r="AH625" i="3" l="1"/>
  <c r="AF626" i="3"/>
  <c r="AH626" i="3" l="1"/>
  <c r="AF627" i="3"/>
  <c r="AF628" i="3" l="1"/>
  <c r="AH627" i="3"/>
  <c r="AH628" i="3" l="1"/>
  <c r="AF629" i="3"/>
  <c r="AH629" i="3" l="1"/>
  <c r="AF630" i="3"/>
  <c r="AH630" i="3" l="1"/>
  <c r="AF631" i="3"/>
  <c r="AH631" i="3" l="1"/>
  <c r="AF632" i="3"/>
  <c r="AF633" i="3" l="1"/>
  <c r="AH632" i="3"/>
  <c r="AF634" i="3" l="1"/>
  <c r="AH633" i="3"/>
  <c r="AF635" i="3" l="1"/>
  <c r="AH634" i="3"/>
  <c r="AF636" i="3" l="1"/>
  <c r="AH635" i="3"/>
  <c r="AF637" i="3" l="1"/>
  <c r="AH636" i="3"/>
  <c r="AF638" i="3" l="1"/>
  <c r="AH637" i="3"/>
  <c r="AH638" i="3" l="1"/>
  <c r="AF639" i="3"/>
  <c r="AH639" i="3" l="1"/>
  <c r="AF640" i="3"/>
  <c r="AF641" i="3" l="1"/>
  <c r="AH640" i="3"/>
  <c r="AF642" i="3" l="1"/>
  <c r="AH641" i="3"/>
  <c r="AF643" i="3" l="1"/>
  <c r="AH642" i="3"/>
  <c r="AF644" i="3" l="1"/>
  <c r="AH643" i="3"/>
  <c r="AH644" i="3" l="1"/>
  <c r="AF645" i="3"/>
  <c r="AH645" i="3" l="1"/>
  <c r="AF646" i="3"/>
  <c r="AF647" i="3" l="1"/>
  <c r="AH646" i="3"/>
  <c r="AH647" i="3" l="1"/>
  <c r="AF648" i="3"/>
  <c r="AF649" i="3" l="1"/>
  <c r="AH648" i="3"/>
  <c r="AH649" i="3" l="1"/>
  <c r="AF650" i="3"/>
  <c r="AH650" i="3" l="1"/>
  <c r="AF651" i="3"/>
  <c r="AH651" i="3" l="1"/>
  <c r="AF652" i="3"/>
  <c r="AF653" i="3" l="1"/>
  <c r="AH652" i="3"/>
  <c r="AH653" i="3" l="1"/>
  <c r="AF654" i="3"/>
  <c r="AF655" i="3" l="1"/>
  <c r="AH654" i="3"/>
  <c r="AF656" i="3" l="1"/>
  <c r="AH655" i="3"/>
  <c r="AF657" i="3" l="1"/>
  <c r="AH656" i="3"/>
  <c r="AF658" i="3" l="1"/>
  <c r="AH657" i="3"/>
  <c r="AH658" i="3" l="1"/>
  <c r="AF659" i="3"/>
  <c r="AH659" i="3" l="1"/>
  <c r="AF660" i="3"/>
  <c r="AH660" i="3" l="1"/>
  <c r="AF661" i="3"/>
  <c r="AF662" i="3" l="1"/>
  <c r="AH661" i="3"/>
  <c r="AF663" i="3" l="1"/>
  <c r="AH662" i="3"/>
  <c r="AF664" i="3" l="1"/>
  <c r="AH663" i="3"/>
  <c r="AF665" i="3" l="1"/>
  <c r="AH664" i="3"/>
  <c r="AH665" i="3" l="1"/>
  <c r="AF666" i="3"/>
  <c r="AH666" i="3" l="1"/>
  <c r="AF667" i="3"/>
  <c r="AF668" i="3" l="1"/>
  <c r="AH667" i="3"/>
  <c r="AH668" i="3" l="1"/>
  <c r="AF669" i="3"/>
  <c r="AF670" i="3" l="1"/>
  <c r="AH669" i="3"/>
  <c r="AF671" i="3" l="1"/>
  <c r="AH670" i="3"/>
  <c r="AF672" i="3" l="1"/>
  <c r="AH671" i="3"/>
  <c r="AF673" i="3" l="1"/>
  <c r="AH672" i="3"/>
  <c r="AH673" i="3" l="1"/>
  <c r="AF674" i="3"/>
  <c r="AF675" i="3" l="1"/>
  <c r="AH674" i="3"/>
  <c r="AH675" i="3" l="1"/>
  <c r="AF676" i="3"/>
  <c r="AH676" i="3" l="1"/>
  <c r="AF677" i="3"/>
  <c r="AF678" i="3" l="1"/>
  <c r="AH677" i="3"/>
  <c r="AH678" i="3" l="1"/>
  <c r="AF679" i="3"/>
  <c r="AH679" i="3" l="1"/>
  <c r="AF680" i="3"/>
  <c r="AF681" i="3" l="1"/>
  <c r="AH680" i="3"/>
  <c r="AF682" i="3" l="1"/>
  <c r="AH681" i="3"/>
  <c r="AF683" i="3" l="1"/>
  <c r="AH682" i="3"/>
  <c r="AF684" i="3" l="1"/>
  <c r="AH683" i="3"/>
  <c r="AF685" i="3" l="1"/>
  <c r="AH684" i="3"/>
  <c r="AF686" i="3" l="1"/>
  <c r="AH685" i="3"/>
  <c r="AF687" i="3" l="1"/>
  <c r="AH686" i="3"/>
  <c r="AF688" i="3" l="1"/>
  <c r="AH687" i="3"/>
  <c r="AF689" i="3" l="1"/>
  <c r="AH688" i="3"/>
  <c r="AF690" i="3" l="1"/>
  <c r="AH689" i="3"/>
  <c r="AF691" i="3" l="1"/>
  <c r="AH690" i="3"/>
  <c r="AF692" i="3" l="1"/>
  <c r="AH691" i="3"/>
  <c r="AF693" i="3" l="1"/>
  <c r="AH692" i="3"/>
  <c r="AH693" i="3" l="1"/>
  <c r="AF694" i="3"/>
  <c r="AH694" i="3" l="1"/>
  <c r="AF695" i="3"/>
  <c r="AF696" i="3" l="1"/>
  <c r="AH695" i="3"/>
  <c r="AF697" i="3" l="1"/>
  <c r="AH696" i="3"/>
  <c r="AF698" i="3" l="1"/>
  <c r="AH697" i="3"/>
  <c r="AF699" i="3" l="1"/>
  <c r="AH698" i="3"/>
  <c r="AF700" i="3" l="1"/>
  <c r="AH699" i="3"/>
  <c r="AF701" i="3" l="1"/>
  <c r="AH700" i="3"/>
  <c r="AF702" i="3" l="1"/>
  <c r="AH701" i="3"/>
  <c r="AF703" i="3" l="1"/>
  <c r="AH702" i="3"/>
  <c r="AH703" i="3" l="1"/>
  <c r="AF704" i="3"/>
  <c r="AF705" i="3" l="1"/>
  <c r="AH704" i="3"/>
  <c r="AF706" i="3" l="1"/>
  <c r="AH705" i="3"/>
  <c r="AH706" i="3" l="1"/>
  <c r="AF707" i="3"/>
  <c r="AH707" i="3" l="1"/>
  <c r="AF708" i="3"/>
  <c r="AF709" i="3" l="1"/>
  <c r="AH708" i="3"/>
  <c r="AF710" i="3" l="1"/>
  <c r="AH709" i="3"/>
  <c r="AF711" i="3" l="1"/>
  <c r="AH710" i="3"/>
  <c r="AF712" i="3" l="1"/>
  <c r="AH711" i="3"/>
  <c r="AF713" i="3" l="1"/>
  <c r="AH712" i="3"/>
  <c r="AH713" i="3" l="1"/>
  <c r="AF714" i="3"/>
  <c r="AF715" i="3" l="1"/>
  <c r="AH714" i="3"/>
  <c r="AH715" i="3" l="1"/>
  <c r="AF716" i="3"/>
  <c r="AF717" i="3" l="1"/>
  <c r="AH716" i="3"/>
  <c r="AH717" i="3" l="1"/>
  <c r="AF718" i="3"/>
  <c r="AH718" i="3" l="1"/>
  <c r="AF719" i="3"/>
  <c r="AH719" i="3" l="1"/>
  <c r="AF720" i="3"/>
  <c r="AF721" i="3" l="1"/>
  <c r="AH720" i="3"/>
  <c r="AF722" i="3" l="1"/>
  <c r="AH721" i="3"/>
  <c r="AF723" i="3" l="1"/>
  <c r="AH722" i="3"/>
  <c r="AF724" i="3" l="1"/>
  <c r="AH723" i="3"/>
  <c r="AF725" i="3" l="1"/>
  <c r="AH724" i="3"/>
  <c r="AF726" i="3" l="1"/>
  <c r="AH725" i="3"/>
  <c r="AF727" i="3" l="1"/>
  <c r="AH726" i="3"/>
  <c r="AF728" i="3" l="1"/>
  <c r="AH727" i="3"/>
  <c r="AF729" i="3" l="1"/>
  <c r="AH728" i="3"/>
  <c r="AF730" i="3" l="1"/>
  <c r="AH729" i="3"/>
  <c r="AF731" i="3" l="1"/>
  <c r="AH730" i="3"/>
  <c r="AF732" i="3" l="1"/>
  <c r="AH731" i="3"/>
  <c r="AF733" i="3" l="1"/>
  <c r="AH732" i="3"/>
  <c r="AF734" i="3" l="1"/>
  <c r="AH733" i="3"/>
  <c r="AF735" i="3" l="1"/>
  <c r="AH734" i="3"/>
  <c r="AF736" i="3" l="1"/>
  <c r="AH735" i="3"/>
  <c r="AF737" i="3" l="1"/>
  <c r="AH736" i="3"/>
  <c r="AF738" i="3" l="1"/>
  <c r="AH737" i="3"/>
  <c r="AF739" i="3" l="1"/>
  <c r="AH738" i="3"/>
  <c r="AF740" i="3" l="1"/>
  <c r="AH739" i="3"/>
  <c r="AF741" i="3" l="1"/>
  <c r="AH740" i="3"/>
  <c r="AH741" i="3" l="1"/>
  <c r="AF742" i="3"/>
  <c r="AH742" i="3" l="1"/>
  <c r="AF743" i="3"/>
  <c r="AF744" i="3" l="1"/>
  <c r="AH743" i="3"/>
  <c r="AF745" i="3" l="1"/>
  <c r="AH744" i="3"/>
  <c r="AF746" i="3" l="1"/>
  <c r="AH745" i="3"/>
  <c r="AF747" i="3" l="1"/>
  <c r="AH746" i="3"/>
  <c r="AF748" i="3" l="1"/>
  <c r="AH747" i="3"/>
  <c r="AF749" i="3" l="1"/>
  <c r="AH748" i="3"/>
  <c r="AF750" i="3" l="1"/>
  <c r="AH749" i="3"/>
  <c r="AF751" i="3" l="1"/>
  <c r="AH750" i="3"/>
  <c r="AF752" i="3" l="1"/>
  <c r="AH751" i="3"/>
  <c r="AF753" i="3" l="1"/>
  <c r="AH752" i="3"/>
  <c r="AF754" i="3" l="1"/>
  <c r="AH753" i="3"/>
  <c r="AF755" i="3" l="1"/>
  <c r="AH754" i="3"/>
  <c r="AH755" i="3" l="1"/>
  <c r="AF756" i="3"/>
  <c r="AH756" i="3" l="1"/>
  <c r="AF757" i="3"/>
  <c r="AH757" i="3" l="1"/>
  <c r="AF758" i="3"/>
  <c r="AF759" i="3" l="1"/>
  <c r="AH758" i="3"/>
  <c r="AF760" i="3" l="1"/>
  <c r="AH759" i="3"/>
  <c r="AF761" i="3" l="1"/>
  <c r="AH760" i="3"/>
  <c r="AF762" i="3" l="1"/>
  <c r="AH761" i="3"/>
  <c r="AF763" i="3" l="1"/>
  <c r="AH762" i="3"/>
  <c r="AH763" i="3" l="1"/>
  <c r="AF764" i="3"/>
  <c r="AH764" i="3" l="1"/>
  <c r="AF765" i="3"/>
  <c r="AF766" i="3" l="1"/>
  <c r="AH765" i="3"/>
  <c r="AH766" i="3" l="1"/>
  <c r="AF767" i="3"/>
  <c r="AH767" i="3" l="1"/>
  <c r="AF768" i="3"/>
  <c r="AF769" i="3" l="1"/>
  <c r="AH768" i="3"/>
  <c r="AF770" i="3" l="1"/>
  <c r="AH769" i="3"/>
  <c r="AF771" i="3" l="1"/>
  <c r="AH770" i="3"/>
  <c r="AH771" i="3" l="1"/>
  <c r="AF772" i="3"/>
  <c r="AF773" i="3" l="1"/>
  <c r="AH772" i="3"/>
  <c r="AH773" i="3" l="1"/>
  <c r="AF774" i="3"/>
  <c r="AF775" i="3" l="1"/>
  <c r="AH774" i="3"/>
  <c r="AH775" i="3" l="1"/>
  <c r="AF776" i="3"/>
  <c r="AF777" i="3" l="1"/>
  <c r="AH776" i="3"/>
  <c r="AF778" i="3" l="1"/>
  <c r="AH777" i="3"/>
  <c r="AF779" i="3" l="1"/>
  <c r="AH778" i="3"/>
  <c r="AF780" i="3" l="1"/>
  <c r="AH779" i="3"/>
  <c r="AH780" i="3" l="1"/>
  <c r="AF781" i="3"/>
  <c r="AH781" i="3" l="1"/>
  <c r="AF782" i="3"/>
  <c r="AF783" i="3" l="1"/>
  <c r="AH782" i="3"/>
  <c r="AF784" i="3" l="1"/>
  <c r="AH783" i="3"/>
  <c r="AF785" i="3" l="1"/>
  <c r="AH784" i="3"/>
  <c r="AF786" i="3" l="1"/>
  <c r="AH785" i="3"/>
  <c r="AF787" i="3" l="1"/>
  <c r="AH786" i="3"/>
  <c r="AH787" i="3" l="1"/>
  <c r="AF788" i="3"/>
  <c r="AF789" i="3" l="1"/>
  <c r="AH788" i="3"/>
  <c r="AF790" i="3" l="1"/>
  <c r="AH789" i="3"/>
  <c r="AH790" i="3" l="1"/>
  <c r="AF791" i="3"/>
  <c r="AF792" i="3" l="1"/>
  <c r="AH791" i="3"/>
  <c r="AF793" i="3" l="1"/>
  <c r="AH792" i="3"/>
  <c r="AH793" i="3" l="1"/>
  <c r="AF794" i="3"/>
  <c r="AF795" i="3" l="1"/>
  <c r="AH794" i="3"/>
  <c r="AF796" i="3" l="1"/>
  <c r="AH795" i="3"/>
  <c r="AF797" i="3" l="1"/>
  <c r="AH796" i="3"/>
  <c r="AF798" i="3" l="1"/>
  <c r="AH797" i="3"/>
  <c r="AH798" i="3" l="1"/>
  <c r="AF799" i="3"/>
  <c r="AF800" i="3" l="1"/>
  <c r="AH799" i="3"/>
  <c r="AH800" i="3" l="1"/>
  <c r="AF801" i="3"/>
  <c r="AH801" i="3" l="1"/>
  <c r="AF802" i="3"/>
  <c r="AH802" i="3" l="1"/>
  <c r="AF803" i="3"/>
  <c r="AF804" i="3" l="1"/>
  <c r="AH803" i="3"/>
  <c r="AH804" i="3" l="1"/>
  <c r="AF805" i="3"/>
  <c r="AH805" i="3" l="1"/>
  <c r="AF806" i="3"/>
  <c r="AF807" i="3" l="1"/>
  <c r="AH806" i="3"/>
  <c r="AF808" i="3" l="1"/>
  <c r="AH807" i="3"/>
  <c r="AF809" i="3" l="1"/>
  <c r="AH808" i="3"/>
  <c r="AH809" i="3" l="1"/>
  <c r="AF810" i="3"/>
  <c r="AH810" i="3" l="1"/>
  <c r="AF811" i="3"/>
  <c r="AF812" i="3" l="1"/>
  <c r="AH811" i="3"/>
  <c r="AF813" i="3" l="1"/>
  <c r="AH812" i="3"/>
  <c r="AF814" i="3" l="1"/>
  <c r="AH813" i="3"/>
  <c r="AH814" i="3" l="1"/>
  <c r="AF815" i="3"/>
  <c r="AH815" i="3" l="1"/>
  <c r="AF816" i="3"/>
  <c r="AF817" i="3" l="1"/>
  <c r="AH816" i="3"/>
  <c r="AF818" i="3" l="1"/>
  <c r="AH817" i="3"/>
  <c r="AF819" i="3" l="1"/>
  <c r="AH818" i="3"/>
  <c r="AH819" i="3" l="1"/>
  <c r="AF820" i="3"/>
  <c r="AF821" i="3" l="1"/>
  <c r="AH820" i="3"/>
  <c r="AH821" i="3" l="1"/>
  <c r="AF822" i="3"/>
  <c r="AH822" i="3" l="1"/>
  <c r="AF823" i="3"/>
  <c r="AF824" i="3" l="1"/>
  <c r="AH823" i="3"/>
  <c r="AF825" i="3" l="1"/>
  <c r="AH824" i="3"/>
  <c r="AH825" i="3" l="1"/>
  <c r="AF826" i="3"/>
  <c r="AF827" i="3" l="1"/>
  <c r="AH826" i="3"/>
  <c r="AF828" i="3" l="1"/>
  <c r="AH827" i="3"/>
  <c r="AF829" i="3" l="1"/>
  <c r="AH828" i="3"/>
  <c r="AF830" i="3" l="1"/>
  <c r="AH829" i="3"/>
  <c r="AF831" i="3" l="1"/>
  <c r="AH830" i="3"/>
  <c r="AF832" i="3" l="1"/>
  <c r="AH831" i="3"/>
  <c r="AF833" i="3" l="1"/>
  <c r="AH832" i="3"/>
  <c r="AF834" i="3" l="1"/>
  <c r="AH833" i="3"/>
  <c r="AH834" i="3" l="1"/>
  <c r="AF835" i="3"/>
  <c r="AF836" i="3" l="1"/>
  <c r="AH835" i="3"/>
  <c r="AF837" i="3" l="1"/>
  <c r="AH836" i="3"/>
  <c r="AF838" i="3" l="1"/>
  <c r="AH837" i="3"/>
  <c r="AH838" i="3" l="1"/>
  <c r="AF839" i="3"/>
  <c r="AF840" i="3" l="1"/>
  <c r="AH839" i="3"/>
  <c r="AF841" i="3" l="1"/>
  <c r="AH840" i="3"/>
  <c r="AF842" i="3" l="1"/>
  <c r="AH841" i="3"/>
  <c r="AF843" i="3" l="1"/>
  <c r="AH842" i="3"/>
  <c r="AF844" i="3" l="1"/>
  <c r="AH843" i="3"/>
  <c r="AF845" i="3" l="1"/>
  <c r="AH844" i="3"/>
  <c r="AH845" i="3" l="1"/>
  <c r="AF846" i="3"/>
  <c r="AH846" i="3" l="1"/>
  <c r="AF847" i="3"/>
  <c r="AF848" i="3" l="1"/>
  <c r="AH847" i="3"/>
  <c r="AH848" i="3" l="1"/>
  <c r="AF849" i="3"/>
  <c r="AF850" i="3" l="1"/>
  <c r="AH849" i="3"/>
  <c r="AF851" i="3" l="1"/>
  <c r="AH850" i="3"/>
  <c r="AF852" i="3" l="1"/>
  <c r="AH851" i="3"/>
  <c r="AF853" i="3" l="1"/>
  <c r="AH852" i="3"/>
  <c r="AH853" i="3" l="1"/>
  <c r="AF854" i="3"/>
  <c r="AF855" i="3" l="1"/>
  <c r="AH854" i="3"/>
  <c r="AF856" i="3" l="1"/>
  <c r="AH855" i="3"/>
  <c r="AF857" i="3" l="1"/>
  <c r="AH856" i="3"/>
  <c r="AF858" i="3" l="1"/>
  <c r="AH857" i="3"/>
  <c r="AH858" i="3" l="1"/>
  <c r="AF859" i="3"/>
  <c r="AF860" i="3" l="1"/>
  <c r="AH859" i="3"/>
  <c r="AF861" i="3" l="1"/>
  <c r="AH860" i="3"/>
  <c r="AH861" i="3" l="1"/>
  <c r="AF862" i="3"/>
  <c r="AF863" i="3" l="1"/>
  <c r="AH862" i="3"/>
  <c r="AF864" i="3" l="1"/>
  <c r="AH863" i="3"/>
  <c r="AH864" i="3" l="1"/>
  <c r="AF865" i="3"/>
  <c r="AH865" i="3" l="1"/>
  <c r="AF866" i="3"/>
  <c r="AH866" i="3" l="1"/>
  <c r="AF867" i="3"/>
  <c r="AF868" i="3" l="1"/>
  <c r="AH867" i="3"/>
  <c r="AH868" i="3" l="1"/>
  <c r="AF869" i="3"/>
  <c r="AH869" i="3" l="1"/>
  <c r="AF870" i="3"/>
  <c r="AH870" i="3" l="1"/>
  <c r="AF871" i="3"/>
  <c r="AF872" i="3" l="1"/>
  <c r="AH871" i="3"/>
  <c r="AF873" i="3" l="1"/>
  <c r="AH872" i="3"/>
  <c r="AF874" i="3" l="1"/>
  <c r="AH873" i="3"/>
  <c r="AF875" i="3" l="1"/>
  <c r="AH874" i="3"/>
  <c r="AF876" i="3" l="1"/>
  <c r="AH875" i="3"/>
  <c r="AF877" i="3" l="1"/>
  <c r="AH876" i="3"/>
  <c r="AH877" i="3" l="1"/>
  <c r="AF878" i="3"/>
  <c r="AF879" i="3" l="1"/>
  <c r="AH878" i="3"/>
  <c r="AH879" i="3" l="1"/>
  <c r="AF880" i="3"/>
  <c r="AF881" i="3" l="1"/>
  <c r="AH880" i="3"/>
  <c r="AF882" i="3" l="1"/>
  <c r="AH881" i="3"/>
  <c r="AH882" i="3" l="1"/>
  <c r="AF883" i="3"/>
  <c r="AF884" i="3" l="1"/>
  <c r="AH883" i="3"/>
  <c r="AF885" i="3" l="1"/>
  <c r="AH884" i="3"/>
  <c r="AF886" i="3" l="1"/>
  <c r="AH885" i="3"/>
  <c r="AF887" i="3" l="1"/>
  <c r="AH886" i="3"/>
  <c r="AF888" i="3" l="1"/>
  <c r="AH887" i="3"/>
  <c r="AF889" i="3" l="1"/>
  <c r="AH888" i="3"/>
  <c r="AF890" i="3" l="1"/>
  <c r="AH889" i="3"/>
  <c r="AF891" i="3" l="1"/>
  <c r="AH890" i="3"/>
  <c r="AF892" i="3" l="1"/>
  <c r="AH891" i="3"/>
  <c r="AF893" i="3" l="1"/>
  <c r="AH892" i="3"/>
  <c r="AF894" i="3" l="1"/>
  <c r="AH893" i="3"/>
  <c r="AF895" i="3" l="1"/>
  <c r="AH894" i="3"/>
  <c r="AF896" i="3" l="1"/>
  <c r="AH895" i="3"/>
  <c r="AF897" i="3" l="1"/>
  <c r="AH896" i="3"/>
  <c r="AF898" i="3" l="1"/>
  <c r="AH897" i="3"/>
  <c r="AF899" i="3" l="1"/>
  <c r="AH898" i="3"/>
  <c r="AF900" i="3" l="1"/>
  <c r="AH899" i="3"/>
  <c r="AF901" i="3" l="1"/>
  <c r="AH900" i="3"/>
  <c r="AF902" i="3" l="1"/>
  <c r="AH901" i="3"/>
  <c r="AF903" i="3" l="1"/>
  <c r="AH902" i="3"/>
  <c r="AF904" i="3" l="1"/>
  <c r="AH903" i="3"/>
  <c r="AF905" i="3" l="1"/>
  <c r="AH904" i="3"/>
  <c r="AF906" i="3" l="1"/>
  <c r="AH905" i="3"/>
  <c r="AF907" i="3" l="1"/>
  <c r="AH906" i="3"/>
  <c r="AF908" i="3" l="1"/>
  <c r="AH907" i="3"/>
  <c r="AH908" i="3" l="1"/>
  <c r="AF909" i="3"/>
  <c r="AF910" i="3" l="1"/>
  <c r="AH909" i="3"/>
  <c r="AF911" i="3" l="1"/>
  <c r="AH910" i="3"/>
  <c r="AF912" i="3" l="1"/>
  <c r="AH911" i="3"/>
  <c r="AF913" i="3" l="1"/>
  <c r="AH912" i="3"/>
  <c r="AH913" i="3" l="1"/>
  <c r="AF914" i="3"/>
  <c r="AF915" i="3" l="1"/>
  <c r="AH914" i="3"/>
  <c r="AF916" i="3" l="1"/>
  <c r="AH915" i="3"/>
  <c r="AF917" i="3" l="1"/>
  <c r="AH916" i="3"/>
  <c r="AF918" i="3" l="1"/>
  <c r="AH917" i="3"/>
  <c r="AF919" i="3" l="1"/>
  <c r="AH918" i="3"/>
  <c r="AF920" i="3" l="1"/>
  <c r="AH919" i="3"/>
  <c r="AH920" i="3" l="1"/>
  <c r="AF921" i="3"/>
  <c r="AF922" i="3" l="1"/>
  <c r="AH921" i="3"/>
  <c r="AF923" i="3" l="1"/>
  <c r="AH922" i="3"/>
  <c r="AF924" i="3" l="1"/>
  <c r="AH923" i="3"/>
  <c r="AF925" i="3" l="1"/>
  <c r="AH924" i="3"/>
  <c r="AF926" i="3" l="1"/>
  <c r="AH925" i="3"/>
  <c r="AF927" i="3" l="1"/>
  <c r="AH926" i="3"/>
  <c r="AF928" i="3" l="1"/>
  <c r="AH927" i="3"/>
  <c r="AF929" i="3" l="1"/>
  <c r="AH928" i="3"/>
  <c r="AF930" i="3" l="1"/>
  <c r="AH929" i="3"/>
  <c r="AF931" i="3" l="1"/>
  <c r="AH930" i="3"/>
  <c r="AF932" i="3" l="1"/>
  <c r="AH931" i="3"/>
  <c r="AF933" i="3" l="1"/>
  <c r="AH932" i="3"/>
  <c r="AF934" i="3" l="1"/>
  <c r="AH933" i="3"/>
  <c r="AF935" i="3" l="1"/>
  <c r="AH934" i="3"/>
  <c r="AF936" i="3" l="1"/>
  <c r="AH935" i="3"/>
  <c r="AF937" i="3" l="1"/>
  <c r="AH936" i="3"/>
  <c r="AF938" i="3" l="1"/>
  <c r="AH937" i="3"/>
  <c r="AF939" i="3" l="1"/>
  <c r="AH938" i="3"/>
  <c r="AF940" i="3" l="1"/>
  <c r="AH939" i="3"/>
  <c r="AF941" i="3" l="1"/>
  <c r="AH940" i="3"/>
  <c r="AF942" i="3" l="1"/>
  <c r="AH941" i="3"/>
  <c r="AF943" i="3" l="1"/>
  <c r="AH942" i="3"/>
  <c r="AF944" i="3" l="1"/>
  <c r="AH943" i="3"/>
  <c r="AF945" i="3" l="1"/>
  <c r="AH944" i="3"/>
  <c r="AF946" i="3" l="1"/>
  <c r="AH945" i="3"/>
  <c r="AF947" i="3" l="1"/>
  <c r="AH946" i="3"/>
  <c r="AH947" i="3" l="1"/>
  <c r="AF948" i="3"/>
  <c r="AF949" i="3" l="1"/>
  <c r="AH948" i="3"/>
  <c r="AH949" i="3" l="1"/>
  <c r="AF950" i="3"/>
  <c r="AF951" i="3" l="1"/>
  <c r="AH950" i="3"/>
  <c r="AF952" i="3" l="1"/>
  <c r="AH951" i="3"/>
  <c r="AF953" i="3" l="1"/>
  <c r="AH952" i="3"/>
  <c r="AH953" i="3" l="1"/>
  <c r="AF954" i="3"/>
  <c r="AF955" i="3" l="1"/>
  <c r="AH954" i="3"/>
  <c r="AF956" i="3" l="1"/>
  <c r="AH955" i="3"/>
  <c r="AF957" i="3" l="1"/>
  <c r="AH956" i="3"/>
  <c r="AF958" i="3" l="1"/>
  <c r="AH957" i="3"/>
  <c r="AF959" i="3" l="1"/>
  <c r="AH958" i="3"/>
  <c r="AF960" i="3" l="1"/>
  <c r="AH959" i="3"/>
  <c r="AF961" i="3" l="1"/>
  <c r="AH960" i="3"/>
  <c r="AF962" i="3" l="1"/>
  <c r="AH961" i="3"/>
  <c r="AF963" i="3" l="1"/>
  <c r="AH962" i="3"/>
  <c r="AF964" i="3" l="1"/>
  <c r="AH963" i="3"/>
  <c r="AH964" i="3" l="1"/>
  <c r="AF965" i="3"/>
  <c r="AF966" i="3" l="1"/>
  <c r="AH965" i="3"/>
  <c r="AF967" i="3" l="1"/>
  <c r="AH966" i="3"/>
  <c r="AF968" i="3" l="1"/>
  <c r="AH967" i="3"/>
  <c r="AH968" i="3" l="1"/>
  <c r="AF969" i="3"/>
  <c r="AF970" i="3" l="1"/>
  <c r="AH969" i="3"/>
  <c r="AF971" i="3" l="1"/>
  <c r="AH970" i="3"/>
  <c r="AF972" i="3" l="1"/>
  <c r="AH971" i="3"/>
  <c r="AF973" i="3" l="1"/>
  <c r="AH972" i="3"/>
  <c r="AF974" i="3" l="1"/>
  <c r="AH973" i="3"/>
  <c r="AH974" i="3" l="1"/>
  <c r="AF975" i="3"/>
  <c r="AF976" i="3" l="1"/>
  <c r="AH975" i="3"/>
  <c r="AF977" i="3" l="1"/>
  <c r="AH976" i="3"/>
  <c r="AF978" i="3" l="1"/>
  <c r="AH977" i="3"/>
  <c r="AF979" i="3" l="1"/>
  <c r="AH978" i="3"/>
  <c r="AF980" i="3" l="1"/>
  <c r="AH979" i="3"/>
  <c r="AF981" i="3" l="1"/>
  <c r="AH980" i="3"/>
  <c r="AF982" i="3" l="1"/>
  <c r="AH981" i="3"/>
  <c r="AF983" i="3" l="1"/>
  <c r="AH982" i="3"/>
  <c r="AH983" i="3" l="1"/>
  <c r="AF984" i="3"/>
  <c r="AH984" i="3" l="1"/>
  <c r="AF985" i="3"/>
  <c r="AF986" i="3" l="1"/>
  <c r="AH985" i="3"/>
  <c r="AF987" i="3" l="1"/>
  <c r="AH986" i="3"/>
  <c r="AF988" i="3" l="1"/>
  <c r="AH987" i="3"/>
  <c r="AH988" i="3" l="1"/>
  <c r="AF989" i="3"/>
  <c r="AF990" i="3" l="1"/>
  <c r="AH989" i="3"/>
  <c r="AH990" i="3" l="1"/>
  <c r="AF991" i="3"/>
  <c r="AF992" i="3" l="1"/>
  <c r="AH991" i="3"/>
  <c r="AF993" i="3" l="1"/>
  <c r="AH992" i="3"/>
  <c r="AF994" i="3" l="1"/>
  <c r="AH993" i="3"/>
  <c r="AF995" i="3" l="1"/>
  <c r="AH994" i="3"/>
  <c r="AF996" i="3" l="1"/>
  <c r="AH995" i="3"/>
  <c r="AF997" i="3" l="1"/>
  <c r="AH996" i="3"/>
  <c r="AF998" i="3" l="1"/>
  <c r="AH997" i="3"/>
  <c r="AF999" i="3" l="1"/>
  <c r="AH998" i="3"/>
  <c r="AF1000" i="3" l="1"/>
  <c r="AH999" i="3"/>
  <c r="AH1000" i="3" l="1"/>
  <c r="AF1001" i="3"/>
  <c r="AF1002" i="3" l="1"/>
  <c r="AH1001" i="3"/>
  <c r="AH1002" i="3" l="1"/>
  <c r="AF1003" i="3"/>
  <c r="AF1004" i="3" l="1"/>
  <c r="AH1003" i="3"/>
  <c r="AF1005" i="3" l="1"/>
  <c r="AH1004" i="3"/>
  <c r="AF1006" i="3" l="1"/>
  <c r="AH1005" i="3"/>
  <c r="AH1006" i="3" l="1"/>
  <c r="AF1007" i="3"/>
  <c r="AF1008" i="3" l="1"/>
  <c r="AH1007" i="3"/>
  <c r="AF1009" i="3" l="1"/>
  <c r="AH1008" i="3"/>
  <c r="AF1010" i="3" l="1"/>
  <c r="AH1009" i="3"/>
  <c r="AF1011" i="3" l="1"/>
  <c r="AH1010" i="3"/>
  <c r="AH1011" i="3" l="1"/>
  <c r="AF1012" i="3"/>
  <c r="AH1012" i="3" l="1"/>
  <c r="AF1013" i="3"/>
  <c r="AF1014" i="3" l="1"/>
  <c r="AH1013" i="3"/>
  <c r="AH1014" i="3" l="1"/>
  <c r="AF1015" i="3"/>
  <c r="AH1015" i="3" l="1"/>
  <c r="AF1016" i="3"/>
  <c r="AF1017" i="3" l="1"/>
  <c r="AH1016" i="3"/>
  <c r="AF1018" i="3" l="1"/>
  <c r="AH1017" i="3"/>
  <c r="AH1018" i="3" l="1"/>
  <c r="AF1019" i="3"/>
  <c r="AF1020" i="3" l="1"/>
  <c r="AH1019" i="3"/>
  <c r="AF1021" i="3" l="1"/>
  <c r="AH1020" i="3"/>
  <c r="AF1022" i="3" l="1"/>
  <c r="AH1021" i="3"/>
  <c r="AH1022" i="3" l="1"/>
  <c r="AF1023" i="3"/>
  <c r="AF1024" i="3" l="1"/>
  <c r="AH1023" i="3"/>
  <c r="AF1025" i="3" l="1"/>
  <c r="AH1024" i="3"/>
  <c r="AF1026" i="3" l="1"/>
  <c r="AH1025" i="3"/>
  <c r="AH1026" i="3" l="1"/>
  <c r="AF1027" i="3"/>
  <c r="AF1028" i="3" l="1"/>
  <c r="AH1027" i="3"/>
  <c r="AH1028" i="3" l="1"/>
  <c r="AF1029" i="3"/>
  <c r="AF1030" i="3" l="1"/>
  <c r="AH1029" i="3"/>
  <c r="AH1030" i="3" l="1"/>
  <c r="AF1031" i="3"/>
  <c r="AF1032" i="3" l="1"/>
  <c r="AH1031" i="3"/>
  <c r="AF1033" i="3" l="1"/>
  <c r="AH1032" i="3"/>
  <c r="AF1034" i="3" l="1"/>
  <c r="AH1033" i="3"/>
  <c r="AF1035" i="3" l="1"/>
  <c r="AH1034" i="3"/>
  <c r="AH1035" i="3" l="1"/>
  <c r="AF1036" i="3"/>
  <c r="AF1037" i="3" l="1"/>
  <c r="AH1036" i="3"/>
  <c r="AF1038" i="3" l="1"/>
  <c r="AH1037" i="3"/>
  <c r="AF1039" i="3" l="1"/>
  <c r="AH1038" i="3"/>
  <c r="AF1040" i="3" l="1"/>
  <c r="AH1039" i="3"/>
  <c r="AH1040" i="3" l="1"/>
  <c r="AF1041" i="3"/>
  <c r="AF1042" i="3" l="1"/>
  <c r="AH1041" i="3"/>
  <c r="AF1043" i="3" l="1"/>
  <c r="AH1042" i="3"/>
  <c r="AF1044" i="3" l="1"/>
  <c r="AH1043" i="3"/>
  <c r="AH1044" i="3" l="1"/>
  <c r="AF1045" i="3"/>
  <c r="AF1046" i="3" l="1"/>
  <c r="AH1045" i="3"/>
  <c r="AH1046" i="3" l="1"/>
  <c r="AF1047" i="3"/>
  <c r="AF1048" i="3" l="1"/>
  <c r="AH1047" i="3"/>
  <c r="AF1049" i="3" l="1"/>
  <c r="AH1048" i="3"/>
  <c r="AF1050" i="3" l="1"/>
  <c r="AH1049" i="3"/>
  <c r="AH1050" i="3" l="1"/>
  <c r="AF1051" i="3"/>
  <c r="AF1052" i="3" l="1"/>
  <c r="AH1051" i="3"/>
  <c r="AF1053" i="3" l="1"/>
  <c r="AH1052" i="3"/>
  <c r="AF1054" i="3" l="1"/>
  <c r="AH1053" i="3"/>
  <c r="AF1055" i="3" l="1"/>
  <c r="AH1054" i="3"/>
  <c r="AF1056" i="3" l="1"/>
  <c r="AH1055" i="3"/>
  <c r="AF1057" i="3" l="1"/>
  <c r="AH1056" i="3"/>
  <c r="AF1058" i="3" l="1"/>
  <c r="AH1057" i="3"/>
  <c r="AH1058" i="3" l="1"/>
  <c r="AF1059" i="3"/>
  <c r="AH1059" i="3" l="1"/>
  <c r="AF1060" i="3"/>
  <c r="AH1060" i="3" l="1"/>
  <c r="AF1061" i="3"/>
  <c r="AF1062" i="3" l="1"/>
  <c r="AH1061" i="3"/>
  <c r="AF1063" i="3" l="1"/>
  <c r="AH1062" i="3"/>
  <c r="AF1064" i="3" l="1"/>
  <c r="AH1063" i="3"/>
  <c r="AF1065" i="3" l="1"/>
  <c r="AH1064" i="3"/>
  <c r="AF1066" i="3" l="1"/>
  <c r="AH1065" i="3"/>
  <c r="AF1067" i="3" l="1"/>
  <c r="AH1066" i="3"/>
  <c r="AF1068" i="3" l="1"/>
  <c r="AH1067" i="3"/>
  <c r="AF1069" i="3" l="1"/>
  <c r="AH1068" i="3"/>
  <c r="AF1070" i="3" l="1"/>
  <c r="AH1069" i="3"/>
  <c r="AF1071" i="3" l="1"/>
  <c r="AH1070" i="3"/>
  <c r="AF1072" i="3" l="1"/>
  <c r="AH1071" i="3"/>
  <c r="AF1073" i="3" l="1"/>
  <c r="AH1072" i="3"/>
  <c r="AF1074" i="3" l="1"/>
  <c r="AH1073" i="3"/>
  <c r="AF1075" i="3" l="1"/>
  <c r="AH1074" i="3"/>
  <c r="AF1076" i="3" l="1"/>
  <c r="AH1075" i="3"/>
  <c r="AF1077" i="3" l="1"/>
  <c r="AH1076" i="3"/>
  <c r="AF1078" i="3" l="1"/>
  <c r="AH1077" i="3"/>
  <c r="AH1078" i="3" l="1"/>
  <c r="AF1079" i="3"/>
  <c r="AF1080" i="3" l="1"/>
  <c r="AH1079" i="3"/>
  <c r="AF1081" i="3" l="1"/>
  <c r="AH1080" i="3"/>
  <c r="AH1081" i="3" l="1"/>
  <c r="AF1082" i="3"/>
  <c r="AH1082" i="3" l="1"/>
  <c r="AF1083" i="3"/>
  <c r="AF1084" i="3" l="1"/>
  <c r="AH1083" i="3"/>
  <c r="AH1084" i="3" l="1"/>
  <c r="AF1085" i="3"/>
  <c r="AF1086" i="3" l="1"/>
  <c r="AH1085" i="3"/>
  <c r="AF1087" i="3" l="1"/>
  <c r="AH1086" i="3"/>
  <c r="AF1088" i="3" l="1"/>
  <c r="AH1087" i="3"/>
  <c r="AF1089" i="3" l="1"/>
  <c r="AH1088" i="3"/>
  <c r="AH1089" i="3" l="1"/>
  <c r="AF1090" i="3"/>
  <c r="AF1091" i="3" l="1"/>
  <c r="AH1090" i="3"/>
  <c r="AF1092" i="3" l="1"/>
  <c r="AH1091" i="3"/>
  <c r="AH1092" i="3" l="1"/>
  <c r="AF1093" i="3"/>
  <c r="AH1093" i="3" l="1"/>
  <c r="AF1094" i="3"/>
  <c r="AF1095" i="3" l="1"/>
  <c r="AH1094" i="3"/>
  <c r="AF1096" i="3" l="1"/>
  <c r="AH1095" i="3"/>
  <c r="AH1096" i="3" l="1"/>
  <c r="AF1097" i="3"/>
  <c r="AH1097" i="3" l="1"/>
  <c r="AF1098" i="3"/>
  <c r="AF1099" i="3" l="1"/>
  <c r="AH1098" i="3"/>
  <c r="AH1099" i="3" l="1"/>
  <c r="AF1100" i="3"/>
  <c r="AF1101" i="3" l="1"/>
  <c r="AH1100" i="3"/>
  <c r="AF1102" i="3" l="1"/>
  <c r="AH1101" i="3"/>
  <c r="AF1103" i="3" l="1"/>
  <c r="AH1102" i="3"/>
  <c r="AF1104" i="3" l="1"/>
  <c r="AH1103" i="3"/>
  <c r="AF1105" i="3" l="1"/>
  <c r="AH1104" i="3"/>
  <c r="AF1106" i="3" l="1"/>
  <c r="AH1105" i="3"/>
  <c r="AH1106" i="3" l="1"/>
  <c r="AF1107" i="3"/>
  <c r="AF1108" i="3" l="1"/>
  <c r="AH1107" i="3"/>
  <c r="AH1108" i="3" l="1"/>
  <c r="AF1109" i="3"/>
  <c r="AF1110" i="3" l="1"/>
  <c r="AH1109" i="3"/>
  <c r="AF1111" i="3" l="1"/>
  <c r="AH1110" i="3"/>
  <c r="AF1112" i="3" l="1"/>
  <c r="AH1111" i="3"/>
  <c r="AF1113" i="3" l="1"/>
  <c r="AH1112" i="3"/>
  <c r="AF1114" i="3" l="1"/>
  <c r="AH1113" i="3"/>
  <c r="AF1115" i="3" l="1"/>
  <c r="AH1114" i="3"/>
  <c r="AF1116" i="3" l="1"/>
  <c r="AH1115" i="3"/>
  <c r="AF1117" i="3" l="1"/>
  <c r="AH1116" i="3"/>
  <c r="AF1118" i="3" l="1"/>
  <c r="AH1117" i="3"/>
  <c r="AF1119" i="3" l="1"/>
  <c r="AH1118" i="3"/>
  <c r="AF1120" i="3" l="1"/>
  <c r="AH1119" i="3"/>
  <c r="AF1121" i="3" l="1"/>
  <c r="AH1120" i="3"/>
  <c r="AF1122" i="3" l="1"/>
  <c r="AH1121" i="3"/>
  <c r="AF1123" i="3" l="1"/>
  <c r="AH1122" i="3"/>
  <c r="AF1124" i="3" l="1"/>
  <c r="AH1123" i="3"/>
  <c r="AF1125" i="3" l="1"/>
  <c r="AH1124" i="3"/>
  <c r="AF1126" i="3" l="1"/>
  <c r="AH1125" i="3"/>
  <c r="AF1127" i="3" l="1"/>
  <c r="AH1126" i="3"/>
  <c r="AF1128" i="3" l="1"/>
  <c r="AH1127" i="3"/>
  <c r="AF1129" i="3" l="1"/>
  <c r="AH1128" i="3"/>
  <c r="AF1130" i="3" l="1"/>
  <c r="AH1129" i="3"/>
  <c r="AF1131" i="3" l="1"/>
  <c r="AH1130" i="3"/>
  <c r="AF1132" i="3" l="1"/>
  <c r="AH1131" i="3"/>
  <c r="AH1132" i="3" l="1"/>
  <c r="AF1133" i="3"/>
  <c r="AF1134" i="3" l="1"/>
  <c r="AH1133" i="3"/>
  <c r="AF1135" i="3" l="1"/>
  <c r="AH1134" i="3"/>
  <c r="AF1136" i="3" l="1"/>
  <c r="AH1135" i="3"/>
  <c r="AF1137" i="3" l="1"/>
  <c r="AH1136" i="3"/>
  <c r="AF1138" i="3" l="1"/>
  <c r="AH1137" i="3"/>
  <c r="AF1139" i="3" l="1"/>
  <c r="AH1138" i="3"/>
  <c r="AF1140" i="3" l="1"/>
  <c r="AH1139" i="3"/>
  <c r="AF1141" i="3" l="1"/>
  <c r="AH1140" i="3"/>
  <c r="AF1142" i="3" l="1"/>
  <c r="AH1141" i="3"/>
  <c r="AF1143" i="3" l="1"/>
  <c r="AH1142" i="3"/>
  <c r="AF1144" i="3" l="1"/>
  <c r="AH1143" i="3"/>
  <c r="AF1145" i="3" l="1"/>
  <c r="AH1144" i="3"/>
  <c r="AF1146" i="3" l="1"/>
  <c r="AH1145" i="3"/>
  <c r="AF1147" i="3" l="1"/>
  <c r="AH1146" i="3"/>
  <c r="AF1148" i="3" l="1"/>
  <c r="AH1147" i="3"/>
  <c r="AF1149" i="3" l="1"/>
  <c r="AH1148" i="3"/>
  <c r="AF1150" i="3" l="1"/>
  <c r="AH1149" i="3"/>
  <c r="AF1151" i="3" l="1"/>
  <c r="AH1150" i="3"/>
  <c r="AF1152" i="3" l="1"/>
  <c r="AH1151" i="3"/>
  <c r="AF1153" i="3" l="1"/>
  <c r="AH1152" i="3"/>
  <c r="AF1154" i="3" l="1"/>
  <c r="AH1153" i="3"/>
  <c r="AF1155" i="3" l="1"/>
  <c r="AH1154" i="3"/>
  <c r="AF1156" i="3" l="1"/>
  <c r="AH1155" i="3"/>
  <c r="AF1157" i="3" l="1"/>
  <c r="AH1156" i="3"/>
  <c r="AF1158" i="3" l="1"/>
  <c r="AH1157" i="3"/>
  <c r="AF1159" i="3" l="1"/>
  <c r="AH1158" i="3"/>
  <c r="AF1160" i="3" l="1"/>
  <c r="AH1159" i="3"/>
  <c r="AF1161" i="3" l="1"/>
  <c r="AH1160" i="3"/>
  <c r="AF1162" i="3" l="1"/>
  <c r="AH1161" i="3"/>
  <c r="AF1163" i="3" l="1"/>
  <c r="AH1162" i="3"/>
  <c r="AF1164" i="3" l="1"/>
  <c r="AH1163" i="3"/>
  <c r="AF1165" i="3" l="1"/>
  <c r="AH1164" i="3"/>
  <c r="AF1166" i="3" l="1"/>
  <c r="AH1165" i="3"/>
  <c r="AF1167" i="3" l="1"/>
  <c r="AH1166" i="3"/>
  <c r="AF1168" i="3" l="1"/>
  <c r="AH1167" i="3"/>
  <c r="AF1169" i="3" l="1"/>
  <c r="AH1168" i="3"/>
  <c r="AF1170" i="3" l="1"/>
  <c r="AH1169" i="3"/>
  <c r="AF1171" i="3" l="1"/>
  <c r="AH1170" i="3"/>
  <c r="AH1171" i="3" l="1"/>
  <c r="AF1172" i="3"/>
  <c r="AH1172" i="3" l="1"/>
  <c r="AF1173" i="3"/>
  <c r="AH1173" i="3" l="1"/>
  <c r="AF1174" i="3"/>
  <c r="AF1175" i="3" l="1"/>
  <c r="AH1174" i="3"/>
  <c r="AF1176" i="3" l="1"/>
  <c r="AH1175" i="3"/>
  <c r="AF1177" i="3" l="1"/>
  <c r="AH1176" i="3"/>
  <c r="AF1178" i="3" l="1"/>
  <c r="AH1177" i="3"/>
  <c r="AF1179" i="3" l="1"/>
  <c r="AH1178" i="3"/>
  <c r="AF1180" i="3" l="1"/>
  <c r="AH1179" i="3"/>
  <c r="AF1181" i="3" l="1"/>
  <c r="AH1180" i="3"/>
  <c r="AF1182" i="3" l="1"/>
  <c r="AH1181" i="3"/>
  <c r="AF1183" i="3" l="1"/>
  <c r="AH1182" i="3"/>
  <c r="AF1184" i="3" l="1"/>
  <c r="AH1183" i="3"/>
  <c r="AF1185" i="3" l="1"/>
  <c r="AH1184" i="3"/>
  <c r="AF1186" i="3" l="1"/>
  <c r="AH1185" i="3"/>
  <c r="AF1187" i="3" l="1"/>
  <c r="AH1186" i="3"/>
  <c r="AF1188" i="3" l="1"/>
  <c r="AH1187" i="3"/>
  <c r="AF1189" i="3" l="1"/>
  <c r="AH1188" i="3"/>
  <c r="AF1190" i="3" l="1"/>
  <c r="AH1189" i="3"/>
  <c r="AF1191" i="3" l="1"/>
  <c r="AH1190" i="3"/>
  <c r="AF1192" i="3" l="1"/>
  <c r="AH1191" i="3"/>
  <c r="AF1193" i="3" l="1"/>
  <c r="AH1192" i="3"/>
  <c r="AF1194" i="3" l="1"/>
  <c r="AH1193" i="3"/>
  <c r="AF1195" i="3" l="1"/>
  <c r="AH1194" i="3"/>
  <c r="AF1196" i="3" l="1"/>
  <c r="AH1195" i="3"/>
  <c r="AF1197" i="3" l="1"/>
  <c r="AH1196" i="3"/>
  <c r="AF1198" i="3" l="1"/>
  <c r="AH1197" i="3"/>
  <c r="AF1199" i="3" l="1"/>
  <c r="AH1198" i="3"/>
  <c r="AF1200" i="3" l="1"/>
  <c r="AH1199" i="3"/>
  <c r="AF1201" i="3" l="1"/>
  <c r="AH1200" i="3"/>
  <c r="AF1202" i="3" l="1"/>
  <c r="AH1201" i="3"/>
  <c r="AF1203" i="3" l="1"/>
  <c r="AH1202" i="3"/>
  <c r="AH1203" i="3" l="1"/>
  <c r="AF1204" i="3"/>
  <c r="AF1205" i="3" l="1"/>
  <c r="AH1204" i="3"/>
  <c r="AF1206" i="3" l="1"/>
  <c r="AH1205" i="3"/>
  <c r="AF1207" i="3" l="1"/>
  <c r="AH1206" i="3"/>
  <c r="AF1208" i="3" l="1"/>
  <c r="AH1207" i="3"/>
  <c r="AF1209" i="3" l="1"/>
  <c r="AH1208" i="3"/>
  <c r="AF1210" i="3" l="1"/>
  <c r="AH1209" i="3"/>
  <c r="AF1211" i="3" l="1"/>
  <c r="AH1210" i="3"/>
  <c r="AF1212" i="3" l="1"/>
  <c r="AH1211" i="3"/>
  <c r="AF1213" i="3" l="1"/>
  <c r="AH1213" i="3" s="1"/>
  <c r="AH11" i="3" s="1"/>
  <c r="AH1212" i="3"/>
</calcChain>
</file>

<file path=xl/sharedStrings.xml><?xml version="1.0" encoding="utf-8"?>
<sst xmlns="http://schemas.openxmlformats.org/spreadsheetml/2006/main" count="58" uniqueCount="48">
  <si>
    <t>산출시점</t>
    <phoneticPr fontId="2" type="noConversion"/>
  </si>
  <si>
    <t>수렴오차</t>
    <phoneticPr fontId="2" type="noConversion"/>
  </si>
  <si>
    <t>최종관찰만기</t>
    <phoneticPr fontId="2" type="noConversion"/>
  </si>
  <si>
    <t>최초수렴시점</t>
    <phoneticPr fontId="2" type="noConversion"/>
  </si>
  <si>
    <t>장기선도금리</t>
    <phoneticPr fontId="2" type="noConversion"/>
  </si>
  <si>
    <t>Forward(Discrete)</t>
    <phoneticPr fontId="2" type="noConversion"/>
  </si>
  <si>
    <t>수렴속도</t>
    <phoneticPr fontId="2" type="noConversion"/>
  </si>
  <si>
    <t>이자지급횟수(년)</t>
    <phoneticPr fontId="2" type="noConversion"/>
  </si>
  <si>
    <t>Tenor(월)</t>
    <phoneticPr fontId="2" type="noConversion"/>
  </si>
  <si>
    <t>YTM → Spot 변환</t>
    <phoneticPr fontId="2" type="noConversion"/>
  </si>
  <si>
    <t>Tenor(년)</t>
    <phoneticPr fontId="2" type="noConversion"/>
  </si>
  <si>
    <t>수렴속도</t>
    <phoneticPr fontId="2" type="noConversion"/>
  </si>
  <si>
    <t>원화 무위험 금리기간구조</t>
    <phoneticPr fontId="2" type="noConversion"/>
  </si>
  <si>
    <t>Spot(Discrete)</t>
    <phoneticPr fontId="2" type="noConversion"/>
  </si>
  <si>
    <t>Forward(Discrete)</t>
    <phoneticPr fontId="2" type="noConversion"/>
  </si>
  <si>
    <t>YTM</t>
    <phoneticPr fontId="2" type="noConversion"/>
  </si>
  <si>
    <t>Spot(Cont)</t>
    <phoneticPr fontId="2" type="noConversion"/>
  </si>
  <si>
    <t>Spot(Cont)+LP</t>
    <phoneticPr fontId="2" type="noConversion"/>
  </si>
  <si>
    <t>: 입력 셀</t>
    <phoneticPr fontId="2" type="noConversion"/>
  </si>
  <si>
    <t>기본 무위험 금리기간구조</t>
    <phoneticPr fontId="2" type="noConversion"/>
  </si>
  <si>
    <t>조정 무위험 금리기간구조(유동성프리미엄 가산)</t>
    <phoneticPr fontId="2" type="noConversion"/>
  </si>
  <si>
    <t>수렴여부</t>
    <phoneticPr fontId="2" type="noConversion"/>
  </si>
  <si>
    <t>LP 및 VA</t>
    <phoneticPr fontId="2" type="noConversion"/>
  </si>
  <si>
    <t>유동성프리미엄(LP)</t>
    <phoneticPr fontId="2" type="noConversion"/>
  </si>
  <si>
    <t>자산평가용 금리기간구조</t>
    <phoneticPr fontId="2" type="noConversion"/>
  </si>
  <si>
    <t>변액평가 수익률</t>
    <phoneticPr fontId="2" type="noConversion"/>
  </si>
  <si>
    <t>-</t>
    <phoneticPr fontId="2" type="noConversion"/>
  </si>
  <si>
    <t>조정 무위험 금리기간구조(변동성조정 가산)</t>
    <phoneticPr fontId="2" type="noConversion"/>
  </si>
  <si>
    <t>변동성조정(VA)</t>
    <phoneticPr fontId="2" type="noConversion"/>
  </si>
  <si>
    <t>Spot(Cont)+VA</t>
    <phoneticPr fontId="2" type="noConversion"/>
  </si>
  <si>
    <t>국고채 금리</t>
    <phoneticPr fontId="2" type="noConversion"/>
  </si>
  <si>
    <t>산출시점</t>
    <phoneticPr fontId="2" type="noConversion"/>
  </si>
  <si>
    <t>수렴속도</t>
    <phoneticPr fontId="2" type="noConversion"/>
  </si>
  <si>
    <t>이자지급횟수(년)</t>
    <phoneticPr fontId="2" type="noConversion"/>
  </si>
  <si>
    <t>Tener(년)</t>
    <phoneticPr fontId="2" type="noConversion"/>
  </si>
  <si>
    <t>Spot(Cont)</t>
    <phoneticPr fontId="2" type="noConversion"/>
  </si>
  <si>
    <t>Spot(Cont)+LP</t>
    <phoneticPr fontId="2" type="noConversion"/>
  </si>
  <si>
    <t>Spot(Cont)+VA</t>
    <phoneticPr fontId="2" type="noConversion"/>
  </si>
  <si>
    <t>최종관찰만기 단계적 확대(1단계 ,23년)</t>
    <phoneticPr fontId="2" type="noConversion"/>
  </si>
  <si>
    <t>YTM → Spot 변환</t>
  </si>
  <si>
    <t>Spot rate를 이용한 할인율</t>
    <phoneticPr fontId="2" type="noConversion"/>
  </si>
  <si>
    <t>Forward rate를 이용한 할인율</t>
    <phoneticPr fontId="2" type="noConversion"/>
  </si>
  <si>
    <t>Spot Rate</t>
    <phoneticPr fontId="2" type="noConversion"/>
  </si>
  <si>
    <t>Annual</t>
    <phoneticPr fontId="2" type="noConversion"/>
  </si>
  <si>
    <t>Discrete</t>
    <phoneticPr fontId="2" type="noConversion"/>
  </si>
  <si>
    <t>Forward Rate</t>
    <phoneticPr fontId="2" type="noConversion"/>
  </si>
  <si>
    <t>1 month</t>
    <phoneticPr fontId="2" type="noConversion"/>
  </si>
  <si>
    <t>proj_month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</si>
</sst>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\[0\]"/>
    <numFmt numFmtId="177" formatCode="0.0&quot;bp&quot;"/>
    <numFmt numFmtId="178" formatCode="0.000%"/>
    <numFmt numFmtId="179" formatCode="0&quot;년&quot;"/>
    <numFmt numFmtId="180" formatCode="0.0000000"/>
    <numFmt numFmtId="181" formatCode="0.00000000"/>
    <numFmt numFmtId="182" formatCode="_-* #,##0.00000000_-;\-* #,##0.00000000_-;_-* &quot;-&quot;_-;_-@_-"/>
  </numFmts>
  <fonts count="19"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1"/>
      <name val="Arial Narrow"/>
      <family val="2"/>
    </font>
    <font>
      <sz val="11"/>
      <color theme="1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0" tint="-4.9989318521683403E-2"/>
      <name val="맑은 고딕"/>
      <family val="2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b/>
      <sz val="10"/>
      <color rgb="FFFA7D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i/>
      <sz val="1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5FAB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>
      <alignment vertical="center"/>
    </xf>
    <xf numFmtId="0" fontId="1" fillId="2" borderId="1" applyNumberFormat="0" applyAlignment="0" applyProtection="0">
      <alignment vertical="center"/>
    </xf>
    <xf numFmtId="0" fontId="3" fillId="0" borderId="0"/>
    <xf numFmtId="176" fontId="5" fillId="3" borderId="0" applyBorder="0">
      <alignment horizontal="center" vertical="center"/>
    </xf>
    <xf numFmtId="0" fontId="6" fillId="4" borderId="9" applyFont="0" applyBorder="0" applyAlignment="0">
      <alignment horizontal="left" indent="1"/>
    </xf>
    <xf numFmtId="9" fontId="14" fillId="0" borderId="0" applyFont="0" applyFill="0" applyBorder="0" applyAlignment="0" applyProtection="0">
      <alignment vertical="center"/>
    </xf>
    <xf numFmtId="0" fontId="14" fillId="9" borderId="17" applyNumberFormat="0" applyFont="0" applyAlignment="0" applyProtection="0">
      <alignment vertical="center"/>
    </xf>
    <xf numFmtId="0" fontId="16" fillId="0" borderId="0"/>
    <xf numFmtId="41" fontId="14" fillId="0" borderId="0" applyFont="0" applyFill="0" applyBorder="0" applyAlignment="0" applyProtection="0">
      <alignment vertical="center"/>
    </xf>
  </cellStyleXfs>
  <cellXfs count="10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7" fillId="7" borderId="3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/>
    </xf>
    <xf numFmtId="0" fontId="15" fillId="6" borderId="9" xfId="0" applyFont="1" applyFill="1" applyBorder="1" applyAlignment="1">
      <alignment horizontal="center"/>
    </xf>
    <xf numFmtId="178" fontId="15" fillId="6" borderId="9" xfId="0" applyNumberFormat="1" applyFont="1" applyFill="1" applyBorder="1" applyAlignment="1">
      <alignment horizontal="center"/>
    </xf>
    <xf numFmtId="0" fontId="15" fillId="6" borderId="3" xfId="0" applyFont="1" applyFill="1" applyBorder="1" applyAlignment="1">
      <alignment horizontal="center"/>
    </xf>
    <xf numFmtId="178" fontId="15" fillId="6" borderId="3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3" fontId="11" fillId="7" borderId="16" xfId="1" applyNumberFormat="1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8" fillId="7" borderId="8" xfId="4" applyFont="1" applyFill="1" applyBorder="1" applyAlignment="1">
      <alignment horizontal="center" vertical="center"/>
    </xf>
    <xf numFmtId="0" fontId="8" fillId="7" borderId="3" xfId="4" applyFont="1" applyFill="1" applyBorder="1" applyAlignment="1">
      <alignment horizontal="center" vertical="center"/>
    </xf>
    <xf numFmtId="178" fontId="13" fillId="0" borderId="14" xfId="5" applyNumberFormat="1" applyFont="1" applyFill="1" applyBorder="1" applyAlignment="1">
      <alignment horizontal="center" vertical="center"/>
    </xf>
    <xf numFmtId="178" fontId="13" fillId="0" borderId="7" xfId="5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13" fillId="0" borderId="15" xfId="5" applyNumberFormat="1" applyFont="1" applyFill="1" applyBorder="1" applyAlignment="1">
      <alignment horizontal="center" vertical="center"/>
    </xf>
    <xf numFmtId="178" fontId="13" fillId="0" borderId="14" xfId="0" applyNumberFormat="1" applyFont="1" applyBorder="1" applyAlignment="1">
      <alignment horizontal="center" vertical="center"/>
    </xf>
    <xf numFmtId="178" fontId="13" fillId="0" borderId="0" xfId="5" applyNumberFormat="1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178" fontId="13" fillId="0" borderId="6" xfId="5" applyNumberFormat="1" applyFont="1" applyFill="1" applyBorder="1" applyAlignment="1">
      <alignment horizontal="center" vertical="center"/>
    </xf>
    <xf numFmtId="178" fontId="13" fillId="0" borderId="12" xfId="5" applyNumberFormat="1" applyFont="1" applyFill="1" applyBorder="1" applyAlignment="1">
      <alignment horizontal="center" vertical="center"/>
    </xf>
    <xf numFmtId="178" fontId="13" fillId="0" borderId="7" xfId="0" applyNumberFormat="1" applyFont="1" applyBorder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78" fontId="13" fillId="0" borderId="4" xfId="0" applyNumberFormat="1" applyFont="1" applyBorder="1" applyAlignment="1">
      <alignment horizontal="center" vertical="center"/>
    </xf>
    <xf numFmtId="178" fontId="15" fillId="6" borderId="8" xfId="0" applyNumberFormat="1" applyFont="1" applyFill="1" applyBorder="1" applyAlignment="1">
      <alignment horizontal="center"/>
    </xf>
    <xf numFmtId="0" fontId="7" fillId="9" borderId="17" xfId="6" applyNumberFormat="1" applyFont="1" applyAlignment="1">
      <alignment horizontal="center"/>
    </xf>
    <xf numFmtId="178" fontId="0" fillId="0" borderId="0" xfId="0" applyNumberFormat="1">
      <alignment vertical="center"/>
    </xf>
    <xf numFmtId="0" fontId="16" fillId="0" borderId="0" xfId="7"/>
    <xf numFmtId="0" fontId="17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5" fillId="10" borderId="9" xfId="0" applyFont="1" applyFill="1" applyBorder="1" applyAlignment="1">
      <alignment horizontal="center"/>
    </xf>
    <xf numFmtId="0" fontId="17" fillId="0" borderId="14" xfId="0" applyFont="1" applyBorder="1">
      <alignment vertical="center"/>
    </xf>
    <xf numFmtId="0" fontId="17" fillId="0" borderId="7" xfId="0" applyFont="1" applyBorder="1">
      <alignment vertical="center"/>
    </xf>
    <xf numFmtId="0" fontId="17" fillId="0" borderId="9" xfId="0" applyFont="1" applyBorder="1">
      <alignment vertical="center"/>
    </xf>
    <xf numFmtId="0" fontId="17" fillId="0" borderId="3" xfId="0" applyFont="1" applyBorder="1">
      <alignment vertical="center"/>
    </xf>
    <xf numFmtId="0" fontId="15" fillId="10" borderId="9" xfId="0" applyFont="1" applyFill="1" applyBorder="1" applyAlignment="1">
      <alignment horizontal="center" vertical="center"/>
    </xf>
    <xf numFmtId="0" fontId="7" fillId="12" borderId="16" xfId="0" applyFont="1" applyFill="1" applyBorder="1">
      <alignment vertical="center"/>
    </xf>
    <xf numFmtId="0" fontId="7" fillId="12" borderId="2" xfId="0" applyFont="1" applyFill="1" applyBorder="1" applyAlignment="1">
      <alignment horizontal="center" vertical="center"/>
    </xf>
    <xf numFmtId="178" fontId="15" fillId="0" borderId="9" xfId="0" applyNumberFormat="1" applyFont="1" applyBorder="1">
      <alignment vertical="center"/>
    </xf>
    <xf numFmtId="182" fontId="0" fillId="0" borderId="0" xfId="8" applyNumberFormat="1" applyFont="1">
      <alignment vertical="center"/>
    </xf>
    <xf numFmtId="182" fontId="0" fillId="0" borderId="0" xfId="8" applyNumberFormat="1" applyFont="1" applyAlignment="1">
      <alignment horizontal="center" vertical="center"/>
    </xf>
    <xf numFmtId="0" fontId="0" fillId="13" borderId="0" xfId="0" applyFill="1">
      <alignment vertical="center"/>
    </xf>
    <xf numFmtId="0" fontId="8" fillId="7" borderId="15" xfId="4" applyFont="1" applyFill="1" applyBorder="1" applyAlignment="1">
      <alignment horizontal="center" vertical="center"/>
    </xf>
    <xf numFmtId="41" fontId="0" fillId="0" borderId="0" xfId="8" applyFont="1">
      <alignment vertical="center"/>
    </xf>
    <xf numFmtId="0" fontId="18" fillId="5" borderId="0" xfId="0" applyFont="1" applyFill="1" applyAlignment="1">
      <alignment horizontal="center" vertical="center"/>
    </xf>
    <xf numFmtId="14" fontId="4" fillId="5" borderId="15" xfId="0" applyNumberFormat="1" applyFont="1" applyFill="1" applyBorder="1" applyAlignment="1">
      <alignment horizontal="center"/>
    </xf>
    <xf numFmtId="14" fontId="4" fillId="5" borderId="0" xfId="0" applyNumberFormat="1" applyFont="1" applyFill="1" applyAlignment="1">
      <alignment horizontal="center"/>
    </xf>
    <xf numFmtId="0" fontId="7" fillId="7" borderId="16" xfId="4" applyFont="1" applyFill="1" applyBorder="1" applyAlignment="1">
      <alignment horizontal="center" vertical="center"/>
    </xf>
    <xf numFmtId="0" fontId="7" fillId="7" borderId="2" xfId="4" applyFont="1" applyFill="1" applyBorder="1" applyAlignment="1">
      <alignment horizontal="center" vertical="center"/>
    </xf>
    <xf numFmtId="0" fontId="8" fillId="7" borderId="2" xfId="4" applyFont="1" applyFill="1" applyBorder="1" applyAlignment="1">
      <alignment horizontal="center"/>
    </xf>
    <xf numFmtId="176" fontId="8" fillId="7" borderId="11" xfId="3" applyFont="1" applyFill="1" applyBorder="1" applyAlignment="1">
      <alignment horizontal="center" vertical="center" wrapText="1"/>
    </xf>
    <xf numFmtId="176" fontId="8" fillId="7" borderId="2" xfId="3" applyFont="1" applyFill="1" applyBorder="1" applyAlignment="1">
      <alignment horizontal="center" vertical="center" wrapText="1"/>
    </xf>
    <xf numFmtId="14" fontId="7" fillId="6" borderId="13" xfId="0" applyNumberFormat="1" applyFont="1" applyFill="1" applyBorder="1" applyAlignment="1">
      <alignment horizontal="center"/>
    </xf>
    <xf numFmtId="14" fontId="7" fillId="6" borderId="11" xfId="0" applyNumberFormat="1" applyFont="1" applyFill="1" applyBorder="1" applyAlignment="1">
      <alignment horizontal="center"/>
    </xf>
    <xf numFmtId="179" fontId="7" fillId="6" borderId="11" xfId="0" applyNumberFormat="1" applyFont="1" applyFill="1" applyBorder="1" applyAlignment="1">
      <alignment horizontal="center"/>
    </xf>
    <xf numFmtId="179" fontId="7" fillId="6" borderId="2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 vertical="center"/>
    </xf>
    <xf numFmtId="0" fontId="8" fillId="7" borderId="13" xfId="4" applyFont="1" applyFill="1" applyBorder="1" applyAlignment="1">
      <alignment horizontal="center" vertical="center"/>
    </xf>
    <xf numFmtId="0" fontId="8" fillId="7" borderId="11" xfId="4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center" vertical="center"/>
    </xf>
    <xf numFmtId="14" fontId="7" fillId="11" borderId="13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178" fontId="7" fillId="6" borderId="13" xfId="0" applyNumberFormat="1" applyFont="1" applyFill="1" applyBorder="1" applyAlignment="1">
      <alignment horizontal="center"/>
    </xf>
    <xf numFmtId="178" fontId="7" fillId="6" borderId="11" xfId="0" applyNumberFormat="1" applyFont="1" applyFill="1" applyBorder="1" applyAlignment="1">
      <alignment horizontal="center"/>
    </xf>
    <xf numFmtId="10" fontId="7" fillId="6" borderId="11" xfId="0" applyNumberFormat="1" applyFont="1" applyFill="1" applyBorder="1" applyAlignment="1">
      <alignment horizontal="center"/>
    </xf>
    <xf numFmtId="10" fontId="7" fillId="6" borderId="2" xfId="0" applyNumberFormat="1" applyFont="1" applyFill="1" applyBorder="1" applyAlignment="1">
      <alignment horizontal="center"/>
    </xf>
    <xf numFmtId="177" fontId="7" fillId="7" borderId="11" xfId="0" applyNumberFormat="1" applyFont="1" applyFill="1" applyBorder="1" applyAlignment="1">
      <alignment horizontal="center"/>
    </xf>
    <xf numFmtId="177" fontId="7" fillId="7" borderId="2" xfId="0" applyNumberFormat="1" applyFont="1" applyFill="1" applyBorder="1" applyAlignment="1">
      <alignment horizontal="center"/>
    </xf>
    <xf numFmtId="180" fontId="8" fillId="3" borderId="11" xfId="0" applyNumberFormat="1" applyFont="1" applyFill="1" applyBorder="1" applyAlignment="1">
      <alignment horizontal="center" vertical="center"/>
    </xf>
    <xf numFmtId="180" fontId="8" fillId="3" borderId="2" xfId="0" applyNumberFormat="1" applyFont="1" applyFill="1" applyBorder="1" applyAlignment="1">
      <alignment horizontal="center" vertical="center"/>
    </xf>
    <xf numFmtId="180" fontId="8" fillId="8" borderId="13" xfId="0" applyNumberFormat="1" applyFont="1" applyFill="1" applyBorder="1" applyAlignment="1">
      <alignment horizontal="center" vertical="center"/>
    </xf>
    <xf numFmtId="180" fontId="8" fillId="8" borderId="11" xfId="0" applyNumberFormat="1" applyFont="1" applyFill="1" applyBorder="1" applyAlignment="1">
      <alignment horizontal="center" vertical="center"/>
    </xf>
    <xf numFmtId="10" fontId="7" fillId="6" borderId="10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/>
    </xf>
    <xf numFmtId="0" fontId="8" fillId="7" borderId="11" xfId="4" applyFont="1" applyFill="1" applyBorder="1" applyAlignment="1">
      <alignment horizontal="center"/>
    </xf>
    <xf numFmtId="14" fontId="4" fillId="5" borderId="10" xfId="0" applyNumberFormat="1" applyFont="1" applyFill="1" applyBorder="1" applyAlignment="1">
      <alignment horizontal="center"/>
    </xf>
    <xf numFmtId="14" fontId="4" fillId="5" borderId="13" xfId="0" applyNumberFormat="1" applyFont="1" applyFill="1" applyBorder="1" applyAlignment="1">
      <alignment horizontal="center"/>
    </xf>
    <xf numFmtId="176" fontId="8" fillId="7" borderId="10" xfId="3" applyFont="1" applyFill="1" applyBorder="1" applyAlignment="1">
      <alignment horizontal="center" vertical="center" wrapText="1"/>
    </xf>
    <xf numFmtId="14" fontId="7" fillId="6" borderId="10" xfId="0" applyNumberFormat="1" applyFont="1" applyFill="1" applyBorder="1" applyAlignment="1">
      <alignment horizontal="center"/>
    </xf>
    <xf numFmtId="179" fontId="7" fillId="6" borderId="10" xfId="0" applyNumberFormat="1" applyFont="1" applyFill="1" applyBorder="1" applyAlignment="1">
      <alignment horizontal="center"/>
    </xf>
    <xf numFmtId="176" fontId="8" fillId="7" borderId="13" xfId="3" applyFont="1" applyFill="1" applyBorder="1" applyAlignment="1">
      <alignment horizontal="center" vertical="center" wrapText="1"/>
    </xf>
    <xf numFmtId="14" fontId="7" fillId="6" borderId="6" xfId="0" applyNumberFormat="1" applyFont="1" applyFill="1" applyBorder="1" applyAlignment="1">
      <alignment horizontal="center"/>
    </xf>
    <xf numFmtId="14" fontId="7" fillId="6" borderId="12" xfId="0" applyNumberFormat="1" applyFont="1" applyFill="1" applyBorder="1" applyAlignment="1">
      <alignment horizontal="center"/>
    </xf>
    <xf numFmtId="14" fontId="7" fillId="6" borderId="7" xfId="0" applyNumberFormat="1" applyFont="1" applyFill="1" applyBorder="1" applyAlignment="1">
      <alignment horizontal="center"/>
    </xf>
    <xf numFmtId="0" fontId="8" fillId="7" borderId="10" xfId="4" applyFont="1" applyFill="1" applyBorder="1" applyAlignment="1">
      <alignment horizontal="center" vertical="center" wrapText="1"/>
    </xf>
    <xf numFmtId="0" fontId="8" fillId="7" borderId="11" xfId="4" applyFont="1" applyFill="1" applyBorder="1" applyAlignment="1">
      <alignment horizontal="center" vertical="center" wrapText="1"/>
    </xf>
    <xf numFmtId="179" fontId="7" fillId="7" borderId="4" xfId="0" applyNumberFormat="1" applyFont="1" applyFill="1" applyBorder="1" applyAlignment="1">
      <alignment horizontal="center" vertical="center"/>
    </xf>
    <xf numFmtId="179" fontId="7" fillId="7" borderId="5" xfId="0" applyNumberFormat="1" applyFont="1" applyFill="1" applyBorder="1" applyAlignment="1">
      <alignment horizontal="center" vertical="center"/>
    </xf>
    <xf numFmtId="179" fontId="7" fillId="7" borderId="15" xfId="0" applyNumberFormat="1" applyFont="1" applyFill="1" applyBorder="1" applyAlignment="1">
      <alignment horizontal="center" vertical="center"/>
    </xf>
    <xf numFmtId="179" fontId="7" fillId="7" borderId="14" xfId="0" applyNumberFormat="1" applyFont="1" applyFill="1" applyBorder="1" applyAlignment="1">
      <alignment horizontal="center" vertical="center"/>
    </xf>
    <xf numFmtId="179" fontId="7" fillId="7" borderId="6" xfId="0" applyNumberFormat="1" applyFont="1" applyFill="1" applyBorder="1" applyAlignment="1">
      <alignment horizontal="center" vertical="center"/>
    </xf>
    <xf numFmtId="179" fontId="7" fillId="7" borderId="7" xfId="0" applyNumberFormat="1" applyFont="1" applyFill="1" applyBorder="1" applyAlignment="1">
      <alignment horizontal="center" vertical="center"/>
    </xf>
    <xf numFmtId="177" fontId="7" fillId="7" borderId="10" xfId="0" applyNumberFormat="1" applyFont="1" applyFill="1" applyBorder="1" applyAlignment="1">
      <alignment horizontal="center"/>
    </xf>
    <xf numFmtId="180" fontId="8" fillId="3" borderId="10" xfId="0" applyNumberFormat="1" applyFont="1" applyFill="1" applyBorder="1" applyAlignment="1">
      <alignment horizontal="center" vertical="center"/>
    </xf>
    <xf numFmtId="9" fontId="8" fillId="7" borderId="10" xfId="4" applyNumberFormat="1" applyFont="1" applyFill="1" applyBorder="1" applyAlignment="1">
      <alignment horizontal="center" vertical="center"/>
    </xf>
    <xf numFmtId="181" fontId="8" fillId="8" borderId="10" xfId="0" applyNumberFormat="1" applyFont="1" applyFill="1" applyBorder="1" applyAlignment="1">
      <alignment horizontal="center" vertical="center"/>
    </xf>
    <xf numFmtId="181" fontId="8" fillId="8" borderId="11" xfId="0" applyNumberFormat="1" applyFont="1" applyFill="1" applyBorder="1" applyAlignment="1">
      <alignment horizontal="center" vertical="center"/>
    </xf>
  </cellXfs>
  <cellStyles count="9">
    <cellStyle name="IAIS.FT_RCode" xfId="3" xr:uid="{00000000-0005-0000-0000-000000000000}"/>
    <cellStyle name="IAIS_FT.Caption 2" xfId="4" xr:uid="{00000000-0005-0000-0000-000001000000}"/>
    <cellStyle name="계산" xfId="1" builtinId="22"/>
    <cellStyle name="메모" xfId="6" builtinId="10"/>
    <cellStyle name="백분율" xfId="5" builtinId="5"/>
    <cellStyle name="쉼표 [0]" xfId="8" builtinId="6"/>
    <cellStyle name="표준" xfId="0" builtinId="0"/>
    <cellStyle name="표준 2" xfId="2" xr:uid="{00000000-0005-0000-0000-000005000000}"/>
    <cellStyle name="표준 3" xfId="7" xr:uid="{25F0CBD8-431D-4DB9-ACDC-0CDAFE9FE1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J1214"/>
  <sheetViews>
    <sheetView tabSelected="1" topLeftCell="L1" zoomScale="70" zoomScaleNormal="70" workbookViewId="0">
      <selection activeCell="X18" sqref="X18"/>
    </sheetView>
  </sheetViews>
  <sheetFormatPr defaultRowHeight="16.5"/>
  <cols>
    <col min="3" max="3" width="3" customWidth="1"/>
    <col min="4" max="4" width="15.375" bestFit="1" customWidth="1"/>
    <col min="5" max="5" width="11.25" customWidth="1"/>
    <col min="6" max="8" width="11.25" style="1" customWidth="1"/>
    <col min="9" max="9" width="2.125" style="2" customWidth="1"/>
    <col min="10" max="10" width="16.5" style="36" bestFit="1" customWidth="1"/>
    <col min="11" max="11" width="10.25" style="36" customWidth="1"/>
    <col min="12" max="12" width="11.75" style="36" customWidth="1"/>
    <col min="13" max="13" width="11.625" style="36" customWidth="1"/>
    <col min="14" max="14" width="4.125" style="2" customWidth="1"/>
    <col min="15" max="15" width="8.5" style="2" customWidth="1"/>
    <col min="16" max="16" width="8.5" customWidth="1"/>
    <col min="17" max="18" width="17.5" customWidth="1"/>
    <col min="19" max="19" width="19.125" style="20" customWidth="1"/>
    <col min="20" max="20" width="17.25" style="20" customWidth="1"/>
    <col min="21" max="22" width="15.75" style="20" customWidth="1"/>
    <col min="23" max="23" width="15.75" style="1" customWidth="1"/>
    <col min="24" max="26" width="15.75" customWidth="1"/>
    <col min="27" max="28" width="10.25" customWidth="1"/>
    <col min="29" max="29" width="25.125" bestFit="1" customWidth="1"/>
    <col min="31" max="31" width="28.5" bestFit="1" customWidth="1"/>
    <col min="34" max="34" width="14.25" bestFit="1" customWidth="1"/>
    <col min="36" max="36" width="12.625" style="46" bestFit="1" customWidth="1"/>
  </cols>
  <sheetData>
    <row r="1" spans="1:36" ht="16.899999999999999" customHeight="1">
      <c r="A1" s="32"/>
      <c r="B1" t="s">
        <v>18</v>
      </c>
      <c r="D1" s="85" t="s">
        <v>30</v>
      </c>
      <c r="E1" s="86"/>
      <c r="F1" s="86"/>
      <c r="G1" s="86"/>
      <c r="H1" s="86"/>
      <c r="J1" s="51" t="s">
        <v>38</v>
      </c>
      <c r="K1" s="51"/>
      <c r="L1" s="51"/>
      <c r="M1" s="51"/>
      <c r="O1" s="52" t="s">
        <v>12</v>
      </c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</row>
    <row r="2" spans="1:36" ht="13.9" customHeight="1">
      <c r="E2" s="1"/>
    </row>
    <row r="3" spans="1:36" ht="17.45" customHeight="1">
      <c r="D3" s="14"/>
      <c r="E3" s="87" t="s">
        <v>9</v>
      </c>
      <c r="F3" s="90"/>
      <c r="G3" s="90"/>
      <c r="H3" s="57"/>
      <c r="J3" s="43"/>
      <c r="K3" s="68" t="s">
        <v>39</v>
      </c>
      <c r="L3" s="68"/>
      <c r="M3" s="68"/>
      <c r="N3" s="35"/>
      <c r="O3" s="54"/>
      <c r="P3" s="54"/>
      <c r="Q3" s="94" t="s">
        <v>24</v>
      </c>
      <c r="R3" s="95"/>
      <c r="S3" s="87" t="s">
        <v>19</v>
      </c>
      <c r="T3" s="57"/>
      <c r="U3" s="57" t="s">
        <v>20</v>
      </c>
      <c r="V3" s="58"/>
      <c r="W3" s="58"/>
      <c r="X3" s="57" t="s">
        <v>27</v>
      </c>
      <c r="Y3" s="58"/>
      <c r="Z3" s="58"/>
    </row>
    <row r="4" spans="1:36" s="1" customFormat="1" ht="13.9" customHeight="1">
      <c r="D4" s="4" t="s">
        <v>0</v>
      </c>
      <c r="E4" s="91">
        <v>45898</v>
      </c>
      <c r="F4" s="92"/>
      <c r="G4" s="92"/>
      <c r="H4" s="93"/>
      <c r="I4" s="3"/>
      <c r="J4" s="44" t="s">
        <v>31</v>
      </c>
      <c r="K4" s="69">
        <f>E4</f>
        <v>45898</v>
      </c>
      <c r="L4" s="70"/>
      <c r="M4" s="71"/>
      <c r="N4" s="3"/>
      <c r="O4" s="55" t="s">
        <v>0</v>
      </c>
      <c r="P4" s="55"/>
      <c r="Q4" s="88">
        <f>E4</f>
        <v>45898</v>
      </c>
      <c r="R4" s="60"/>
      <c r="S4" s="88">
        <f>E4</f>
        <v>45898</v>
      </c>
      <c r="T4" s="60"/>
      <c r="U4" s="59">
        <f>E4</f>
        <v>45898</v>
      </c>
      <c r="V4" s="59"/>
      <c r="W4" s="60"/>
      <c r="X4" s="59">
        <f>E4</f>
        <v>45898</v>
      </c>
      <c r="Y4" s="59"/>
      <c r="Z4" s="60"/>
      <c r="AD4" s="34"/>
      <c r="AJ4" s="47"/>
    </row>
    <row r="5" spans="1:36" s="1" customFormat="1" ht="13.9" customHeight="1">
      <c r="D5" s="5" t="s">
        <v>6</v>
      </c>
      <c r="E5" s="63">
        <v>0.1</v>
      </c>
      <c r="F5" s="64"/>
      <c r="G5" s="64"/>
      <c r="H5" s="65"/>
      <c r="I5" s="3"/>
      <c r="J5" s="44" t="s">
        <v>32</v>
      </c>
      <c r="K5" s="66">
        <v>0.1</v>
      </c>
      <c r="L5" s="66"/>
      <c r="M5" s="67"/>
      <c r="N5" s="3"/>
      <c r="O5" s="55" t="s">
        <v>2</v>
      </c>
      <c r="P5" s="55"/>
      <c r="Q5" s="96" t="s">
        <v>26</v>
      </c>
      <c r="R5" s="97"/>
      <c r="S5" s="89">
        <v>23</v>
      </c>
      <c r="T5" s="61"/>
      <c r="U5" s="61">
        <v>23</v>
      </c>
      <c r="V5" s="62"/>
      <c r="W5" s="62"/>
      <c r="X5" s="61">
        <v>23</v>
      </c>
      <c r="Y5" s="62"/>
      <c r="Z5" s="62"/>
      <c r="AC5" s="1" t="s">
        <v>42</v>
      </c>
      <c r="AD5" s="34"/>
      <c r="AE5" s="1" t="s">
        <v>45</v>
      </c>
      <c r="AJ5" s="47"/>
    </row>
    <row r="6" spans="1:36" ht="13.9" customHeight="1">
      <c r="D6" s="5" t="s">
        <v>7</v>
      </c>
      <c r="E6" s="63">
        <v>2</v>
      </c>
      <c r="F6" s="64"/>
      <c r="G6" s="64"/>
      <c r="H6" s="65"/>
      <c r="J6" s="44" t="s">
        <v>33</v>
      </c>
      <c r="K6" s="66">
        <v>2</v>
      </c>
      <c r="L6" s="66"/>
      <c r="M6" s="67"/>
      <c r="O6" s="56" t="s">
        <v>3</v>
      </c>
      <c r="P6" s="56"/>
      <c r="Q6" s="98"/>
      <c r="R6" s="99"/>
      <c r="S6" s="89">
        <v>60</v>
      </c>
      <c r="T6" s="61"/>
      <c r="U6" s="61">
        <v>60</v>
      </c>
      <c r="V6" s="62"/>
      <c r="W6" s="62"/>
      <c r="X6" s="61">
        <v>60</v>
      </c>
      <c r="Y6" s="62"/>
      <c r="Z6" s="62"/>
      <c r="AC6" t="s">
        <v>43</v>
      </c>
      <c r="AD6" s="34"/>
      <c r="AE6" t="s">
        <v>46</v>
      </c>
    </row>
    <row r="7" spans="1:36" ht="13.9" customHeight="1">
      <c r="D7" s="5" t="s">
        <v>10</v>
      </c>
      <c r="E7" s="6" t="s">
        <v>15</v>
      </c>
      <c r="F7" s="6" t="s">
        <v>16</v>
      </c>
      <c r="G7" s="6" t="s">
        <v>17</v>
      </c>
      <c r="H7" s="6" t="s">
        <v>29</v>
      </c>
      <c r="J7" s="44" t="s">
        <v>34</v>
      </c>
      <c r="K7" s="44" t="s">
        <v>35</v>
      </c>
      <c r="L7" s="44" t="s">
        <v>36</v>
      </c>
      <c r="M7" s="44" t="s">
        <v>37</v>
      </c>
      <c r="O7" s="56" t="s">
        <v>4</v>
      </c>
      <c r="P7" s="56"/>
      <c r="Q7" s="98"/>
      <c r="R7" s="99"/>
      <c r="S7" s="82">
        <v>4.2999999999999997E-2</v>
      </c>
      <c r="T7" s="74"/>
      <c r="U7" s="74">
        <f>S7</f>
        <v>4.2999999999999997E-2</v>
      </c>
      <c r="V7" s="75"/>
      <c r="W7" s="75"/>
      <c r="X7" s="74">
        <f>S7</f>
        <v>4.2999999999999997E-2</v>
      </c>
      <c r="Y7" s="75"/>
      <c r="Z7" s="75"/>
      <c r="AC7" t="s">
        <v>44</v>
      </c>
      <c r="AD7" s="34"/>
      <c r="AE7" t="s">
        <v>43</v>
      </c>
    </row>
    <row r="8" spans="1:36" ht="13.9" customHeight="1">
      <c r="D8" s="7">
        <v>0.25</v>
      </c>
      <c r="E8" s="31">
        <v>2.35E-2</v>
      </c>
      <c r="F8" s="18">
        <f t="array" ref="F8:F23">SmithWilsonYTM(E23,E5,D8:D23,E8:E23,E6,D8:D23)</f>
        <v>2.343123793664445E-2</v>
      </c>
      <c r="G8" s="18">
        <f>LN(EXP(F8)+$V$11)</f>
        <v>2.76325852261406E-2</v>
      </c>
      <c r="H8" s="18">
        <f>LN(EXP(F8)+$Y$11)</f>
        <v>2.6795673809485679E-2</v>
      </c>
      <c r="J8" s="37">
        <v>0.25</v>
      </c>
      <c r="K8" s="45">
        <f t="array" ref="K8:K24">SmithWilsonYTM(E23,E5,D8:D23,E8:E23,E6,J8:J24)</f>
        <v>2.343123793664445E-2</v>
      </c>
      <c r="L8" s="45">
        <f>LN(EXP(K8)+$V$11)</f>
        <v>2.76325852261406E-2</v>
      </c>
      <c r="M8" s="45">
        <f>LN(EXP(K8)+$Y$11)</f>
        <v>2.6795673809485679E-2</v>
      </c>
      <c r="O8" s="56" t="s">
        <v>1</v>
      </c>
      <c r="P8" s="56"/>
      <c r="Q8" s="98"/>
      <c r="R8" s="99"/>
      <c r="S8" s="102">
        <v>1</v>
      </c>
      <c r="T8" s="76"/>
      <c r="U8" s="76">
        <v>1</v>
      </c>
      <c r="V8" s="77"/>
      <c r="W8" s="77"/>
      <c r="X8" s="76">
        <v>1</v>
      </c>
      <c r="Y8" s="77"/>
      <c r="Z8" s="77"/>
      <c r="AD8" s="34"/>
      <c r="AE8" t="s">
        <v>44</v>
      </c>
    </row>
    <row r="9" spans="1:36" ht="13.9" customHeight="1">
      <c r="D9" s="8">
        <v>0.5</v>
      </c>
      <c r="E9" s="9">
        <v>2.351E-2</v>
      </c>
      <c r="F9" s="18">
        <v>2.3372893387846368E-2</v>
      </c>
      <c r="G9" s="18">
        <f t="shared" ref="G9:G23" si="0">LN(EXP(F9)+$V$11)</f>
        <v>2.7574485295951755E-2</v>
      </c>
      <c r="H9" s="18">
        <f t="shared" ref="H9:H23" si="1">LN(EXP(F9)+$Y$11)</f>
        <v>2.6737525233034735E-2</v>
      </c>
      <c r="J9" s="37">
        <v>0.5</v>
      </c>
      <c r="K9" s="45">
        <v>2.3372893387846368E-2</v>
      </c>
      <c r="L9" s="45">
        <f>LN(EXP(K9)+$V$11)</f>
        <v>2.7574485295951755E-2</v>
      </c>
      <c r="M9" s="45">
        <f t="shared" ref="M9:M24" si="2">LN(EXP(K9)+$Y$11)</f>
        <v>2.6737525233034735E-2</v>
      </c>
      <c r="O9" s="83" t="s">
        <v>11</v>
      </c>
      <c r="P9" s="84"/>
      <c r="Q9" s="98"/>
      <c r="R9" s="99"/>
      <c r="S9" s="103">
        <f>SmithWilson_ALPHA_UB_LB(S7,J8:J22,K8:K22,S6,S8*0.0001)</f>
        <v>0.13245033069270801</v>
      </c>
      <c r="T9" s="78"/>
      <c r="U9" s="78">
        <f>SmithWilson_ALPHA_UB_LB(U7,$J8:$J22,$L8:$L22,U6,U8*0.0001)</f>
        <v>0.12518605909217165</v>
      </c>
      <c r="V9" s="79"/>
      <c r="W9" s="79"/>
      <c r="X9" s="78">
        <f>SmithWilson_ALPHA_UB_LB(X7,$J8:$J22,$M8:$M22,X6,X8*0.0001)</f>
        <v>0.12682938601927402</v>
      </c>
      <c r="Y9" s="79"/>
      <c r="Z9" s="79"/>
      <c r="AD9" s="34"/>
    </row>
    <row r="10" spans="1:36" ht="13.9" customHeight="1">
      <c r="D10" s="8">
        <v>0.75</v>
      </c>
      <c r="E10" s="9">
        <v>2.3060000000000001E-2</v>
      </c>
      <c r="F10" s="18">
        <v>2.2861177367206911E-2</v>
      </c>
      <c r="G10" s="18">
        <f t="shared" si="0"/>
        <v>2.7064915333502939E-2</v>
      </c>
      <c r="H10" s="18">
        <f t="shared" si="1"/>
        <v>2.6227528493532666E-2</v>
      </c>
      <c r="J10" s="37">
        <v>0.75</v>
      </c>
      <c r="K10" s="45">
        <v>2.2861177367206911E-2</v>
      </c>
      <c r="L10" s="45">
        <f t="shared" ref="L10:L24" si="3">LN(EXP(K10)+$V$11)</f>
        <v>2.7064915333502939E-2</v>
      </c>
      <c r="M10" s="45">
        <f t="shared" si="2"/>
        <v>2.6227528493532666E-2</v>
      </c>
      <c r="O10" s="83" t="s">
        <v>21</v>
      </c>
      <c r="P10" s="84"/>
      <c r="Q10" s="98"/>
      <c r="R10" s="99"/>
      <c r="S10" s="105" t="str">
        <f>IF(ROUND(ABS((VLOOKUP($S$6*12-1,$P$13:$T$1213,5,0)+VLOOKUP($S$6*12,$P$13:$T$1213,5,0))/2-$S$7),4)&lt;=0.0001,"PASS","FAIL")</f>
        <v>PASS</v>
      </c>
      <c r="T10" s="106"/>
      <c r="U10" s="80" t="str">
        <f>IF(ROUND(ABS((VLOOKUP($U$6*12-1,$P$13:$V$1213,7,0)+VLOOKUP($U$6*12,$P$13:$V$1213,7,0))/2-$U$7),4)&lt;=0.0001,"PASS","FAIL")</f>
        <v>PASS</v>
      </c>
      <c r="V10" s="80"/>
      <c r="W10" s="81"/>
      <c r="X10" s="80" t="str">
        <f>IF(ROUND(ABS((VLOOKUP($X$6*12-1,$P$13:$Y$1213,10,0)+VLOOKUP($X$6*12,$P$13:$Y$1213,10,0))/2-$X$7),4)&lt;=0.0001,"PASS","FAIL")</f>
        <v>PASS</v>
      </c>
      <c r="Y10" s="80"/>
      <c r="Z10" s="81"/>
      <c r="AD10" s="34"/>
    </row>
    <row r="11" spans="1:36" ht="13.9" customHeight="1">
      <c r="D11" s="8">
        <v>1</v>
      </c>
      <c r="E11" s="9">
        <v>2.2460000000000001E-2</v>
      </c>
      <c r="F11" s="18">
        <v>2.2328996150104963E-2</v>
      </c>
      <c r="G11" s="18">
        <f t="shared" si="0"/>
        <v>2.6534967162820791E-2</v>
      </c>
      <c r="H11" s="18">
        <f t="shared" si="1"/>
        <v>2.5697136247613776E-2</v>
      </c>
      <c r="J11" s="37">
        <v>1</v>
      </c>
      <c r="K11" s="45">
        <v>2.2328996150104963E-2</v>
      </c>
      <c r="L11" s="45">
        <f t="shared" si="3"/>
        <v>2.6534967162820791E-2</v>
      </c>
      <c r="M11" s="45">
        <f t="shared" si="2"/>
        <v>2.5697136247613776E-2</v>
      </c>
      <c r="O11" s="83" t="s">
        <v>22</v>
      </c>
      <c r="P11" s="84"/>
      <c r="Q11" s="100"/>
      <c r="R11" s="101"/>
      <c r="S11" s="104">
        <v>0</v>
      </c>
      <c r="T11" s="65"/>
      <c r="U11" s="15" t="s">
        <v>23</v>
      </c>
      <c r="V11" s="72">
        <v>4.3099999999999996E-3</v>
      </c>
      <c r="W11" s="73"/>
      <c r="X11" s="15" t="s">
        <v>28</v>
      </c>
      <c r="Y11" s="72">
        <v>3.4499999999999999E-3</v>
      </c>
      <c r="Z11" s="73"/>
      <c r="AF11" s="48"/>
      <c r="AH11" s="48">
        <f>SUM(AH13:AH1213)</f>
        <v>1.667416205108907E-13</v>
      </c>
    </row>
    <row r="12" spans="1:36" ht="13.9" customHeight="1">
      <c r="D12" s="8">
        <v>1.5</v>
      </c>
      <c r="E12" s="9">
        <v>2.317E-2</v>
      </c>
      <c r="F12" s="18">
        <v>2.3040971343183805E-2</v>
      </c>
      <c r="G12" s="18">
        <f t="shared" si="0"/>
        <v>2.7243955156613792E-2</v>
      </c>
      <c r="H12" s="18">
        <f t="shared" si="1"/>
        <v>2.6406718291588211E-2</v>
      </c>
      <c r="J12" s="37">
        <v>1.5</v>
      </c>
      <c r="K12" s="45">
        <v>2.3040971343183805E-2</v>
      </c>
      <c r="L12" s="45">
        <f t="shared" si="3"/>
        <v>2.7243955156613792E-2</v>
      </c>
      <c r="M12" s="45">
        <f t="shared" si="2"/>
        <v>2.6406718291588211E-2</v>
      </c>
      <c r="O12" s="16" t="s">
        <v>10</v>
      </c>
      <c r="P12" s="16" t="s">
        <v>8</v>
      </c>
      <c r="Q12" s="6" t="s">
        <v>13</v>
      </c>
      <c r="R12" s="6" t="s">
        <v>14</v>
      </c>
      <c r="S12" s="6" t="s">
        <v>13</v>
      </c>
      <c r="T12" s="6" t="s">
        <v>14</v>
      </c>
      <c r="U12" s="15" t="s">
        <v>13</v>
      </c>
      <c r="V12" s="6" t="s">
        <v>5</v>
      </c>
      <c r="W12" s="17" t="s">
        <v>25</v>
      </c>
      <c r="X12" s="15" t="s">
        <v>13</v>
      </c>
      <c r="Y12" s="6" t="s">
        <v>5</v>
      </c>
      <c r="Z12" s="17" t="s">
        <v>25</v>
      </c>
      <c r="AB12" s="49" t="s">
        <v>47</v>
      </c>
      <c r="AC12" s="48" t="s">
        <v>40</v>
      </c>
      <c r="AD12" s="34"/>
      <c r="AE12" s="48" t="s">
        <v>41</v>
      </c>
      <c r="AF12" s="48"/>
      <c r="AH12" s="48"/>
    </row>
    <row r="13" spans="1:36" ht="13.9" customHeight="1">
      <c r="D13" s="8">
        <v>2</v>
      </c>
      <c r="E13" s="9">
        <v>2.349E-2</v>
      </c>
      <c r="F13" s="18">
        <v>2.3361904608985955E-2</v>
      </c>
      <c r="G13" s="18">
        <f t="shared" si="0"/>
        <v>2.7563542590848911E-2</v>
      </c>
      <c r="H13" s="18">
        <f t="shared" si="1"/>
        <v>2.6726573365440803E-2</v>
      </c>
      <c r="J13" s="37">
        <v>2</v>
      </c>
      <c r="K13" s="45">
        <v>2.3361904608985955E-2</v>
      </c>
      <c r="L13" s="45">
        <f t="shared" si="3"/>
        <v>2.7563542590848911E-2</v>
      </c>
      <c r="M13" s="45">
        <f t="shared" si="2"/>
        <v>2.6726573365440803E-2</v>
      </c>
      <c r="O13" s="12">
        <v>0</v>
      </c>
      <c r="P13" s="13">
        <v>0</v>
      </c>
      <c r="Q13" s="30">
        <f t="array" ref="Q13:Q1214">Cont2Discrete(SmithWilsonYTM(E23,E5,D8:D23,E8:E23,E6,O13:O1214))</f>
        <v>2.3665941458375972E-2</v>
      </c>
      <c r="R13" s="29">
        <f>Q14</f>
        <v>2.3670819682051869E-2</v>
      </c>
      <c r="S13" s="21">
        <f t="array" ref="S13:S1214">Cont2Discrete(SmithWilson(S7,S9,J8:J22,K8:K22,O13:O1214))</f>
        <v>2.3640412405526057E-2</v>
      </c>
      <c r="T13" s="22">
        <f>S14</f>
        <v>2.3657900627301887E-2</v>
      </c>
      <c r="U13" s="23">
        <f t="array" ref="U13:U1214">Cont2Discrete(SmithWilson(U7,U9,J8:J22,L8:L22,O13:O1214))</f>
        <v>2.796071580201609E-2</v>
      </c>
      <c r="V13" s="24">
        <f>U14</f>
        <v>2.7973101713301141E-2</v>
      </c>
      <c r="W13" s="25"/>
      <c r="X13" s="23">
        <f t="array" ref="X13:X1214">Cont2Discrete(SmithWilson(X7,X9,J8:J22,M8:M22,O13:O1214))</f>
        <v>2.7098865221188095E-2</v>
      </c>
      <c r="Y13" s="24">
        <f>X14</f>
        <v>2.7112166971602347E-2</v>
      </c>
      <c r="Z13" s="25"/>
      <c r="AA13" s="33"/>
      <c r="AB13" s="50">
        <f>+P13</f>
        <v>0</v>
      </c>
      <c r="AC13" s="48">
        <f t="shared" ref="AC13:AC76" si="4">1/(1+Q13)^(P13/12)</f>
        <v>1</v>
      </c>
      <c r="AD13" s="34"/>
      <c r="AE13" s="48">
        <v>1</v>
      </c>
      <c r="AF13" s="48">
        <f>+AE13</f>
        <v>1</v>
      </c>
      <c r="AH13" s="48">
        <f>+AF13-AC13</f>
        <v>0</v>
      </c>
    </row>
    <row r="14" spans="1:36" ht="13.9" customHeight="1">
      <c r="D14" s="8">
        <v>2.5</v>
      </c>
      <c r="E14" s="9">
        <v>2.4E-2</v>
      </c>
      <c r="F14" s="18">
        <v>2.3876572044981274E-2</v>
      </c>
      <c r="G14" s="18">
        <f t="shared" si="0"/>
        <v>2.8076052670029966E-2</v>
      </c>
      <c r="H14" s="18">
        <f t="shared" si="1"/>
        <v>2.723951246930589E-2</v>
      </c>
      <c r="J14" s="37">
        <v>2.5</v>
      </c>
      <c r="K14" s="45">
        <v>2.3876572044981274E-2</v>
      </c>
      <c r="L14" s="45">
        <f t="shared" si="3"/>
        <v>2.8076052670029966E-2</v>
      </c>
      <c r="M14" s="45">
        <f t="shared" si="2"/>
        <v>2.723951246930589E-2</v>
      </c>
      <c r="O14" s="12">
        <f t="shared" ref="O14:O77" si="5">P14/12</f>
        <v>8.3333333333333329E-2</v>
      </c>
      <c r="P14" s="13">
        <v>1</v>
      </c>
      <c r="Q14" s="21">
        <v>2.3670819682051869E-2</v>
      </c>
      <c r="R14" s="18">
        <f t="shared" ref="R14:R77" si="6">(1+Q15)^P15/(1+Q14)^P14-1</f>
        <v>2.3698799060016817E-2</v>
      </c>
      <c r="S14" s="21">
        <v>2.3657900627301887E-2</v>
      </c>
      <c r="T14" s="18">
        <f t="shared" ref="T14:T77" si="7">(1+S15)^P15/(1+S14)^P14-1</f>
        <v>2.3702911971891449E-2</v>
      </c>
      <c r="U14" s="23">
        <v>2.7973101713301141E-2</v>
      </c>
      <c r="V14" s="23">
        <f t="shared" ref="V14:V77" si="8">(1+U15)^P15/(1+U14)^P14-1</f>
        <v>2.8011244336558994E-2</v>
      </c>
      <c r="W14" s="22">
        <f>(1+V13)^(1/12)-1</f>
        <v>2.301728339036746E-3</v>
      </c>
      <c r="X14" s="23">
        <v>2.7112166971602347E-2</v>
      </c>
      <c r="Y14" s="23">
        <f>(1+X15)^P15/(1+X14)^P14-1</f>
        <v>2.7151543542483836E-2</v>
      </c>
      <c r="Z14" s="22">
        <f>(1+Y13)^(1/12)-1</f>
        <v>2.2317485739742349E-3</v>
      </c>
      <c r="AA14" s="33"/>
      <c r="AB14" s="50">
        <f t="shared" ref="AB14:AB77" si="9">+P14</f>
        <v>1</v>
      </c>
      <c r="AC14" s="48">
        <f t="shared" si="4"/>
        <v>0.99805231505624969</v>
      </c>
      <c r="AD14" s="34"/>
      <c r="AE14" s="48">
        <f t="shared" ref="AE14:AE77" si="10">1/(1+R13)^(1/12)</f>
        <v>0.99805231505624969</v>
      </c>
      <c r="AF14" s="48">
        <f>+AF13*AE14</f>
        <v>0.99805231505624969</v>
      </c>
      <c r="AH14" s="48">
        <f>+AF14-AC14</f>
        <v>0</v>
      </c>
    </row>
    <row r="15" spans="1:36" ht="13.9" customHeight="1">
      <c r="D15" s="8">
        <v>3</v>
      </c>
      <c r="E15" s="9">
        <v>2.427E-2</v>
      </c>
      <c r="F15" s="18">
        <v>2.4148535487315232E-2</v>
      </c>
      <c r="G15" s="18">
        <f t="shared" si="0"/>
        <v>2.8346876556244485E-2</v>
      </c>
      <c r="H15" s="18">
        <f t="shared" si="1"/>
        <v>2.751056297466218E-2</v>
      </c>
      <c r="J15" s="37">
        <v>3</v>
      </c>
      <c r="K15" s="45">
        <v>2.4148535487315232E-2</v>
      </c>
      <c r="L15" s="45">
        <f t="shared" si="3"/>
        <v>2.8346876556244485E-2</v>
      </c>
      <c r="M15" s="45">
        <f t="shared" si="2"/>
        <v>2.751056297466218E-2</v>
      </c>
      <c r="O15" s="12">
        <f t="shared" si="5"/>
        <v>0.16666666666666666</v>
      </c>
      <c r="P15" s="13">
        <v>2</v>
      </c>
      <c r="Q15" s="21">
        <v>2.3684809275442698E-2</v>
      </c>
      <c r="R15" s="18">
        <f t="shared" si="6"/>
        <v>2.3754101188045551E-2</v>
      </c>
      <c r="S15" s="21">
        <v>2.3680406052202452E-2</v>
      </c>
      <c r="T15" s="18">
        <f t="shared" si="7"/>
        <v>2.3762908287427553E-2</v>
      </c>
      <c r="U15" s="23">
        <v>2.7992172848024577E-2</v>
      </c>
      <c r="V15" s="23">
        <f>(1+U16)^P16/(1+U15)^P15-1</f>
        <v>2.8069374412000858E-2</v>
      </c>
      <c r="W15" s="22">
        <f>(1+V14)^(1/12)-1</f>
        <v>2.3048274609078767E-3</v>
      </c>
      <c r="X15" s="23">
        <v>2.7131855068348365E-2</v>
      </c>
      <c r="Y15" s="23">
        <f t="shared" ref="Y15:Y78" si="11">(1+X16)^P16/(1+X15)^P15-1</f>
        <v>2.7210010021093689E-2</v>
      </c>
      <c r="Z15" s="22">
        <f t="shared" ref="Z15:Z78" si="12">(1+Y14)^(1/12)-1</f>
        <v>2.2349504115579677E-3</v>
      </c>
      <c r="AA15" s="33"/>
      <c r="AB15" s="50">
        <f t="shared" si="9"/>
        <v>2</v>
      </c>
      <c r="AC15" s="48">
        <f t="shared" si="4"/>
        <v>0.99610615478676312</v>
      </c>
      <c r="AD15" s="34"/>
      <c r="AE15" s="48">
        <f t="shared" si="10"/>
        <v>0.99805004182633772</v>
      </c>
      <c r="AF15" s="48">
        <f t="shared" ref="AF15:AF78" si="13">+AF14*AE15</f>
        <v>0.99610615478676323</v>
      </c>
      <c r="AH15" s="48">
        <f t="shared" ref="AH15:AH78" si="14">+AF15-AC15</f>
        <v>0</v>
      </c>
    </row>
    <row r="16" spans="1:36" ht="13.9" customHeight="1">
      <c r="D16" s="8">
        <v>4</v>
      </c>
      <c r="E16" s="9">
        <v>2.5000000000000001E-2</v>
      </c>
      <c r="F16" s="18">
        <v>2.489274846099785E-2</v>
      </c>
      <c r="G16" s="18">
        <f t="shared" si="0"/>
        <v>2.9087972774690708E-2</v>
      </c>
      <c r="H16" s="18">
        <f t="shared" si="1"/>
        <v>2.8252279011289339E-2</v>
      </c>
      <c r="J16" s="37">
        <v>4</v>
      </c>
      <c r="K16" s="45">
        <v>2.489274846099785E-2</v>
      </c>
      <c r="L16" s="45">
        <f t="shared" si="3"/>
        <v>2.9087972774690708E-2</v>
      </c>
      <c r="M16" s="45">
        <f t="shared" si="2"/>
        <v>2.8252279011289339E-2</v>
      </c>
      <c r="O16" s="12">
        <f t="shared" si="5"/>
        <v>0.25</v>
      </c>
      <c r="P16" s="13">
        <v>3</v>
      </c>
      <c r="Q16" s="21">
        <v>2.3707906058521022E-2</v>
      </c>
      <c r="R16" s="18">
        <f t="shared" si="6"/>
        <v>2.3795886091811491E-2</v>
      </c>
      <c r="S16" s="21">
        <v>2.3707906058514583E-2</v>
      </c>
      <c r="T16" s="18">
        <f t="shared" si="7"/>
        <v>2.3799465496071592E-2</v>
      </c>
      <c r="U16" s="23">
        <v>2.801790605851151E-2</v>
      </c>
      <c r="V16" s="23">
        <f t="shared" si="8"/>
        <v>2.8108046024079014E-2</v>
      </c>
      <c r="W16" s="22">
        <f t="shared" ref="W16:W78" si="15">(1+V15)^(1/12)-1</f>
        <v>2.3095503782222249E-3</v>
      </c>
      <c r="X16" s="23">
        <v>2.7157906058530523E-2</v>
      </c>
      <c r="Y16" s="23">
        <f t="shared" si="11"/>
        <v>2.7248301994004631E-2</v>
      </c>
      <c r="Z16" s="22">
        <f t="shared" si="12"/>
        <v>2.2397043043327347E-3</v>
      </c>
      <c r="AA16" s="33"/>
      <c r="AB16" s="50">
        <f t="shared" si="9"/>
        <v>3</v>
      </c>
      <c r="AC16" s="48">
        <f t="shared" si="4"/>
        <v>0.99415931403007218</v>
      </c>
      <c r="AD16" s="34"/>
      <c r="AE16" s="48">
        <f t="shared" si="10"/>
        <v>0.99804554891330044</v>
      </c>
      <c r="AF16" s="48">
        <f t="shared" si="13"/>
        <v>0.99415931403007207</v>
      </c>
      <c r="AH16" s="48">
        <f t="shared" si="14"/>
        <v>0</v>
      </c>
    </row>
    <row r="17" spans="4:34" ht="13.9" customHeight="1">
      <c r="D17" s="8">
        <v>5</v>
      </c>
      <c r="E17" s="9">
        <v>2.581E-2</v>
      </c>
      <c r="F17" s="18">
        <v>2.5727718925129466E-2</v>
      </c>
      <c r="G17" s="18">
        <f t="shared" si="0"/>
        <v>2.9919449140697413E-2</v>
      </c>
      <c r="H17" s="18">
        <f t="shared" si="1"/>
        <v>2.9084450238173604E-2</v>
      </c>
      <c r="J17" s="37">
        <v>5</v>
      </c>
      <c r="K17" s="45">
        <v>2.5727718925129466E-2</v>
      </c>
      <c r="L17" s="45">
        <f t="shared" si="3"/>
        <v>2.9919449140697413E-2</v>
      </c>
      <c r="M17" s="45">
        <f t="shared" si="2"/>
        <v>2.9084450238173604E-2</v>
      </c>
      <c r="O17" s="12">
        <f t="shared" si="5"/>
        <v>0.33333333333333331</v>
      </c>
      <c r="P17" s="13">
        <v>4</v>
      </c>
      <c r="Q17" s="21">
        <v>2.3729900358014255E-2</v>
      </c>
      <c r="R17" s="18">
        <f t="shared" si="6"/>
        <v>2.3660916421749389E-2</v>
      </c>
      <c r="S17" s="21">
        <v>2.3730795150226358E-2</v>
      </c>
      <c r="T17" s="18">
        <f t="shared" si="7"/>
        <v>2.3659625803210682E-2</v>
      </c>
      <c r="U17" s="23">
        <v>2.8040440308963133E-2</v>
      </c>
      <c r="V17" s="23">
        <f t="shared" si="8"/>
        <v>2.797012119778719E-2</v>
      </c>
      <c r="W17" s="22">
        <f t="shared" si="15"/>
        <v>2.3126922104463876E-3</v>
      </c>
      <c r="X17" s="23">
        <v>2.7180504296621111E-2</v>
      </c>
      <c r="Y17" s="23">
        <f t="shared" si="11"/>
        <v>2.7110031266909917E-2</v>
      </c>
      <c r="Z17" s="22">
        <f t="shared" si="12"/>
        <v>2.2428176793600763E-3</v>
      </c>
      <c r="AA17" s="33"/>
      <c r="AB17" s="50">
        <f t="shared" si="9"/>
        <v>4</v>
      </c>
      <c r="AC17" s="48">
        <f t="shared" si="4"/>
        <v>0.99221290354670488</v>
      </c>
      <c r="AD17" s="34"/>
      <c r="AE17" s="48">
        <f t="shared" si="10"/>
        <v>0.99804215435504307</v>
      </c>
      <c r="AF17" s="48">
        <f t="shared" si="13"/>
        <v>0.99221290354670488</v>
      </c>
      <c r="AH17" s="48">
        <f t="shared" si="14"/>
        <v>0</v>
      </c>
    </row>
    <row r="18" spans="4:34" ht="13.9" customHeight="1">
      <c r="D18" s="8">
        <v>7</v>
      </c>
      <c r="E18" s="9">
        <v>2.7310000000000001E-2</v>
      </c>
      <c r="F18" s="18">
        <v>2.7296386830653531E-2</v>
      </c>
      <c r="G18" s="18">
        <f t="shared" si="0"/>
        <v>3.1481560497905021E-2</v>
      </c>
      <c r="H18" s="18">
        <f t="shared" si="1"/>
        <v>3.0647865481848023E-2</v>
      </c>
      <c r="J18" s="37">
        <v>7</v>
      </c>
      <c r="K18" s="45">
        <v>2.7296386830653531E-2</v>
      </c>
      <c r="L18" s="45">
        <f t="shared" si="3"/>
        <v>3.1481560497905021E-2</v>
      </c>
      <c r="M18" s="45">
        <f t="shared" si="2"/>
        <v>3.0647865481848023E-2</v>
      </c>
      <c r="O18" s="12">
        <f t="shared" si="5"/>
        <v>0.41666666666666669</v>
      </c>
      <c r="P18" s="13">
        <v>5</v>
      </c>
      <c r="Q18" s="21">
        <v>2.3716103198868188E-2</v>
      </c>
      <c r="R18" s="18">
        <f t="shared" si="6"/>
        <v>2.330863174984299E-2</v>
      </c>
      <c r="S18" s="21">
        <v>2.3716560884993632E-2</v>
      </c>
      <c r="T18" s="18">
        <f t="shared" si="7"/>
        <v>2.3306344233112952E-2</v>
      </c>
      <c r="U18" s="23">
        <v>2.8026376101919714E-2</v>
      </c>
      <c r="V18" s="23">
        <f t="shared" si="8"/>
        <v>2.7617267493087683E-2</v>
      </c>
      <c r="W18" s="22">
        <f t="shared" si="15"/>
        <v>2.301486165075195E-3</v>
      </c>
      <c r="X18" s="23">
        <v>2.7166409303860606E-2</v>
      </c>
      <c r="Y18" s="23">
        <f t="shared" si="11"/>
        <v>2.6757101606442513E-2</v>
      </c>
      <c r="Z18" s="22">
        <f t="shared" si="12"/>
        <v>2.2315749096335491E-3</v>
      </c>
      <c r="AA18" s="33"/>
      <c r="AB18" s="50">
        <f t="shared" si="9"/>
        <v>5</v>
      </c>
      <c r="AC18" s="48">
        <f t="shared" si="4"/>
        <v>0.99028118377036201</v>
      </c>
      <c r="AD18" s="34"/>
      <c r="AE18" s="48">
        <f t="shared" si="10"/>
        <v>0.99805311967881305</v>
      </c>
      <c r="AF18" s="48">
        <f t="shared" si="13"/>
        <v>0.99028118377036201</v>
      </c>
      <c r="AH18" s="48">
        <f t="shared" si="14"/>
        <v>0</v>
      </c>
    </row>
    <row r="19" spans="4:34" ht="13.9" customHeight="1">
      <c r="D19" s="8">
        <v>10</v>
      </c>
      <c r="E19" s="9">
        <v>2.8129999999999999E-2</v>
      </c>
      <c r="F19" s="18">
        <v>2.8139020947101141E-2</v>
      </c>
      <c r="G19" s="18">
        <f t="shared" si="0"/>
        <v>3.232067688970295E-2</v>
      </c>
      <c r="H19" s="18">
        <f t="shared" si="1"/>
        <v>3.1487681438699462E-2</v>
      </c>
      <c r="J19" s="37">
        <v>10</v>
      </c>
      <c r="K19" s="45">
        <v>2.8139020947101141E-2</v>
      </c>
      <c r="L19" s="45">
        <f t="shared" si="3"/>
        <v>3.232067688970295E-2</v>
      </c>
      <c r="M19" s="45">
        <f t="shared" si="2"/>
        <v>3.1487681438699462E-2</v>
      </c>
      <c r="O19" s="12">
        <f t="shared" si="5"/>
        <v>0.5</v>
      </c>
      <c r="P19" s="13">
        <v>6</v>
      </c>
      <c r="Q19" s="21">
        <v>2.364818002500213E-2</v>
      </c>
      <c r="R19" s="18">
        <f t="shared" si="6"/>
        <v>2.2761273654344993E-2</v>
      </c>
      <c r="S19" s="21">
        <v>2.3648180024995691E-2</v>
      </c>
      <c r="T19" s="18">
        <f t="shared" si="7"/>
        <v>2.2761452044919084E-2</v>
      </c>
      <c r="U19" s="23">
        <v>2.7958180024991508E-2</v>
      </c>
      <c r="V19" s="23">
        <f t="shared" si="8"/>
        <v>2.7071528121742627E-2</v>
      </c>
      <c r="W19" s="22">
        <f t="shared" si="15"/>
        <v>2.2728114142456235E-3</v>
      </c>
      <c r="X19" s="23">
        <v>2.7098180025011187E-2</v>
      </c>
      <c r="Y19" s="23">
        <f t="shared" si="11"/>
        <v>2.6211519928448723E-2</v>
      </c>
      <c r="Z19" s="22">
        <f t="shared" si="12"/>
        <v>2.2028719666031815E-3</v>
      </c>
      <c r="AA19" s="33"/>
      <c r="AB19" s="50">
        <f t="shared" si="9"/>
        <v>6</v>
      </c>
      <c r="AC19" s="48">
        <f t="shared" si="4"/>
        <v>0.98838157459068543</v>
      </c>
      <c r="AD19" s="34"/>
      <c r="AE19" s="48">
        <f t="shared" si="10"/>
        <v>0.99808174767852886</v>
      </c>
      <c r="AF19" s="48">
        <f t="shared" si="13"/>
        <v>0.98838157459068532</v>
      </c>
      <c r="AH19" s="48">
        <f t="shared" si="14"/>
        <v>0</v>
      </c>
    </row>
    <row r="20" spans="4:34" ht="13.9" customHeight="1">
      <c r="D20" s="8">
        <v>15</v>
      </c>
      <c r="E20" s="9">
        <v>2.8199999999999999E-2</v>
      </c>
      <c r="F20" s="18">
        <v>2.815206545914873E-2</v>
      </c>
      <c r="G20" s="18">
        <f t="shared" si="0"/>
        <v>3.2333666968333695E-2</v>
      </c>
      <c r="H20" s="18">
        <f t="shared" si="1"/>
        <v>3.150068234244429E-2</v>
      </c>
      <c r="J20" s="37">
        <v>15</v>
      </c>
      <c r="K20" s="45">
        <v>2.815206545914873E-2</v>
      </c>
      <c r="L20" s="45">
        <f t="shared" si="3"/>
        <v>3.2333666968333695E-2</v>
      </c>
      <c r="M20" s="45">
        <f t="shared" si="2"/>
        <v>3.150068234244429E-2</v>
      </c>
      <c r="O20" s="12">
        <f t="shared" si="5"/>
        <v>0.58333333333333337</v>
      </c>
      <c r="P20" s="13">
        <v>7</v>
      </c>
      <c r="Q20" s="21">
        <v>2.3521432042868051E-2</v>
      </c>
      <c r="R20" s="18">
        <f t="shared" si="6"/>
        <v>2.2106508906582389E-2</v>
      </c>
      <c r="S20" s="21">
        <v>2.35214575461693E-2</v>
      </c>
      <c r="T20" s="18">
        <f t="shared" si="7"/>
        <v>2.2107423086810352E-2</v>
      </c>
      <c r="U20" s="23">
        <v>2.7831468619713862E-2</v>
      </c>
      <c r="V20" s="23">
        <f t="shared" si="8"/>
        <v>2.6417137520590384E-2</v>
      </c>
      <c r="W20" s="22">
        <f t="shared" si="15"/>
        <v>2.2284439783732957E-3</v>
      </c>
      <c r="X20" s="23">
        <v>2.6971467409146355E-2</v>
      </c>
      <c r="Y20" s="23">
        <f t="shared" si="11"/>
        <v>2.5557192104723292E-2</v>
      </c>
      <c r="Z20" s="22">
        <f t="shared" si="12"/>
        <v>2.1584832845422675E-3</v>
      </c>
      <c r="AA20" s="33"/>
      <c r="AB20" s="50">
        <f t="shared" si="9"/>
        <v>7</v>
      </c>
      <c r="AC20" s="48">
        <f t="shared" si="4"/>
        <v>0.98652959390298378</v>
      </c>
      <c r="AE20" s="48">
        <f t="shared" si="10"/>
        <v>0.99812624927931448</v>
      </c>
      <c r="AF20" s="48">
        <f t="shared" si="13"/>
        <v>0.98652959390298378</v>
      </c>
      <c r="AH20" s="48">
        <f t="shared" si="14"/>
        <v>0</v>
      </c>
    </row>
    <row r="21" spans="4:34" ht="13.9" customHeight="1">
      <c r="D21" s="8">
        <v>20</v>
      </c>
      <c r="E21" s="9">
        <v>2.852E-2</v>
      </c>
      <c r="F21" s="18">
        <v>2.8509758195418587E-2</v>
      </c>
      <c r="G21" s="18">
        <f t="shared" si="0"/>
        <v>3.2689867364835236E-2</v>
      </c>
      <c r="H21" s="18">
        <f t="shared" si="1"/>
        <v>3.185717951910759E-2</v>
      </c>
      <c r="J21" s="37">
        <v>20</v>
      </c>
      <c r="K21" s="45">
        <v>2.8509758195418587E-2</v>
      </c>
      <c r="L21" s="45">
        <f t="shared" si="3"/>
        <v>3.2689867364835236E-2</v>
      </c>
      <c r="M21" s="45">
        <f t="shared" si="2"/>
        <v>3.185717951910759E-2</v>
      </c>
      <c r="O21" s="12">
        <f t="shared" si="5"/>
        <v>0.66666666666666663</v>
      </c>
      <c r="P21" s="13">
        <v>8</v>
      </c>
      <c r="Q21" s="21">
        <v>2.3344459589592415E-2</v>
      </c>
      <c r="R21" s="18">
        <f t="shared" si="6"/>
        <v>2.13664961713802E-2</v>
      </c>
      <c r="S21" s="21">
        <v>2.3344596312012911E-2</v>
      </c>
      <c r="T21" s="18">
        <f t="shared" si="7"/>
        <v>2.1365404506724195E-2</v>
      </c>
      <c r="U21" s="23">
        <v>2.7654570709650939E-2</v>
      </c>
      <c r="V21" s="23">
        <f t="shared" si="8"/>
        <v>2.5675601790881464E-2</v>
      </c>
      <c r="W21" s="22">
        <f t="shared" si="15"/>
        <v>2.175214930438818E-3</v>
      </c>
      <c r="X21" s="23">
        <v>2.6794576392555447E-2</v>
      </c>
      <c r="Y21" s="23">
        <f t="shared" si="11"/>
        <v>2.4815557835057955E-2</v>
      </c>
      <c r="Z21" s="22">
        <f t="shared" si="12"/>
        <v>2.1052184459915413E-3</v>
      </c>
      <c r="AA21" s="33"/>
      <c r="AB21" s="50">
        <f t="shared" si="9"/>
        <v>8</v>
      </c>
      <c r="AC21" s="48">
        <f t="shared" si="4"/>
        <v>0.98473363376279066</v>
      </c>
      <c r="AE21" s="48">
        <f t="shared" si="10"/>
        <v>0.99817951721743281</v>
      </c>
      <c r="AF21" s="48">
        <f t="shared" si="13"/>
        <v>0.98473363376279044</v>
      </c>
      <c r="AH21" s="48">
        <f t="shared" si="14"/>
        <v>0</v>
      </c>
    </row>
    <row r="22" spans="4:34" ht="13.9" customHeight="1">
      <c r="D22" s="8">
        <v>30</v>
      </c>
      <c r="E22" s="9">
        <v>2.7570000000000001E-2</v>
      </c>
      <c r="F22" s="18">
        <v>2.7136890333951346E-2</v>
      </c>
      <c r="G22" s="18">
        <f t="shared" si="0"/>
        <v>3.1322730179745982E-2</v>
      </c>
      <c r="H22" s="18">
        <f t="shared" si="1"/>
        <v>3.0488902681902137E-2</v>
      </c>
      <c r="J22" s="42">
        <v>23</v>
      </c>
      <c r="K22" s="45">
        <v>2.8259522637490826E-2</v>
      </c>
      <c r="L22" s="45">
        <f t="shared" si="3"/>
        <v>3.2440675765746135E-2</v>
      </c>
      <c r="M22" s="45">
        <f t="shared" si="2"/>
        <v>3.1607780308899866E-2</v>
      </c>
      <c r="O22" s="12">
        <f t="shared" si="5"/>
        <v>0.75</v>
      </c>
      <c r="P22" s="13">
        <v>9</v>
      </c>
      <c r="Q22" s="21">
        <v>2.3124496851747001E-2</v>
      </c>
      <c r="R22" s="18">
        <f t="shared" si="6"/>
        <v>2.0691248648424088E-2</v>
      </c>
      <c r="S22" s="21">
        <v>2.3124496851741227E-2</v>
      </c>
      <c r="T22" s="18">
        <f t="shared" si="7"/>
        <v>2.0687594733638903E-2</v>
      </c>
      <c r="U22" s="23">
        <v>2.7434496851736823E-2</v>
      </c>
      <c r="V22" s="23">
        <f t="shared" si="8"/>
        <v>2.4998513521276466E-2</v>
      </c>
      <c r="W22" s="22">
        <f t="shared" si="15"/>
        <v>2.1148597647562273E-3</v>
      </c>
      <c r="X22" s="23">
        <v>2.6574496851755391E-2</v>
      </c>
      <c r="Y22" s="23">
        <f t="shared" si="11"/>
        <v>2.4138328589116576E-2</v>
      </c>
      <c r="Z22" s="22">
        <f t="shared" si="12"/>
        <v>2.0448088446072266E-3</v>
      </c>
      <c r="AA22" s="33"/>
      <c r="AB22" s="50">
        <f t="shared" si="9"/>
        <v>9</v>
      </c>
      <c r="AC22" s="48">
        <f t="shared" si="4"/>
        <v>0.98300027112084021</v>
      </c>
      <c r="AE22" s="48">
        <f t="shared" si="10"/>
        <v>0.99823976496534705</v>
      </c>
      <c r="AF22" s="48">
        <f t="shared" si="13"/>
        <v>0.9830002711208401</v>
      </c>
      <c r="AH22" s="48">
        <f t="shared" si="14"/>
        <v>0</v>
      </c>
    </row>
    <row r="23" spans="4:34" ht="13.9" customHeight="1">
      <c r="D23" s="8">
        <v>50</v>
      </c>
      <c r="E23" s="9">
        <v>2.647E-2</v>
      </c>
      <c r="F23" s="18">
        <v>2.5586142537558358E-2</v>
      </c>
      <c r="G23" s="18">
        <f t="shared" si="0"/>
        <v>2.9778465002840655E-2</v>
      </c>
      <c r="H23" s="18">
        <f t="shared" si="1"/>
        <v>2.8943348321244844E-2</v>
      </c>
      <c r="J23" s="42">
        <v>30</v>
      </c>
      <c r="K23" s="45">
        <v>2.7136890333951346E-2</v>
      </c>
      <c r="L23" s="45">
        <f t="shared" si="3"/>
        <v>3.1322730179745982E-2</v>
      </c>
      <c r="M23" s="45">
        <f t="shared" si="2"/>
        <v>3.0488902681902137E-2</v>
      </c>
      <c r="O23" s="12">
        <f t="shared" si="5"/>
        <v>0.83333333333333337</v>
      </c>
      <c r="P23" s="13">
        <v>10</v>
      </c>
      <c r="Q23" s="21">
        <v>2.2880911228983614E-2</v>
      </c>
      <c r="R23" s="18">
        <f t="shared" si="6"/>
        <v>2.0678608946711918E-2</v>
      </c>
      <c r="S23" s="21">
        <v>2.2880545053045154E-2</v>
      </c>
      <c r="T23" s="18">
        <f t="shared" si="7"/>
        <v>2.0677609816226239E-2</v>
      </c>
      <c r="U23" s="23">
        <v>2.7190638227325925E-2</v>
      </c>
      <c r="V23" s="23">
        <f t="shared" si="8"/>
        <v>2.4987872528495547E-2</v>
      </c>
      <c r="W23" s="22">
        <f t="shared" si="15"/>
        <v>2.0597151688983573E-3</v>
      </c>
      <c r="X23" s="23">
        <v>2.6330619476157002E-2</v>
      </c>
      <c r="Y23" s="23">
        <f t="shared" si="11"/>
        <v>2.4127820658474075E-2</v>
      </c>
      <c r="Z23" s="22">
        <f t="shared" si="12"/>
        <v>1.9896103204317672E-3</v>
      </c>
      <c r="AA23" s="33"/>
      <c r="AB23" s="50">
        <f t="shared" si="9"/>
        <v>10</v>
      </c>
      <c r="AC23" s="48">
        <f t="shared" si="4"/>
        <v>0.98132404054277056</v>
      </c>
      <c r="AE23" s="48">
        <f t="shared" si="10"/>
        <v>0.99829478116403947</v>
      </c>
      <c r="AF23" s="48">
        <f t="shared" si="13"/>
        <v>0.98132404054277056</v>
      </c>
      <c r="AH23" s="48">
        <f t="shared" si="14"/>
        <v>0</v>
      </c>
    </row>
    <row r="24" spans="4:34" ht="13.9" customHeight="1">
      <c r="D24" s="8"/>
      <c r="E24" s="9"/>
      <c r="F24" s="18"/>
      <c r="G24" s="18"/>
      <c r="H24" s="18"/>
      <c r="J24" s="42">
        <v>50</v>
      </c>
      <c r="K24" s="45">
        <v>2.5586142537558358E-2</v>
      </c>
      <c r="L24" s="45">
        <f t="shared" si="3"/>
        <v>2.9778465002840655E-2</v>
      </c>
      <c r="M24" s="45">
        <f t="shared" si="2"/>
        <v>2.8943348321244844E-2</v>
      </c>
      <c r="O24" s="12">
        <f t="shared" si="5"/>
        <v>0.91666666666666663</v>
      </c>
      <c r="P24" s="13">
        <v>11</v>
      </c>
      <c r="Q24" s="21">
        <v>2.2680505726089706E-2</v>
      </c>
      <c r="R24" s="18">
        <f t="shared" si="6"/>
        <v>2.1476935539618047E-2</v>
      </c>
      <c r="S24" s="21">
        <v>2.2680081895884108E-2</v>
      </c>
      <c r="T24" s="18">
        <f t="shared" si="7"/>
        <v>2.1481592196628707E-2</v>
      </c>
      <c r="U24" s="23">
        <v>2.6990191337693314E-2</v>
      </c>
      <c r="V24" s="23">
        <f t="shared" si="8"/>
        <v>2.5790387039593243E-2</v>
      </c>
      <c r="W24" s="22">
        <f t="shared" si="15"/>
        <v>2.0588482602483804E-3</v>
      </c>
      <c r="X24" s="23">
        <v>2.6130169405820247E-2</v>
      </c>
      <c r="Y24" s="23">
        <f t="shared" si="11"/>
        <v>2.4930628547028766E-2</v>
      </c>
      <c r="Z24" s="22">
        <f t="shared" si="12"/>
        <v>1.9887535931593092E-3</v>
      </c>
      <c r="AA24" s="33"/>
      <c r="AB24" s="50">
        <f t="shared" si="9"/>
        <v>11</v>
      </c>
      <c r="AC24" s="48">
        <f t="shared" si="4"/>
        <v>0.97965167926783958</v>
      </c>
      <c r="AE24" s="48">
        <f t="shared" si="10"/>
        <v>0.99829581136725631</v>
      </c>
      <c r="AF24" s="48">
        <f t="shared" si="13"/>
        <v>0.97965167926783947</v>
      </c>
      <c r="AH24" s="48">
        <f t="shared" si="14"/>
        <v>0</v>
      </c>
    </row>
    <row r="25" spans="4:34" ht="13.9" customHeight="1">
      <c r="D25" s="8"/>
      <c r="E25" s="9"/>
      <c r="F25" s="18"/>
      <c r="G25" s="18"/>
      <c r="H25" s="18"/>
      <c r="J25" s="40"/>
      <c r="K25" s="40"/>
      <c r="L25" s="40"/>
      <c r="M25" s="40"/>
      <c r="O25" s="12">
        <f t="shared" si="5"/>
        <v>1</v>
      </c>
      <c r="P25" s="13">
        <v>12</v>
      </c>
      <c r="Q25" s="21">
        <v>2.2580154069115288E-2</v>
      </c>
      <c r="R25" s="18">
        <f t="shared" si="6"/>
        <v>2.2890161524447894E-2</v>
      </c>
      <c r="S25" s="21">
        <v>2.2580154069109515E-2</v>
      </c>
      <c r="T25" s="18">
        <f t="shared" si="7"/>
        <v>2.2898917146759512E-2</v>
      </c>
      <c r="U25" s="23">
        <v>2.689015406910511E-2</v>
      </c>
      <c r="V25" s="23">
        <f t="shared" si="8"/>
        <v>2.7206632973110878E-2</v>
      </c>
      <c r="W25" s="22">
        <f t="shared" si="15"/>
        <v>2.1242049956389231E-3</v>
      </c>
      <c r="X25" s="23">
        <v>2.6030154069123679E-2</v>
      </c>
      <c r="Y25" s="23">
        <f t="shared" si="11"/>
        <v>2.6347089433492954E-2</v>
      </c>
      <c r="Z25" s="22">
        <f t="shared" si="12"/>
        <v>2.0541845216137666E-3</v>
      </c>
      <c r="AA25" s="33"/>
      <c r="AB25" s="50">
        <f t="shared" si="9"/>
        <v>12</v>
      </c>
      <c r="AC25" s="48">
        <f t="shared" si="4"/>
        <v>0.97791845071580652</v>
      </c>
      <c r="AE25" s="48">
        <f t="shared" si="10"/>
        <v>0.9982307706007012</v>
      </c>
      <c r="AF25" s="48">
        <f t="shared" si="13"/>
        <v>0.97791845071580641</v>
      </c>
      <c r="AH25" s="48">
        <f t="shared" si="14"/>
        <v>0</v>
      </c>
    </row>
    <row r="26" spans="4:34" ht="13.9" customHeight="1">
      <c r="D26" s="8"/>
      <c r="E26" s="9"/>
      <c r="F26" s="18"/>
      <c r="G26" s="18"/>
      <c r="H26" s="18"/>
      <c r="J26" s="40"/>
      <c r="K26" s="40"/>
      <c r="L26" s="40"/>
      <c r="M26" s="38"/>
      <c r="O26" s="12">
        <f t="shared" si="5"/>
        <v>1.0833333333333333</v>
      </c>
      <c r="P26" s="13">
        <v>13</v>
      </c>
      <c r="Q26" s="21">
        <v>2.2603997460440617E-2</v>
      </c>
      <c r="R26" s="18">
        <f t="shared" si="6"/>
        <v>2.4132304138340999E-2</v>
      </c>
      <c r="S26" s="21">
        <v>2.2604670778762603E-2</v>
      </c>
      <c r="T26" s="18">
        <f t="shared" si="7"/>
        <v>2.4140343838423783E-2</v>
      </c>
      <c r="U26" s="23">
        <v>2.6914495138045114E-2</v>
      </c>
      <c r="V26" s="23">
        <f t="shared" si="8"/>
        <v>2.8448237179663494E-2</v>
      </c>
      <c r="W26" s="22">
        <f t="shared" si="15"/>
        <v>2.2394297242696037E-3</v>
      </c>
      <c r="X26" s="23">
        <v>2.6054530237496376E-2</v>
      </c>
      <c r="Y26" s="23">
        <f t="shared" si="11"/>
        <v>2.7588657765375224E-2</v>
      </c>
      <c r="Z26" s="22">
        <f t="shared" si="12"/>
        <v>2.1695152778904436E-3</v>
      </c>
      <c r="AA26" s="33"/>
      <c r="AB26" s="50">
        <f t="shared" si="9"/>
        <v>13</v>
      </c>
      <c r="AC26" s="48">
        <f t="shared" si="4"/>
        <v>0.97607582552325922</v>
      </c>
      <c r="AE26" s="48">
        <f t="shared" si="10"/>
        <v>0.9981157680467132</v>
      </c>
      <c r="AF26" s="48">
        <f t="shared" si="13"/>
        <v>0.976075825523259</v>
      </c>
      <c r="AH26" s="48">
        <f t="shared" si="14"/>
        <v>0</v>
      </c>
    </row>
    <row r="27" spans="4:34" ht="13.9" customHeight="1">
      <c r="D27" s="8"/>
      <c r="E27" s="9"/>
      <c r="F27" s="18"/>
      <c r="G27" s="18"/>
      <c r="H27" s="18"/>
      <c r="J27" s="40"/>
      <c r="K27" s="40"/>
      <c r="L27" s="40"/>
      <c r="M27" s="38"/>
      <c r="O27" s="12">
        <f t="shared" si="5"/>
        <v>1.1666666666666667</v>
      </c>
      <c r="P27" s="13">
        <v>14</v>
      </c>
      <c r="Q27" s="21">
        <v>2.271308654790527E-2</v>
      </c>
      <c r="R27" s="18">
        <f t="shared" si="6"/>
        <v>2.5006212508072778E-2</v>
      </c>
      <c r="S27" s="21">
        <v>2.2714285305494908E-2</v>
      </c>
      <c r="T27" s="18">
        <f t="shared" si="7"/>
        <v>2.5009945007065992E-2</v>
      </c>
      <c r="U27" s="23">
        <v>2.7023972246410288E-2</v>
      </c>
      <c r="V27" s="23">
        <f t="shared" si="8"/>
        <v>2.9318957214870212E-2</v>
      </c>
      <c r="W27" s="22">
        <f t="shared" si="15"/>
        <v>2.3403259963761247E-3</v>
      </c>
      <c r="X27" s="23">
        <v>2.616403477887741E-2</v>
      </c>
      <c r="Y27" s="23">
        <f t="shared" si="11"/>
        <v>2.8459154183439583E-2</v>
      </c>
      <c r="Z27" s="22">
        <f t="shared" si="12"/>
        <v>2.2704860415085903E-3</v>
      </c>
      <c r="AA27" s="33"/>
      <c r="AB27" s="50">
        <f t="shared" si="9"/>
        <v>14</v>
      </c>
      <c r="AC27" s="48">
        <f t="shared" si="4"/>
        <v>0.97413814868772142</v>
      </c>
      <c r="AE27" s="48">
        <f t="shared" si="10"/>
        <v>0.99801482960148213</v>
      </c>
      <c r="AF27" s="48">
        <f t="shared" si="13"/>
        <v>0.97413814868772131</v>
      </c>
      <c r="AH27" s="48">
        <f t="shared" si="14"/>
        <v>0</v>
      </c>
    </row>
    <row r="28" spans="4:34" ht="13.9" customHeight="1">
      <c r="D28" s="8"/>
      <c r="E28" s="9"/>
      <c r="F28" s="18"/>
      <c r="G28" s="18"/>
      <c r="H28" s="18"/>
      <c r="J28" s="40"/>
      <c r="K28" s="40"/>
      <c r="L28" s="40"/>
      <c r="M28" s="38"/>
      <c r="O28" s="12">
        <f t="shared" si="5"/>
        <v>1.25</v>
      </c>
      <c r="P28" s="13">
        <v>15</v>
      </c>
      <c r="Q28" s="21">
        <v>2.2865801880418424E-2</v>
      </c>
      <c r="R28" s="18">
        <f t="shared" si="6"/>
        <v>2.5511428504189526E-2</v>
      </c>
      <c r="S28" s="21">
        <v>2.2867169201365112E-2</v>
      </c>
      <c r="T28" s="18">
        <f t="shared" si="7"/>
        <v>2.5509269917987076E-2</v>
      </c>
      <c r="U28" s="23">
        <v>2.7176811924493949E-2</v>
      </c>
      <c r="V28" s="23">
        <f t="shared" si="8"/>
        <v>2.9819818520246955E-2</v>
      </c>
      <c r="W28" s="22">
        <f t="shared" si="15"/>
        <v>2.4110165838813202E-3</v>
      </c>
      <c r="X28" s="23">
        <v>2.6316883267380131E-2</v>
      </c>
      <c r="Y28" s="23">
        <f t="shared" si="11"/>
        <v>2.8959708720372124E-2</v>
      </c>
      <c r="Z28" s="22">
        <f t="shared" si="12"/>
        <v>2.3412126476993755E-3</v>
      </c>
      <c r="AA28" s="33"/>
      <c r="AB28" s="50">
        <f t="shared" si="9"/>
        <v>15</v>
      </c>
      <c r="AC28" s="48">
        <f t="shared" si="4"/>
        <v>0.97213521728996855</v>
      </c>
      <c r="AE28" s="48">
        <f t="shared" si="10"/>
        <v>0.99794389389179461</v>
      </c>
      <c r="AF28" s="48">
        <f t="shared" si="13"/>
        <v>0.97213521728996855</v>
      </c>
      <c r="AH28" s="48">
        <f t="shared" si="14"/>
        <v>0</v>
      </c>
    </row>
    <row r="29" spans="4:34" ht="13.9" customHeight="1">
      <c r="D29" s="8"/>
      <c r="E29" s="9"/>
      <c r="F29" s="18"/>
      <c r="G29" s="18"/>
      <c r="H29" s="18"/>
      <c r="J29" s="40"/>
      <c r="K29" s="40"/>
      <c r="L29" s="40"/>
      <c r="M29" s="38"/>
      <c r="O29" s="12">
        <f t="shared" si="5"/>
        <v>1.3333333333333333</v>
      </c>
      <c r="P29" s="13">
        <v>16</v>
      </c>
      <c r="Q29" s="21">
        <v>2.3030953403870624E-2</v>
      </c>
      <c r="R29" s="18">
        <f t="shared" si="6"/>
        <v>2.5647660184941135E-2</v>
      </c>
      <c r="S29" s="21">
        <v>2.3032100888554785E-2</v>
      </c>
      <c r="T29" s="18">
        <f t="shared" si="7"/>
        <v>2.5640015701789531E-2</v>
      </c>
      <c r="U29" s="23">
        <v>2.73418009290054E-2</v>
      </c>
      <c r="V29" s="23">
        <f t="shared" si="8"/>
        <v>2.9951999399703055E-2</v>
      </c>
      <c r="W29" s="22">
        <f t="shared" si="15"/>
        <v>2.4516548580884034E-3</v>
      </c>
      <c r="X29" s="23">
        <v>2.6481860811349289E-2</v>
      </c>
      <c r="Y29" s="23">
        <f t="shared" si="11"/>
        <v>2.9091603241361286E-2</v>
      </c>
      <c r="Z29" s="22">
        <f t="shared" si="12"/>
        <v>2.3818571523923637E-3</v>
      </c>
      <c r="AA29" s="33"/>
      <c r="AB29" s="50">
        <f t="shared" si="9"/>
        <v>16</v>
      </c>
      <c r="AC29" s="48">
        <f t="shared" si="4"/>
        <v>0.97009656716836212</v>
      </c>
      <c r="AE29" s="48">
        <f t="shared" si="10"/>
        <v>0.99790291506227946</v>
      </c>
      <c r="AF29" s="48">
        <f t="shared" si="13"/>
        <v>0.97009656716836212</v>
      </c>
      <c r="AH29" s="48">
        <f t="shared" si="14"/>
        <v>0</v>
      </c>
    </row>
    <row r="30" spans="4:34" ht="13.9" customHeight="1">
      <c r="D30" s="8"/>
      <c r="E30" s="9"/>
      <c r="F30" s="18"/>
      <c r="G30" s="18"/>
      <c r="H30" s="18"/>
      <c r="J30" s="40"/>
      <c r="K30" s="40"/>
      <c r="L30" s="40"/>
      <c r="M30" s="38"/>
      <c r="O30" s="12">
        <f t="shared" si="5"/>
        <v>1.4166666666666667</v>
      </c>
      <c r="P30" s="13">
        <v>17</v>
      </c>
      <c r="Q30" s="21">
        <v>2.318469236465126E-2</v>
      </c>
      <c r="R30" s="18">
        <f t="shared" si="6"/>
        <v>2.5414892268862621E-2</v>
      </c>
      <c r="S30" s="21">
        <v>2.3185323914812983E-2</v>
      </c>
      <c r="T30" s="18">
        <f t="shared" si="7"/>
        <v>2.5404132574124549E-2</v>
      </c>
      <c r="U30" s="23">
        <v>2.7495158737232295E-2</v>
      </c>
      <c r="V30" s="23">
        <f t="shared" si="8"/>
        <v>2.9716937137188815E-2</v>
      </c>
      <c r="W30" s="22">
        <f t="shared" si="15"/>
        <v>2.4623765675662046E-3</v>
      </c>
      <c r="X30" s="23">
        <v>2.6635191704401651E-2</v>
      </c>
      <c r="Y30" s="23">
        <f t="shared" si="11"/>
        <v>2.8856377381911269E-2</v>
      </c>
      <c r="Z30" s="22">
        <f t="shared" si="12"/>
        <v>2.3925638324109322E-3</v>
      </c>
      <c r="AA30" s="33"/>
      <c r="AB30" s="50">
        <f t="shared" si="9"/>
        <v>17</v>
      </c>
      <c r="AC30" s="48">
        <f t="shared" si="4"/>
        <v>0.96805147637606659</v>
      </c>
      <c r="AE30" s="48">
        <f t="shared" si="10"/>
        <v>0.9978918688494437</v>
      </c>
      <c r="AF30" s="48">
        <f t="shared" si="13"/>
        <v>0.96805147637606681</v>
      </c>
      <c r="AH30" s="48">
        <f t="shared" si="14"/>
        <v>0</v>
      </c>
    </row>
    <row r="31" spans="4:34" ht="13.9" customHeight="1">
      <c r="D31" s="8"/>
      <c r="E31" s="9"/>
      <c r="F31" s="18"/>
      <c r="G31" s="18"/>
      <c r="H31" s="18"/>
      <c r="J31" s="40"/>
      <c r="K31" s="40"/>
      <c r="L31" s="40"/>
      <c r="M31" s="38"/>
      <c r="O31" s="12">
        <f t="shared" si="5"/>
        <v>1.5</v>
      </c>
      <c r="P31" s="13">
        <v>18</v>
      </c>
      <c r="Q31" s="21">
        <v>2.3308465010643209E-2</v>
      </c>
      <c r="R31" s="18">
        <f t="shared" si="6"/>
        <v>2.4909692081333201E-2</v>
      </c>
      <c r="S31" s="21">
        <v>2.3308465010637214E-2</v>
      </c>
      <c r="T31" s="18">
        <f t="shared" si="7"/>
        <v>2.489962357808273E-2</v>
      </c>
      <c r="U31" s="23">
        <v>2.7618465010633031E-2</v>
      </c>
      <c r="V31" s="23">
        <f t="shared" si="8"/>
        <v>2.9212256952743987E-2</v>
      </c>
      <c r="W31" s="22">
        <f t="shared" si="15"/>
        <v>2.4433088725830387E-3</v>
      </c>
      <c r="X31" s="23">
        <v>2.6758465010651378E-2</v>
      </c>
      <c r="Y31" s="23">
        <f t="shared" si="11"/>
        <v>2.835173164620497E-2</v>
      </c>
      <c r="Z31" s="22">
        <f t="shared" si="12"/>
        <v>2.3734682406137964E-3</v>
      </c>
      <c r="AA31" s="33"/>
      <c r="AB31" s="50">
        <f t="shared" si="9"/>
        <v>18</v>
      </c>
      <c r="AC31" s="48">
        <f t="shared" si="4"/>
        <v>0.96602896860552812</v>
      </c>
      <c r="AE31" s="48">
        <f t="shared" si="10"/>
        <v>0.99791074357108589</v>
      </c>
      <c r="AF31" s="48">
        <f t="shared" si="13"/>
        <v>0.96602896860552834</v>
      </c>
      <c r="AH31" s="48">
        <f t="shared" si="14"/>
        <v>0</v>
      </c>
    </row>
    <row r="32" spans="4:34" ht="13.9" customHeight="1">
      <c r="D32" s="8"/>
      <c r="E32" s="9"/>
      <c r="F32" s="18"/>
      <c r="G32" s="18"/>
      <c r="H32" s="18"/>
      <c r="J32" s="40"/>
      <c r="K32" s="40"/>
      <c r="L32" s="40"/>
      <c r="M32" s="38"/>
      <c r="O32" s="12">
        <f t="shared" si="5"/>
        <v>1.5833333333333333</v>
      </c>
      <c r="P32" s="13">
        <v>19</v>
      </c>
      <c r="Q32" s="21">
        <v>2.339267771831044E-2</v>
      </c>
      <c r="R32" s="18">
        <f t="shared" si="6"/>
        <v>2.4517127806648498E-2</v>
      </c>
      <c r="S32" s="21">
        <v>2.3392148578978755E-2</v>
      </c>
      <c r="T32" s="18">
        <f t="shared" si="7"/>
        <v>2.451045036115862E-2</v>
      </c>
      <c r="U32" s="23">
        <v>2.7702287232651557E-2</v>
      </c>
      <c r="V32" s="23">
        <f t="shared" si="8"/>
        <v>2.882220042899708E-2</v>
      </c>
      <c r="W32" s="22">
        <f t="shared" si="15"/>
        <v>2.4023569259989941E-3</v>
      </c>
      <c r="X32" s="23">
        <v>2.6842259574032301E-2</v>
      </c>
      <c r="Y32" s="23">
        <f t="shared" si="11"/>
        <v>2.7961851457630305E-2</v>
      </c>
      <c r="Z32" s="22">
        <f t="shared" si="12"/>
        <v>2.3324876867703015E-3</v>
      </c>
      <c r="AA32" s="33"/>
      <c r="AB32" s="50">
        <f t="shared" si="9"/>
        <v>19</v>
      </c>
      <c r="AC32" s="48">
        <f t="shared" si="4"/>
        <v>0.96405027590802495</v>
      </c>
      <c r="AE32" s="48">
        <f t="shared" si="10"/>
        <v>0.99795172529830101</v>
      </c>
      <c r="AF32" s="48">
        <f t="shared" si="13"/>
        <v>0.96405027590802528</v>
      </c>
      <c r="AH32" s="48">
        <f t="shared" si="14"/>
        <v>0</v>
      </c>
    </row>
    <row r="33" spans="4:34" ht="13.9" customHeight="1">
      <c r="D33" s="8"/>
      <c r="E33" s="9"/>
      <c r="F33" s="18"/>
      <c r="G33" s="18"/>
      <c r="H33" s="18"/>
      <c r="J33" s="40"/>
      <c r="K33" s="40"/>
      <c r="L33" s="40"/>
      <c r="M33" s="38"/>
      <c r="O33" s="12">
        <f t="shared" si="5"/>
        <v>1.6666666666666667</v>
      </c>
      <c r="P33" s="13">
        <v>20</v>
      </c>
      <c r="Q33" s="21">
        <v>2.3448870900858454E-2</v>
      </c>
      <c r="R33" s="18">
        <f t="shared" si="6"/>
        <v>2.4333126962885254E-2</v>
      </c>
      <c r="S33" s="21">
        <v>2.3448034665868311E-2</v>
      </c>
      <c r="T33" s="18">
        <f t="shared" si="7"/>
        <v>2.4331154885186557E-2</v>
      </c>
      <c r="U33" s="23">
        <v>2.7758253928535925E-2</v>
      </c>
      <c r="V33" s="23">
        <f t="shared" si="8"/>
        <v>2.8641672599752477E-2</v>
      </c>
      <c r="W33" s="22">
        <f t="shared" si="15"/>
        <v>2.3706934289253745E-3</v>
      </c>
      <c r="X33" s="23">
        <v>2.6898210196663497E-2</v>
      </c>
      <c r="Y33" s="23">
        <f t="shared" si="11"/>
        <v>2.7781569414686347E-2</v>
      </c>
      <c r="Z33" s="22">
        <f t="shared" si="12"/>
        <v>2.3008142256837338E-3</v>
      </c>
      <c r="AA33" s="33"/>
      <c r="AB33" s="50">
        <f t="shared" si="9"/>
        <v>20</v>
      </c>
      <c r="AC33" s="48">
        <f t="shared" si="4"/>
        <v>0.96210635060347871</v>
      </c>
      <c r="AE33" s="48">
        <f t="shared" si="10"/>
        <v>0.99798358513749141</v>
      </c>
      <c r="AF33" s="48">
        <f t="shared" si="13"/>
        <v>0.96210635060347882</v>
      </c>
      <c r="AH33" s="48">
        <f t="shared" si="14"/>
        <v>0</v>
      </c>
    </row>
    <row r="34" spans="4:34" ht="13.9" customHeight="1">
      <c r="D34" s="8"/>
      <c r="E34" s="9"/>
      <c r="F34" s="18"/>
      <c r="G34" s="18"/>
      <c r="H34" s="18"/>
      <c r="J34" s="40"/>
      <c r="K34" s="40"/>
      <c r="L34" s="40"/>
      <c r="M34" s="38"/>
      <c r="O34" s="12">
        <f t="shared" si="5"/>
        <v>1.75</v>
      </c>
      <c r="P34" s="13">
        <v>21</v>
      </c>
      <c r="Q34" s="21">
        <v>2.3490961017991641E-2</v>
      </c>
      <c r="R34" s="18">
        <f t="shared" si="6"/>
        <v>2.4357437728139031E-2</v>
      </c>
      <c r="S34" s="21">
        <v>2.349007073967968E-2</v>
      </c>
      <c r="T34" s="18">
        <f t="shared" si="7"/>
        <v>2.4360362745029285E-2</v>
      </c>
      <c r="U34" s="23">
        <v>2.7800304275106269E-2</v>
      </c>
      <c r="V34" s="23">
        <f t="shared" si="8"/>
        <v>2.8669595428933103E-2</v>
      </c>
      <c r="W34" s="22">
        <f t="shared" si="15"/>
        <v>2.3560350522466855E-3</v>
      </c>
      <c r="X34" s="23">
        <v>2.6940257700041936E-2</v>
      </c>
      <c r="Y34" s="23">
        <f t="shared" si="11"/>
        <v>2.7809748456791406E-2</v>
      </c>
      <c r="Z34" s="22">
        <f t="shared" si="12"/>
        <v>2.2861645765976935E-3</v>
      </c>
      <c r="AA34" s="33"/>
      <c r="AB34" s="50">
        <f t="shared" si="9"/>
        <v>21</v>
      </c>
      <c r="AC34" s="48">
        <f t="shared" si="4"/>
        <v>0.9601807167566182</v>
      </c>
      <c r="AE34" s="48">
        <f t="shared" si="10"/>
        <v>0.99799852288091373</v>
      </c>
      <c r="AF34" s="48">
        <f t="shared" si="13"/>
        <v>0.96018071675661831</v>
      </c>
      <c r="AH34" s="48">
        <f t="shared" si="14"/>
        <v>0</v>
      </c>
    </row>
    <row r="35" spans="4:34" ht="13.9" customHeight="1">
      <c r="D35" s="8"/>
      <c r="E35" s="9"/>
      <c r="F35" s="18"/>
      <c r="G35" s="18"/>
      <c r="H35" s="18"/>
      <c r="J35" s="40"/>
      <c r="K35" s="40"/>
      <c r="L35" s="40"/>
      <c r="M35" s="38"/>
      <c r="O35" s="12">
        <f t="shared" si="5"/>
        <v>1.8333333333333333</v>
      </c>
      <c r="P35" s="13">
        <v>22</v>
      </c>
      <c r="Q35" s="21">
        <v>2.353033041797703E-2</v>
      </c>
      <c r="R35" s="18">
        <f t="shared" si="6"/>
        <v>2.4589936410294166E-2</v>
      </c>
      <c r="S35" s="21">
        <v>2.3529613421823914E-2</v>
      </c>
      <c r="T35" s="18">
        <f t="shared" si="7"/>
        <v>2.4596844574711785E-2</v>
      </c>
      <c r="U35" s="23">
        <v>2.7839801567970168E-2</v>
      </c>
      <c r="V35" s="23">
        <f t="shared" si="8"/>
        <v>2.8905030431480627E-2</v>
      </c>
      <c r="W35" s="22">
        <f t="shared" si="15"/>
        <v>2.3583024654183493E-3</v>
      </c>
      <c r="X35" s="23">
        <v>2.6979764045096832E-2</v>
      </c>
      <c r="Y35" s="23">
        <f t="shared" si="11"/>
        <v>2.8045392185962248E-2</v>
      </c>
      <c r="Z35" s="22">
        <f t="shared" si="12"/>
        <v>2.2884545499706199E-3</v>
      </c>
      <c r="AA35" s="33"/>
      <c r="AB35" s="50">
        <f t="shared" si="9"/>
        <v>22</v>
      </c>
      <c r="AC35" s="48">
        <f t="shared" si="4"/>
        <v>0.95825704182876625</v>
      </c>
      <c r="AE35" s="48">
        <f t="shared" si="10"/>
        <v>0.99799654909301871</v>
      </c>
      <c r="AF35" s="48">
        <f t="shared" si="13"/>
        <v>0.95825704182876636</v>
      </c>
      <c r="AH35" s="48">
        <f t="shared" si="14"/>
        <v>0</v>
      </c>
    </row>
    <row r="36" spans="4:34" ht="13.9" customHeight="1">
      <c r="D36" s="8"/>
      <c r="E36" s="9"/>
      <c r="F36" s="18"/>
      <c r="G36" s="18"/>
      <c r="H36" s="18"/>
      <c r="J36" s="40"/>
      <c r="K36" s="40"/>
      <c r="L36" s="40"/>
      <c r="M36" s="38"/>
      <c r="O36" s="12">
        <f t="shared" si="5"/>
        <v>1.9166666666666667</v>
      </c>
      <c r="P36" s="13">
        <v>23</v>
      </c>
      <c r="Q36" s="21">
        <v>2.3576377449127994E-2</v>
      </c>
      <c r="R36" s="18">
        <f t="shared" si="6"/>
        <v>2.5030662461434483E-2</v>
      </c>
      <c r="S36" s="21">
        <v>2.3575991652540873E-2</v>
      </c>
      <c r="T36" s="18">
        <f t="shared" si="7"/>
        <v>2.5039548430092928E-2</v>
      </c>
      <c r="U36" s="23">
        <v>2.7886092925823336E-2</v>
      </c>
      <c r="V36" s="23">
        <f t="shared" si="8"/>
        <v>2.9347211628268921E-2</v>
      </c>
      <c r="W36" s="22">
        <f t="shared" si="15"/>
        <v>2.3774182144340461E-3</v>
      </c>
      <c r="X36" s="23">
        <v>2.7026072726427319E-2</v>
      </c>
      <c r="Y36" s="23">
        <f t="shared" si="11"/>
        <v>2.8487677708813663E-2</v>
      </c>
      <c r="Z36" s="22">
        <f t="shared" si="12"/>
        <v>2.3076019144476767E-3</v>
      </c>
      <c r="AA36" s="33"/>
      <c r="AB36" s="50">
        <f t="shared" si="9"/>
        <v>23</v>
      </c>
      <c r="AC36" s="48">
        <f t="shared" si="4"/>
        <v>0.95631913476972119</v>
      </c>
      <c r="AE36" s="48">
        <f t="shared" si="10"/>
        <v>0.99797767511799718</v>
      </c>
      <c r="AF36" s="48">
        <f t="shared" si="13"/>
        <v>0.95631913476972163</v>
      </c>
      <c r="AH36" s="48">
        <f t="shared" si="14"/>
        <v>0</v>
      </c>
    </row>
    <row r="37" spans="4:34" ht="13.9" customHeight="1">
      <c r="D37" s="8"/>
      <c r="E37" s="9"/>
      <c r="F37" s="18"/>
      <c r="G37" s="18"/>
      <c r="H37" s="18"/>
      <c r="J37" s="40"/>
      <c r="K37" s="40"/>
      <c r="L37" s="40"/>
      <c r="M37" s="38"/>
      <c r="O37" s="12">
        <f t="shared" si="5"/>
        <v>2</v>
      </c>
      <c r="P37" s="13">
        <v>24</v>
      </c>
      <c r="Q37" s="21">
        <v>2.3636931443325127E-2</v>
      </c>
      <c r="R37" s="18">
        <f t="shared" si="6"/>
        <v>2.5617493502313682E-2</v>
      </c>
      <c r="S37" s="21">
        <v>2.3636931443319131E-2</v>
      </c>
      <c r="T37" s="18">
        <f t="shared" si="7"/>
        <v>2.5625568907186258E-2</v>
      </c>
      <c r="U37" s="23">
        <v>2.7946931443315171E-2</v>
      </c>
      <c r="V37" s="23">
        <f t="shared" si="8"/>
        <v>2.9933438511780208E-2</v>
      </c>
      <c r="W37" s="22">
        <f t="shared" si="15"/>
        <v>2.413309538423114E-3</v>
      </c>
      <c r="X37" s="23">
        <v>2.7086931443333073E-2</v>
      </c>
      <c r="Y37" s="23">
        <f t="shared" si="11"/>
        <v>2.9073863673245048E-2</v>
      </c>
      <c r="Z37" s="22">
        <f t="shared" si="12"/>
        <v>2.3435292152782505E-3</v>
      </c>
      <c r="AA37" s="33"/>
      <c r="AB37" s="50">
        <f t="shared" si="9"/>
        <v>24</v>
      </c>
      <c r="AC37" s="48">
        <f t="shared" si="4"/>
        <v>0.95435094412772181</v>
      </c>
      <c r="AE37" s="48">
        <f t="shared" si="10"/>
        <v>0.99794191021549161</v>
      </c>
      <c r="AF37" s="48">
        <f t="shared" si="13"/>
        <v>0.95435094412772215</v>
      </c>
      <c r="AH37" s="48">
        <f t="shared" si="14"/>
        <v>0</v>
      </c>
    </row>
    <row r="38" spans="4:34" ht="13.9" customHeight="1">
      <c r="D38" s="8"/>
      <c r="E38" s="9"/>
      <c r="F38" s="18"/>
      <c r="G38" s="18"/>
      <c r="H38" s="18"/>
      <c r="J38" s="40"/>
      <c r="K38" s="40"/>
      <c r="L38" s="40"/>
      <c r="M38" s="38"/>
      <c r="O38" s="12">
        <f t="shared" si="5"/>
        <v>2.0833333333333335</v>
      </c>
      <c r="P38" s="13">
        <v>25</v>
      </c>
      <c r="Q38" s="21">
        <v>2.3716080443231702E-2</v>
      </c>
      <c r="R38" s="18">
        <f t="shared" si="6"/>
        <v>2.6101175921509512E-2</v>
      </c>
      <c r="S38" s="21">
        <v>2.3716402859356167E-2</v>
      </c>
      <c r="T38" s="18">
        <f t="shared" si="7"/>
        <v>2.6106428559800277E-2</v>
      </c>
      <c r="U38" s="23">
        <v>2.8026318111636916E-2</v>
      </c>
      <c r="V38" s="23">
        <f t="shared" si="8"/>
        <v>3.0415033278440307E-2</v>
      </c>
      <c r="W38" s="22">
        <f t="shared" si="15"/>
        <v>2.4608710972857661E-3</v>
      </c>
      <c r="X38" s="23">
        <v>2.7166335025031296E-2</v>
      </c>
      <c r="Y38" s="23">
        <f t="shared" si="11"/>
        <v>2.9555311898076475E-2</v>
      </c>
      <c r="Z38" s="22">
        <f t="shared" si="12"/>
        <v>2.3911238770493171E-3</v>
      </c>
      <c r="AA38" s="33"/>
      <c r="AB38" s="50">
        <f t="shared" si="9"/>
        <v>25</v>
      </c>
      <c r="AC38" s="48">
        <f t="shared" si="4"/>
        <v>0.95234138141985325</v>
      </c>
      <c r="AE38" s="48">
        <f t="shared" si="10"/>
        <v>0.99789431474843315</v>
      </c>
      <c r="AF38" s="48">
        <f t="shared" si="13"/>
        <v>0.95234138141985347</v>
      </c>
      <c r="AH38" s="48">
        <f t="shared" si="14"/>
        <v>0</v>
      </c>
    </row>
    <row r="39" spans="4:34" ht="13.9" customHeight="1">
      <c r="D39" s="8"/>
      <c r="E39" s="9"/>
      <c r="F39" s="18"/>
      <c r="G39" s="18"/>
      <c r="H39" s="18"/>
      <c r="J39" s="40"/>
      <c r="K39" s="40"/>
      <c r="L39" s="40"/>
      <c r="M39" s="38"/>
      <c r="O39" s="12">
        <f t="shared" si="5"/>
        <v>2.1666666666666665</v>
      </c>
      <c r="P39" s="13">
        <v>26</v>
      </c>
      <c r="Q39" s="21">
        <v>2.3807712287770455E-2</v>
      </c>
      <c r="R39" s="18">
        <f t="shared" si="6"/>
        <v>2.6419268727758904E-2</v>
      </c>
      <c r="S39" s="21">
        <v>2.3808223903586612E-2</v>
      </c>
      <c r="T39" s="18">
        <f t="shared" si="7"/>
        <v>2.6420723781701572E-2</v>
      </c>
      <c r="U39" s="23">
        <v>2.8118089294370874E-2</v>
      </c>
      <c r="V39" s="23">
        <f t="shared" si="8"/>
        <v>3.0730322266182108E-2</v>
      </c>
      <c r="W39" s="22">
        <f t="shared" si="15"/>
        <v>2.4999251156350155E-3</v>
      </c>
      <c r="X39" s="23">
        <v>2.7258116165264301E-2</v>
      </c>
      <c r="Y39" s="23">
        <f t="shared" si="11"/>
        <v>2.9870402564226239E-2</v>
      </c>
      <c r="Z39" s="22">
        <f t="shared" si="12"/>
        <v>2.4301959002530626E-3</v>
      </c>
      <c r="AA39" s="33"/>
      <c r="AB39" s="50">
        <f t="shared" si="9"/>
        <v>26</v>
      </c>
      <c r="AC39" s="48">
        <f t="shared" si="4"/>
        <v>0.95029871145591549</v>
      </c>
      <c r="AE39" s="48">
        <f t="shared" si="10"/>
        <v>0.99785510741863181</v>
      </c>
      <c r="AF39" s="48">
        <f t="shared" si="13"/>
        <v>0.95029871145591605</v>
      </c>
      <c r="AH39" s="48">
        <f t="shared" si="14"/>
        <v>0</v>
      </c>
    </row>
    <row r="40" spans="4:34" ht="13.9" customHeight="1">
      <c r="D40" s="8"/>
      <c r="E40" s="9"/>
      <c r="F40" s="18"/>
      <c r="G40" s="18"/>
      <c r="H40" s="18"/>
      <c r="J40" s="40"/>
      <c r="K40" s="40"/>
      <c r="L40" s="40"/>
      <c r="M40" s="38"/>
      <c r="O40" s="12">
        <f t="shared" si="5"/>
        <v>2.25</v>
      </c>
      <c r="P40" s="13">
        <v>27</v>
      </c>
      <c r="Q40" s="21">
        <v>2.390431800378412E-2</v>
      </c>
      <c r="R40" s="18">
        <f t="shared" si="6"/>
        <v>2.6571678094382989E-2</v>
      </c>
      <c r="S40" s="21">
        <v>2.3904864476181009E-2</v>
      </c>
      <c r="T40" s="18">
        <f t="shared" si="7"/>
        <v>2.6569256758433024E-2</v>
      </c>
      <c r="U40" s="23">
        <v>2.8214720502363733E-2</v>
      </c>
      <c r="V40" s="23">
        <f t="shared" si="8"/>
        <v>3.0879874147043962E-2</v>
      </c>
      <c r="W40" s="22">
        <f t="shared" si="15"/>
        <v>2.5254838191481888E-3</v>
      </c>
      <c r="X40" s="23">
        <v>2.7354749248452048E-2</v>
      </c>
      <c r="Y40" s="23">
        <f t="shared" si="11"/>
        <v>3.0019750998687478E-2</v>
      </c>
      <c r="Z40" s="22">
        <f t="shared" si="12"/>
        <v>2.4557580772575083E-3</v>
      </c>
      <c r="AA40" s="33"/>
      <c r="AB40" s="50">
        <f t="shared" si="9"/>
        <v>27</v>
      </c>
      <c r="AC40" s="48">
        <f t="shared" si="4"/>
        <v>0.94823593007357321</v>
      </c>
      <c r="AE40" s="48">
        <f t="shared" si="10"/>
        <v>0.99782933370583848</v>
      </c>
      <c r="AF40" s="48">
        <f t="shared" si="13"/>
        <v>0.94823593007357354</v>
      </c>
      <c r="AH40" s="48">
        <f t="shared" si="14"/>
        <v>0</v>
      </c>
    </row>
    <row r="41" spans="4:34" ht="13.9" customHeight="1">
      <c r="D41" s="8"/>
      <c r="E41" s="9"/>
      <c r="F41" s="18"/>
      <c r="G41" s="18"/>
      <c r="H41" s="18"/>
      <c r="J41" s="40"/>
      <c r="K41" s="40"/>
      <c r="L41" s="40"/>
      <c r="M41" s="38"/>
      <c r="O41" s="12">
        <f t="shared" si="5"/>
        <v>2.3333333333333335</v>
      </c>
      <c r="P41" s="13">
        <v>28</v>
      </c>
      <c r="Q41" s="21">
        <v>2.3999461415402878E-2</v>
      </c>
      <c r="R41" s="18">
        <f t="shared" si="6"/>
        <v>2.6558347300462026E-2</v>
      </c>
      <c r="S41" s="21">
        <v>2.399990216014114E-2</v>
      </c>
      <c r="T41" s="18">
        <f t="shared" si="7"/>
        <v>2.6552856406540482E-2</v>
      </c>
      <c r="U41" s="23">
        <v>2.8309785808779298E-2</v>
      </c>
      <c r="V41" s="23">
        <f t="shared" si="8"/>
        <v>3.0864287281482827E-2</v>
      </c>
      <c r="W41" s="22">
        <f t="shared" si="15"/>
        <v>2.5376046425207299E-3</v>
      </c>
      <c r="X41" s="23">
        <v>2.7449809044365558E-2</v>
      </c>
      <c r="Y41" s="23">
        <f t="shared" si="11"/>
        <v>3.0004001611661169E-2</v>
      </c>
      <c r="Z41" s="22">
        <f t="shared" si="12"/>
        <v>2.4678716765078601E-3</v>
      </c>
      <c r="AA41" s="33"/>
      <c r="AB41" s="50">
        <f t="shared" si="9"/>
        <v>28</v>
      </c>
      <c r="AC41" s="48">
        <f t="shared" si="4"/>
        <v>0.94616591936207206</v>
      </c>
      <c r="AE41" s="48">
        <f t="shared" si="10"/>
        <v>0.99781698768645011</v>
      </c>
      <c r="AF41" s="48">
        <f t="shared" si="13"/>
        <v>0.94616591936207251</v>
      </c>
      <c r="AH41" s="48">
        <f t="shared" si="14"/>
        <v>0</v>
      </c>
    </row>
    <row r="42" spans="4:34" ht="13.9" customHeight="1">
      <c r="D42" s="8"/>
      <c r="E42" s="9"/>
      <c r="F42" s="18"/>
      <c r="G42" s="18"/>
      <c r="H42" s="18"/>
      <c r="J42" s="40"/>
      <c r="K42" s="40"/>
      <c r="L42" s="40"/>
      <c r="M42" s="38"/>
      <c r="O42" s="12">
        <f t="shared" si="5"/>
        <v>2.4166666666666665</v>
      </c>
      <c r="P42" s="13">
        <v>29</v>
      </c>
      <c r="Q42" s="21">
        <v>2.4087592586493178E-2</v>
      </c>
      <c r="R42" s="18">
        <f t="shared" si="6"/>
        <v>2.6379279037276548E-2</v>
      </c>
      <c r="S42" s="21">
        <v>2.4087829283735429E-2</v>
      </c>
      <c r="T42" s="18">
        <f t="shared" si="7"/>
        <v>2.6372399480281805E-2</v>
      </c>
      <c r="U42" s="23">
        <v>2.83977666000228E-2</v>
      </c>
      <c r="V42" s="23">
        <f t="shared" si="8"/>
        <v>3.0684211032042663E-2</v>
      </c>
      <c r="W42" s="22">
        <f t="shared" si="15"/>
        <v>2.5363414394754535E-3</v>
      </c>
      <c r="X42" s="23">
        <v>2.7537779121072692E-2</v>
      </c>
      <c r="Y42" s="23">
        <f t="shared" si="11"/>
        <v>2.9823849169018146E-2</v>
      </c>
      <c r="Z42" s="22">
        <f t="shared" si="12"/>
        <v>2.4665943251815925E-3</v>
      </c>
      <c r="AA42" s="33"/>
      <c r="AB42" s="50">
        <f t="shared" si="9"/>
        <v>29</v>
      </c>
      <c r="AC42" s="48">
        <f t="shared" si="4"/>
        <v>0.94410144917026484</v>
      </c>
      <c r="AE42" s="48">
        <f t="shared" si="10"/>
        <v>0.9978180674767918</v>
      </c>
      <c r="AF42" s="48">
        <f t="shared" si="13"/>
        <v>0.94410144917026517</v>
      </c>
      <c r="AH42" s="48">
        <f t="shared" si="14"/>
        <v>0</v>
      </c>
    </row>
    <row r="43" spans="4:34" ht="13.9" customHeight="1">
      <c r="D43" s="8"/>
      <c r="E43" s="9"/>
      <c r="F43" s="18"/>
      <c r="G43" s="18"/>
      <c r="H43" s="18"/>
      <c r="J43" s="40"/>
      <c r="K43" s="40"/>
      <c r="L43" s="40"/>
      <c r="M43" s="38"/>
      <c r="O43" s="12">
        <f t="shared" si="5"/>
        <v>2.5</v>
      </c>
      <c r="P43" s="13">
        <v>30</v>
      </c>
      <c r="Q43" s="21">
        <v>2.4163899633272701E-2</v>
      </c>
      <c r="R43" s="18">
        <f t="shared" si="6"/>
        <v>2.6079838837597125E-2</v>
      </c>
      <c r="S43" s="21">
        <v>2.4163899633266706E-2</v>
      </c>
      <c r="T43" s="18">
        <f t="shared" si="7"/>
        <v>2.6073801639769467E-2</v>
      </c>
      <c r="U43" s="23">
        <v>2.8473899633263411E-2</v>
      </c>
      <c r="V43" s="23">
        <f t="shared" si="8"/>
        <v>3.0385413679099527E-2</v>
      </c>
      <c r="W43" s="22">
        <f t="shared" si="15"/>
        <v>2.521746288405291E-3</v>
      </c>
      <c r="X43" s="23">
        <v>2.7613899633280425E-2</v>
      </c>
      <c r="Y43" s="23">
        <f t="shared" si="11"/>
        <v>2.9525091400117498E-2</v>
      </c>
      <c r="Z43" s="22">
        <f t="shared" si="12"/>
        <v>2.451981818462956E-3</v>
      </c>
      <c r="AA43" s="33"/>
      <c r="AB43" s="50">
        <f t="shared" si="9"/>
        <v>30</v>
      </c>
      <c r="AC43" s="48">
        <f t="shared" si="4"/>
        <v>0.9420551786003164</v>
      </c>
      <c r="AE43" s="48">
        <f t="shared" si="10"/>
        <v>0.99783257342550757</v>
      </c>
      <c r="AF43" s="48">
        <f t="shared" si="13"/>
        <v>0.94205517860031673</v>
      </c>
      <c r="AH43" s="48">
        <f t="shared" si="14"/>
        <v>0</v>
      </c>
    </row>
    <row r="44" spans="4:34" ht="13.9" customHeight="1">
      <c r="D44" s="8"/>
      <c r="E44" s="9"/>
      <c r="F44" s="18"/>
      <c r="G44" s="18"/>
      <c r="H44" s="18"/>
      <c r="J44" s="40"/>
      <c r="K44" s="40"/>
      <c r="L44" s="40"/>
      <c r="M44" s="38"/>
      <c r="O44" s="12">
        <f t="shared" si="5"/>
        <v>2.5833333333333335</v>
      </c>
      <c r="P44" s="13">
        <v>31</v>
      </c>
      <c r="Q44" s="21">
        <v>2.4225648247212073E-2</v>
      </c>
      <c r="R44" s="18">
        <f t="shared" si="6"/>
        <v>2.5841204516039218E-2</v>
      </c>
      <c r="S44" s="21">
        <v>2.4225453850258205E-2</v>
      </c>
      <c r="T44" s="18">
        <f t="shared" si="7"/>
        <v>2.5837369660297371E-2</v>
      </c>
      <c r="U44" s="23">
        <v>2.8535505990607168E-2</v>
      </c>
      <c r="V44" s="23">
        <f t="shared" si="8"/>
        <v>3.0148412343539155E-2</v>
      </c>
      <c r="W44" s="22">
        <f t="shared" si="15"/>
        <v>2.4975236530866418E-3</v>
      </c>
      <c r="X44" s="23">
        <v>2.7675495566910513E-2</v>
      </c>
      <c r="Y44" s="23">
        <f t="shared" si="11"/>
        <v>2.9288203579783456E-2</v>
      </c>
      <c r="Z44" s="22">
        <f t="shared" si="12"/>
        <v>2.4277438426425491E-3</v>
      </c>
      <c r="AA44" s="33"/>
      <c r="AB44" s="50">
        <f t="shared" si="9"/>
        <v>31</v>
      </c>
      <c r="AC44" s="48">
        <f t="shared" si="4"/>
        <v>0.94003620040374103</v>
      </c>
      <c r="AE44" s="48">
        <f t="shared" si="10"/>
        <v>0.99785683658193447</v>
      </c>
      <c r="AF44" s="48">
        <f t="shared" si="13"/>
        <v>0.94003620040374136</v>
      </c>
      <c r="AH44" s="48">
        <f t="shared" si="14"/>
        <v>0</v>
      </c>
    </row>
    <row r="45" spans="4:34" ht="13.9" customHeight="1">
      <c r="D45" s="8"/>
      <c r="E45" s="9"/>
      <c r="F45" s="18"/>
      <c r="G45" s="18"/>
      <c r="H45" s="18"/>
      <c r="J45" s="40"/>
      <c r="K45" s="40"/>
      <c r="L45" s="40"/>
      <c r="M45" s="38"/>
      <c r="O45" s="12">
        <f t="shared" si="5"/>
        <v>2.6666666666666665</v>
      </c>
      <c r="P45" s="13">
        <v>32</v>
      </c>
      <c r="Q45" s="21">
        <v>2.427609584777346E-2</v>
      </c>
      <c r="R45" s="18">
        <f t="shared" si="6"/>
        <v>2.5708580885797083E-2</v>
      </c>
      <c r="S45" s="21">
        <v>2.4275787859848297E-2</v>
      </c>
      <c r="T45" s="18">
        <f t="shared" si="7"/>
        <v>2.5707535388940439E-2</v>
      </c>
      <c r="U45" s="23">
        <v>2.8585871068304236E-2</v>
      </c>
      <c r="V45" s="23">
        <f t="shared" si="8"/>
        <v>3.0017837971475281E-2</v>
      </c>
      <c r="W45" s="22">
        <f t="shared" si="15"/>
        <v>2.4783060622577402E-3</v>
      </c>
      <c r="X45" s="23">
        <v>2.7725854423916285E-2</v>
      </c>
      <c r="Y45" s="23">
        <f t="shared" si="11"/>
        <v>2.915777700003308E-2</v>
      </c>
      <c r="Z45" s="22">
        <f t="shared" si="12"/>
        <v>2.4085207422896993E-3</v>
      </c>
      <c r="AA45" s="33"/>
      <c r="AB45" s="50">
        <f t="shared" si="9"/>
        <v>32</v>
      </c>
      <c r="AC45" s="48">
        <f t="shared" si="4"/>
        <v>0.93803973105597138</v>
      </c>
      <c r="AE45" s="48">
        <f t="shared" si="10"/>
        <v>0.99787617822918728</v>
      </c>
      <c r="AF45" s="48">
        <f t="shared" si="13"/>
        <v>0.93803973105597183</v>
      </c>
      <c r="AH45" s="48">
        <f t="shared" si="14"/>
        <v>0</v>
      </c>
    </row>
    <row r="46" spans="4:34" ht="13.9" customHeight="1">
      <c r="D46" s="8"/>
      <c r="E46" s="9"/>
      <c r="F46" s="18"/>
      <c r="G46" s="18"/>
      <c r="H46" s="18"/>
      <c r="J46" s="40"/>
      <c r="K46" s="40"/>
      <c r="L46" s="40"/>
      <c r="M46" s="38"/>
      <c r="O46" s="12">
        <f t="shared" si="5"/>
        <v>2.75</v>
      </c>
      <c r="P46" s="13">
        <v>33</v>
      </c>
      <c r="Q46" s="21">
        <v>2.4319475077884345E-2</v>
      </c>
      <c r="R46" s="18">
        <f t="shared" si="6"/>
        <v>2.5681898907039091E-2</v>
      </c>
      <c r="S46" s="21">
        <v>2.4319144771453693E-2</v>
      </c>
      <c r="T46" s="18">
        <f t="shared" si="7"/>
        <v>2.5683656382060605E-2</v>
      </c>
      <c r="U46" s="23">
        <v>2.8629234741634368E-2</v>
      </c>
      <c r="V46" s="23">
        <f t="shared" si="8"/>
        <v>2.9993199415757177E-2</v>
      </c>
      <c r="W46" s="22">
        <f t="shared" si="15"/>
        <v>2.4677165217199537E-3</v>
      </c>
      <c r="X46" s="23">
        <v>2.7769216731349244E-2</v>
      </c>
      <c r="Y46" s="23">
        <f t="shared" si="11"/>
        <v>2.9133290382754584E-2</v>
      </c>
      <c r="Z46" s="22">
        <f t="shared" si="12"/>
        <v>2.3979350847957992E-3</v>
      </c>
      <c r="AA46" s="33"/>
      <c r="AB46" s="50">
        <f t="shared" si="9"/>
        <v>33</v>
      </c>
      <c r="AC46" s="48">
        <f t="shared" si="4"/>
        <v>0.93605758713022891</v>
      </c>
      <c r="AE46" s="48">
        <f t="shared" si="10"/>
        <v>0.99788692966820181</v>
      </c>
      <c r="AF46" s="48">
        <f t="shared" si="13"/>
        <v>0.93605758713022946</v>
      </c>
      <c r="AH46" s="48">
        <f t="shared" si="14"/>
        <v>0</v>
      </c>
    </row>
    <row r="47" spans="4:34" ht="13.9" customHeight="1">
      <c r="D47" s="8"/>
      <c r="E47" s="9"/>
      <c r="F47" s="18"/>
      <c r="G47" s="18"/>
      <c r="H47" s="18"/>
      <c r="J47" s="40"/>
      <c r="K47" s="40"/>
      <c r="L47" s="40"/>
      <c r="M47" s="38"/>
      <c r="O47" s="12">
        <f t="shared" si="5"/>
        <v>2.8333333333333335</v>
      </c>
      <c r="P47" s="13">
        <v>34</v>
      </c>
      <c r="Q47" s="21">
        <v>2.4359520524394274E-2</v>
      </c>
      <c r="R47" s="18">
        <f t="shared" si="6"/>
        <v>2.5761122881416965E-2</v>
      </c>
      <c r="S47" s="21">
        <v>2.4359251544063598E-2</v>
      </c>
      <c r="T47" s="18">
        <f t="shared" si="7"/>
        <v>2.5765131574439382E-2</v>
      </c>
      <c r="U47" s="23">
        <v>2.8669325557078684E-2</v>
      </c>
      <c r="V47" s="23">
        <f t="shared" si="8"/>
        <v>3.0074044387022658E-2</v>
      </c>
      <c r="W47" s="22">
        <f t="shared" si="15"/>
        <v>2.4657182045892956E-3</v>
      </c>
      <c r="X47" s="23">
        <v>2.7809310726320424E-2</v>
      </c>
      <c r="Y47" s="23">
        <f t="shared" si="11"/>
        <v>2.9214261819304532E-2</v>
      </c>
      <c r="Z47" s="22">
        <f t="shared" si="12"/>
        <v>2.3959475694685928E-3</v>
      </c>
      <c r="AA47" s="33"/>
      <c r="AB47" s="50">
        <f t="shared" si="9"/>
        <v>34</v>
      </c>
      <c r="AC47" s="48">
        <f t="shared" si="4"/>
        <v>0.93408165651046793</v>
      </c>
      <c r="AE47" s="48">
        <f t="shared" si="10"/>
        <v>0.99788909288602756</v>
      </c>
      <c r="AF47" s="48">
        <f t="shared" si="13"/>
        <v>0.93408165651046837</v>
      </c>
      <c r="AH47" s="48">
        <f t="shared" si="14"/>
        <v>0</v>
      </c>
    </row>
    <row r="48" spans="4:34" ht="13.9" customHeight="1">
      <c r="D48" s="8"/>
      <c r="E48" s="9"/>
      <c r="F48" s="18"/>
      <c r="G48" s="18"/>
      <c r="H48" s="18"/>
      <c r="J48" s="40"/>
      <c r="K48" s="40"/>
      <c r="L48" s="40"/>
      <c r="M48" s="38"/>
      <c r="O48" s="12">
        <f t="shared" si="5"/>
        <v>2.9166666666666665</v>
      </c>
      <c r="P48" s="13">
        <v>35</v>
      </c>
      <c r="Q48" s="21">
        <v>2.4399539715934671E-2</v>
      </c>
      <c r="R48" s="18">
        <f t="shared" si="6"/>
        <v>2.5946259535271965E-2</v>
      </c>
      <c r="S48" s="21">
        <v>2.4399392792356034E-2</v>
      </c>
      <c r="T48" s="18">
        <f t="shared" si="7"/>
        <v>2.5951409637894107E-2</v>
      </c>
      <c r="U48" s="23">
        <v>2.8709433784177563E-2</v>
      </c>
      <c r="V48" s="23">
        <f t="shared" si="8"/>
        <v>3.0259967974026525E-2</v>
      </c>
      <c r="W48" s="22">
        <f t="shared" si="15"/>
        <v>2.4722749951915368E-3</v>
      </c>
      <c r="X48" s="23">
        <v>2.7849425558472252E-2</v>
      </c>
      <c r="Y48" s="23">
        <f t="shared" si="11"/>
        <v>2.9400257258707541E-2</v>
      </c>
      <c r="Z48" s="22">
        <f t="shared" si="12"/>
        <v>2.4025196460111253E-3</v>
      </c>
      <c r="AA48" s="33"/>
      <c r="AB48" s="50">
        <f t="shared" si="9"/>
        <v>35</v>
      </c>
      <c r="AC48" s="48">
        <f t="shared" si="4"/>
        <v>0.9321038974439505</v>
      </c>
      <c r="AE48" s="48">
        <f t="shared" si="10"/>
        <v>0.99788267005059705</v>
      </c>
      <c r="AF48" s="48">
        <f t="shared" si="13"/>
        <v>0.93210389744395084</v>
      </c>
      <c r="AH48" s="48">
        <f t="shared" si="14"/>
        <v>0</v>
      </c>
    </row>
    <row r="49" spans="4:34" ht="13.9" customHeight="1">
      <c r="D49" s="8"/>
      <c r="E49" s="9"/>
      <c r="F49" s="18"/>
      <c r="G49" s="18"/>
      <c r="H49" s="18"/>
      <c r="J49" s="40"/>
      <c r="K49" s="40"/>
      <c r="L49" s="40"/>
      <c r="M49" s="38"/>
      <c r="O49" s="12">
        <f t="shared" si="5"/>
        <v>3</v>
      </c>
      <c r="P49" s="13">
        <v>36</v>
      </c>
      <c r="Q49" s="21">
        <v>2.4442472652052682E-2</v>
      </c>
      <c r="R49" s="18">
        <f t="shared" si="6"/>
        <v>2.6217431061644092E-2</v>
      </c>
      <c r="S49" s="21">
        <v>2.4442472652046687E-2</v>
      </c>
      <c r="T49" s="18">
        <f t="shared" si="7"/>
        <v>2.6222356618356146E-2</v>
      </c>
      <c r="U49" s="23">
        <v>2.8752472652043837E-2</v>
      </c>
      <c r="V49" s="23">
        <f t="shared" si="8"/>
        <v>3.0530909843215159E-2</v>
      </c>
      <c r="W49" s="22">
        <f t="shared" si="15"/>
        <v>2.4873522142434545E-3</v>
      </c>
      <c r="X49" s="23">
        <v>2.7892472652060185E-2</v>
      </c>
      <c r="Y49" s="23">
        <f t="shared" si="11"/>
        <v>2.9671201528058688E-2</v>
      </c>
      <c r="Z49" s="22">
        <f t="shared" si="12"/>
        <v>2.4176142399430223E-3</v>
      </c>
      <c r="AA49" s="33"/>
      <c r="AB49" s="50">
        <f t="shared" si="9"/>
        <v>36</v>
      </c>
      <c r="AC49" s="48">
        <f t="shared" si="4"/>
        <v>0.93011633760276036</v>
      </c>
      <c r="AE49" s="48">
        <f t="shared" si="10"/>
        <v>0.99786766277167127</v>
      </c>
      <c r="AF49" s="48">
        <f t="shared" si="13"/>
        <v>0.9301163376027608</v>
      </c>
      <c r="AH49" s="48">
        <f t="shared" si="14"/>
        <v>0</v>
      </c>
    </row>
    <row r="50" spans="4:34" ht="13.9" customHeight="1">
      <c r="D50" s="8"/>
      <c r="E50" s="9"/>
      <c r="F50" s="18"/>
      <c r="G50" s="18"/>
      <c r="H50" s="18"/>
      <c r="J50" s="40"/>
      <c r="K50" s="40"/>
      <c r="L50" s="40"/>
      <c r="M50" s="38"/>
      <c r="O50" s="12">
        <f t="shared" si="5"/>
        <v>3.0833333333333335</v>
      </c>
      <c r="P50" s="13">
        <v>37</v>
      </c>
      <c r="Q50" s="21">
        <v>2.4490404111938702E-2</v>
      </c>
      <c r="R50" s="18">
        <f t="shared" si="6"/>
        <v>2.6494963383442149E-2</v>
      </c>
      <c r="S50" s="21">
        <v>2.4490537010743108E-2</v>
      </c>
      <c r="T50" s="18">
        <f t="shared" si="7"/>
        <v>2.6499142910247686E-2</v>
      </c>
      <c r="U50" s="23">
        <v>2.8800498144352371E-2</v>
      </c>
      <c r="V50" s="23">
        <f t="shared" si="8"/>
        <v>3.0807846196951871E-2</v>
      </c>
      <c r="W50" s="22">
        <f t="shared" si="15"/>
        <v>2.5093194095762161E-3</v>
      </c>
      <c r="X50" s="23">
        <v>2.7940505980748709E-2</v>
      </c>
      <c r="Y50" s="23">
        <f t="shared" si="11"/>
        <v>2.9948108741653989E-2</v>
      </c>
      <c r="Z50" s="22">
        <f t="shared" si="12"/>
        <v>2.4395984444185448E-3</v>
      </c>
      <c r="AA50" s="33"/>
      <c r="AB50" s="50">
        <f t="shared" si="9"/>
        <v>37</v>
      </c>
      <c r="AC50" s="48">
        <f t="shared" si="4"/>
        <v>0.92811257565588945</v>
      </c>
      <c r="AE50" s="48">
        <f t="shared" si="10"/>
        <v>0.99784568675351371</v>
      </c>
      <c r="AF50" s="48">
        <f t="shared" si="13"/>
        <v>0.92811257565588989</v>
      </c>
      <c r="AH50" s="48">
        <f t="shared" si="14"/>
        <v>0</v>
      </c>
    </row>
    <row r="51" spans="4:34" ht="13.9" customHeight="1">
      <c r="D51" s="8"/>
      <c r="E51" s="9"/>
      <c r="F51" s="18"/>
      <c r="G51" s="18"/>
      <c r="H51" s="18"/>
      <c r="J51" s="40"/>
      <c r="K51" s="40"/>
      <c r="L51" s="40"/>
      <c r="M51" s="38"/>
      <c r="O51" s="12">
        <f t="shared" si="5"/>
        <v>3.1666666666666665</v>
      </c>
      <c r="P51" s="13">
        <v>38</v>
      </c>
      <c r="Q51" s="21">
        <v>2.4543105486493522E-2</v>
      </c>
      <c r="R51" s="18">
        <f t="shared" si="6"/>
        <v>2.67589523475944E-2</v>
      </c>
      <c r="S51" s="21">
        <v>2.4543344672822265E-2</v>
      </c>
      <c r="T51" s="18">
        <f t="shared" si="7"/>
        <v>2.6762189809294457E-2</v>
      </c>
      <c r="U51" s="23">
        <v>2.8853272978801581E-2</v>
      </c>
      <c r="V51" s="23">
        <f t="shared" si="8"/>
        <v>3.1071120745422842E-2</v>
      </c>
      <c r="W51" s="22">
        <f t="shared" si="15"/>
        <v>2.5317671501241534E-3</v>
      </c>
      <c r="X51" s="23">
        <v>2.7993287463454308E-2</v>
      </c>
      <c r="Y51" s="23">
        <f t="shared" si="11"/>
        <v>3.0211337981745245E-2</v>
      </c>
      <c r="Z51" s="22">
        <f t="shared" si="12"/>
        <v>2.4620609990519959E-3</v>
      </c>
      <c r="AA51" s="33"/>
      <c r="AB51" s="50">
        <f t="shared" si="9"/>
        <v>38</v>
      </c>
      <c r="AC51" s="48">
        <f t="shared" si="4"/>
        <v>0.92609226183750482</v>
      </c>
      <c r="AE51" s="48">
        <f t="shared" si="10"/>
        <v>0.99782320176304384</v>
      </c>
      <c r="AF51" s="48">
        <f t="shared" si="13"/>
        <v>0.92609226183750526</v>
      </c>
      <c r="AH51" s="48">
        <f t="shared" si="14"/>
        <v>0</v>
      </c>
    </row>
    <row r="52" spans="4:34" ht="13.9" customHeight="1">
      <c r="D52" s="8"/>
      <c r="E52" s="9"/>
      <c r="F52" s="18"/>
      <c r="G52" s="18"/>
      <c r="H52" s="18"/>
      <c r="J52" s="40"/>
      <c r="K52" s="40"/>
      <c r="L52" s="40"/>
      <c r="M52" s="38"/>
      <c r="O52" s="12">
        <f t="shared" si="5"/>
        <v>3.25</v>
      </c>
      <c r="P52" s="13">
        <v>39</v>
      </c>
      <c r="Q52" s="21">
        <v>2.4599862292658647E-2</v>
      </c>
      <c r="R52" s="18">
        <f t="shared" si="6"/>
        <v>2.7009422106369696E-2</v>
      </c>
      <c r="S52" s="21">
        <v>2.4600178196085398E-2</v>
      </c>
      <c r="T52" s="18">
        <f t="shared" si="7"/>
        <v>2.7011602883177277E-2</v>
      </c>
      <c r="U52" s="23">
        <v>2.8910081232834894E-2</v>
      </c>
      <c r="V52" s="23">
        <f t="shared" si="8"/>
        <v>3.1320818819659424E-2</v>
      </c>
      <c r="W52" s="22">
        <f t="shared" si="15"/>
        <v>2.5531023749758575E-3</v>
      </c>
      <c r="X52" s="23">
        <v>2.805010085552273E-2</v>
      </c>
      <c r="Y52" s="23">
        <f t="shared" si="11"/>
        <v>3.0460978744960343E-2</v>
      </c>
      <c r="Z52" s="22">
        <f t="shared" si="12"/>
        <v>2.4834088723986181E-3</v>
      </c>
      <c r="AA52" s="33"/>
      <c r="AB52" s="50">
        <f t="shared" si="9"/>
        <v>39</v>
      </c>
      <c r="AC52" s="48">
        <f t="shared" si="4"/>
        <v>0.92405654447262797</v>
      </c>
      <c r="AE52" s="48">
        <f t="shared" si="10"/>
        <v>0.99780182013308505</v>
      </c>
      <c r="AF52" s="48">
        <f t="shared" si="13"/>
        <v>0.92405654447262831</v>
      </c>
      <c r="AH52" s="48">
        <f t="shared" si="14"/>
        <v>0</v>
      </c>
    </row>
    <row r="53" spans="4:34" ht="13.9" customHeight="1">
      <c r="D53" s="8"/>
      <c r="E53" s="9"/>
      <c r="F53" s="18"/>
      <c r="G53" s="18"/>
      <c r="H53" s="18"/>
      <c r="J53" s="40"/>
      <c r="K53" s="40"/>
      <c r="L53" s="40"/>
      <c r="M53" s="38"/>
      <c r="O53" s="12">
        <f t="shared" si="5"/>
        <v>3.3333333333333335</v>
      </c>
      <c r="P53" s="13">
        <v>40</v>
      </c>
      <c r="Q53" s="21">
        <v>2.4660032333275739E-2</v>
      </c>
      <c r="R53" s="18">
        <f t="shared" si="6"/>
        <v>2.7246393600055763E-2</v>
      </c>
      <c r="S53" s="21">
        <v>2.4660394751864878E-2</v>
      </c>
      <c r="T53" s="18">
        <f t="shared" si="7"/>
        <v>2.7247483547088613E-2</v>
      </c>
      <c r="U53" s="23">
        <v>2.8970280939102588E-2</v>
      </c>
      <c r="V53" s="23">
        <f t="shared" si="8"/>
        <v>3.1557021897683724E-2</v>
      </c>
      <c r="W53" s="22">
        <f t="shared" si="15"/>
        <v>2.5733327768004965E-3</v>
      </c>
      <c r="X53" s="23">
        <v>2.811030400394654E-2</v>
      </c>
      <c r="Y53" s="23">
        <f t="shared" si="11"/>
        <v>3.0697116613597863E-2</v>
      </c>
      <c r="Z53" s="22">
        <f t="shared" si="12"/>
        <v>2.5036501021664659E-3</v>
      </c>
      <c r="AA53" s="33"/>
      <c r="AB53" s="50">
        <f t="shared" si="9"/>
        <v>40</v>
      </c>
      <c r="AC53" s="48">
        <f t="shared" si="4"/>
        <v>0.92200656105611112</v>
      </c>
      <c r="AE53" s="48">
        <f t="shared" si="10"/>
        <v>0.99778153898830202</v>
      </c>
      <c r="AF53" s="48">
        <f t="shared" si="13"/>
        <v>0.92200656105611145</v>
      </c>
      <c r="AH53" s="48">
        <f t="shared" si="14"/>
        <v>0</v>
      </c>
    </row>
    <row r="54" spans="4:34" ht="13.9" customHeight="1">
      <c r="D54" s="8"/>
      <c r="E54" s="9"/>
      <c r="F54" s="18"/>
      <c r="G54" s="18"/>
      <c r="H54" s="18"/>
      <c r="J54" s="40"/>
      <c r="K54" s="40"/>
      <c r="L54" s="40"/>
      <c r="M54" s="38"/>
      <c r="O54" s="12">
        <f t="shared" si="5"/>
        <v>3.4166666666666665</v>
      </c>
      <c r="P54" s="13">
        <v>41</v>
      </c>
      <c r="Q54" s="21">
        <v>2.4723036772906104E-2</v>
      </c>
      <c r="R54" s="18">
        <f t="shared" si="6"/>
        <v>2.7469884707851389E-2</v>
      </c>
      <c r="S54" s="21">
        <v>2.4723416892524552E-2</v>
      </c>
      <c r="T54" s="18">
        <f t="shared" si="7"/>
        <v>2.7469929244023694E-2</v>
      </c>
      <c r="U54" s="23">
        <v>2.9033294941134491E-2</v>
      </c>
      <c r="V54" s="23">
        <f t="shared" si="8"/>
        <v>3.1779807775015323E-2</v>
      </c>
      <c r="W54" s="22">
        <f t="shared" si="15"/>
        <v>2.5924656893370202E-3</v>
      </c>
      <c r="X54" s="23">
        <v>2.8173319684783982E-2</v>
      </c>
      <c r="Y54" s="23">
        <f t="shared" si="11"/>
        <v>3.0919833428097787E-2</v>
      </c>
      <c r="Z54" s="22">
        <f t="shared" si="12"/>
        <v>2.5227923614707937E-3</v>
      </c>
      <c r="AA54" s="33"/>
      <c r="AB54" s="50">
        <f t="shared" si="9"/>
        <v>41</v>
      </c>
      <c r="AC54" s="48">
        <f t="shared" si="4"/>
        <v>0.919943438388518</v>
      </c>
      <c r="AE54" s="48">
        <f t="shared" si="10"/>
        <v>0.99776235576324956</v>
      </c>
      <c r="AF54" s="48">
        <f t="shared" si="13"/>
        <v>0.91994343838851811</v>
      </c>
      <c r="AH54" s="48">
        <f t="shared" si="14"/>
        <v>0</v>
      </c>
    </row>
    <row r="55" spans="4:34" ht="13.9" customHeight="1">
      <c r="D55" s="8"/>
      <c r="E55" s="9"/>
      <c r="F55" s="18"/>
      <c r="G55" s="18"/>
      <c r="H55" s="18"/>
      <c r="J55" s="40"/>
      <c r="K55" s="40"/>
      <c r="L55" s="40"/>
      <c r="M55" s="38"/>
      <c r="O55" s="12">
        <f t="shared" si="5"/>
        <v>3.5</v>
      </c>
      <c r="P55" s="13">
        <v>42</v>
      </c>
      <c r="Q55" s="21">
        <v>2.4788352495702659E-2</v>
      </c>
      <c r="R55" s="18">
        <f t="shared" si="6"/>
        <v>2.7679939734740699E-2</v>
      </c>
      <c r="S55" s="21">
        <v>2.4788724646122251E-2</v>
      </c>
      <c r="T55" s="18">
        <f t="shared" si="7"/>
        <v>2.7679033620297222E-2</v>
      </c>
      <c r="U55" s="23">
        <v>2.90986030632292E-2</v>
      </c>
      <c r="V55" s="23">
        <f t="shared" si="8"/>
        <v>3.1989250731053076E-2</v>
      </c>
      <c r="W55" s="22">
        <f t="shared" si="15"/>
        <v>2.6105081024421217E-3</v>
      </c>
      <c r="X55" s="23">
        <v>2.8238627757471546E-2</v>
      </c>
      <c r="Y55" s="23">
        <f t="shared" si="11"/>
        <v>3.1129207455245611E-2</v>
      </c>
      <c r="Z55" s="22">
        <f t="shared" si="12"/>
        <v>2.5408429740998439E-3</v>
      </c>
      <c r="AA55" s="33"/>
      <c r="AB55" s="50">
        <f t="shared" si="9"/>
        <v>42</v>
      </c>
      <c r="AC55" s="48">
        <f t="shared" si="4"/>
        <v>0.9178682927106423</v>
      </c>
      <c r="AE55" s="48">
        <f t="shared" si="10"/>
        <v>0.99774426818945416</v>
      </c>
      <c r="AF55" s="48">
        <f t="shared" si="13"/>
        <v>0.91786829271064219</v>
      </c>
      <c r="AH55" s="48">
        <f t="shared" si="14"/>
        <v>0</v>
      </c>
    </row>
    <row r="56" spans="4:34" ht="13.9" customHeight="1">
      <c r="D56" s="8"/>
      <c r="E56" s="9"/>
      <c r="F56" s="18"/>
      <c r="G56" s="18"/>
      <c r="H56" s="18"/>
      <c r="J56" s="40"/>
      <c r="K56" s="40"/>
      <c r="L56" s="40"/>
      <c r="M56" s="38"/>
      <c r="O56" s="12">
        <f t="shared" si="5"/>
        <v>3.5833333333333335</v>
      </c>
      <c r="P56" s="13">
        <v>43</v>
      </c>
      <c r="Q56" s="21">
        <v>2.4855506216407752E-2</v>
      </c>
      <c r="R56" s="18">
        <f t="shared" si="6"/>
        <v>2.7876688305361386E-2</v>
      </c>
      <c r="S56" s="21">
        <v>2.4855848721453633E-2</v>
      </c>
      <c r="T56" s="18">
        <f t="shared" si="7"/>
        <v>2.7874886697215162E-2</v>
      </c>
      <c r="U56" s="23">
        <v>2.9165735379917956E-2</v>
      </c>
      <c r="V56" s="23">
        <f t="shared" si="8"/>
        <v>3.2185421692358718E-2</v>
      </c>
      <c r="W56" s="22">
        <f t="shared" si="15"/>
        <v>2.6274666767189814E-3</v>
      </c>
      <c r="X56" s="23">
        <v>2.8305758420947402E-2</v>
      </c>
      <c r="Y56" s="23">
        <f t="shared" si="11"/>
        <v>3.1325313553003831E-2</v>
      </c>
      <c r="Z56" s="22">
        <f t="shared" si="12"/>
        <v>2.5578089293498696E-3</v>
      </c>
      <c r="AA56" s="33"/>
      <c r="AB56" s="50">
        <f t="shared" si="9"/>
        <v>43</v>
      </c>
      <c r="AC56" s="48">
        <f t="shared" si="4"/>
        <v>0.91578222765811079</v>
      </c>
      <c r="AE56" s="48">
        <f t="shared" si="10"/>
        <v>0.99772727190916388</v>
      </c>
      <c r="AF56" s="48">
        <f t="shared" si="13"/>
        <v>0.9157822276581109</v>
      </c>
      <c r="AH56" s="48">
        <f t="shared" si="14"/>
        <v>0</v>
      </c>
    </row>
    <row r="57" spans="4:34" ht="13.9" customHeight="1">
      <c r="D57" s="8"/>
      <c r="E57" s="9"/>
      <c r="F57" s="18"/>
      <c r="G57" s="18"/>
      <c r="H57" s="18"/>
      <c r="J57" s="40"/>
      <c r="K57" s="40"/>
      <c r="L57" s="40"/>
      <c r="M57" s="38"/>
      <c r="O57" s="12">
        <f t="shared" si="5"/>
        <v>3.6666666666666665</v>
      </c>
      <c r="P57" s="13">
        <v>44</v>
      </c>
      <c r="Q57" s="21">
        <v>2.492407073107894E-2</v>
      </c>
      <c r="R57" s="18">
        <f t="shared" si="6"/>
        <v>2.8060169529797285E-2</v>
      </c>
      <c r="S57" s="21">
        <v>2.492436464624137E-2</v>
      </c>
      <c r="T57" s="18">
        <f t="shared" si="7"/>
        <v>2.8057575038048954E-2</v>
      </c>
      <c r="U57" s="23">
        <v>2.9234266409515319E-2</v>
      </c>
      <c r="V57" s="23">
        <f t="shared" si="8"/>
        <v>3.2368388392198577E-2</v>
      </c>
      <c r="W57" s="22">
        <f t="shared" si="15"/>
        <v>2.6433477578187148E-3</v>
      </c>
      <c r="X57" s="23">
        <v>2.8374286395732806E-2</v>
      </c>
      <c r="Y57" s="23">
        <f t="shared" si="11"/>
        <v>3.1508223331763396E-2</v>
      </c>
      <c r="Z57" s="22">
        <f t="shared" si="12"/>
        <v>2.5736968965053286E-3</v>
      </c>
      <c r="AA57" s="33"/>
      <c r="AB57" s="50">
        <f t="shared" si="9"/>
        <v>44</v>
      </c>
      <c r="AC57" s="48">
        <f t="shared" si="4"/>
        <v>0.91368632789506354</v>
      </c>
      <c r="AE57" s="48">
        <f t="shared" si="10"/>
        <v>0.99771135571345704</v>
      </c>
      <c r="AF57" s="48">
        <f t="shared" si="13"/>
        <v>0.91368632789506354</v>
      </c>
      <c r="AH57" s="48">
        <f t="shared" si="14"/>
        <v>0</v>
      </c>
    </row>
    <row r="58" spans="4:34" ht="13.9" customHeight="1">
      <c r="D58" s="8"/>
      <c r="E58" s="9"/>
      <c r="F58" s="18"/>
      <c r="G58" s="18"/>
      <c r="H58" s="18"/>
      <c r="J58" s="40"/>
      <c r="K58" s="40"/>
      <c r="L58" s="40"/>
      <c r="M58" s="38"/>
      <c r="O58" s="12">
        <f t="shared" si="5"/>
        <v>3.75</v>
      </c>
      <c r="P58" s="13">
        <v>45</v>
      </c>
      <c r="Q58" s="21">
        <v>2.4993657773068279E-2</v>
      </c>
      <c r="R58" s="18">
        <f t="shared" si="6"/>
        <v>2.823039074367073E-2</v>
      </c>
      <c r="S58" s="21">
        <v>2.4993887692809524E-2</v>
      </c>
      <c r="T58" s="18">
        <f t="shared" si="7"/>
        <v>2.8227181911667731E-2</v>
      </c>
      <c r="U58" s="23">
        <v>2.9303810087536686E-2</v>
      </c>
      <c r="V58" s="23">
        <f t="shared" si="8"/>
        <v>3.2538215527502024E-2</v>
      </c>
      <c r="W58" s="22">
        <f t="shared" si="15"/>
        <v>2.6581573903625699E-3</v>
      </c>
      <c r="X58" s="23">
        <v>2.8443825887463525E-2</v>
      </c>
      <c r="Y58" s="23">
        <f t="shared" si="11"/>
        <v>3.1678005312334223E-2</v>
      </c>
      <c r="Z58" s="22">
        <f t="shared" si="12"/>
        <v>2.5885132389549259E-3</v>
      </c>
      <c r="AA58" s="33"/>
      <c r="AB58" s="50">
        <f t="shared" si="9"/>
        <v>45</v>
      </c>
      <c r="AC58" s="48">
        <f t="shared" si="4"/>
        <v>0.911581665846116</v>
      </c>
      <c r="AE58" s="48">
        <f t="shared" si="10"/>
        <v>0.99769651576838614</v>
      </c>
      <c r="AF58" s="48">
        <f t="shared" si="13"/>
        <v>0.91158166584611611</v>
      </c>
      <c r="AH58" s="48">
        <f t="shared" si="14"/>
        <v>0</v>
      </c>
    </row>
    <row r="59" spans="4:34" ht="13.9" customHeight="1">
      <c r="D59" s="8"/>
      <c r="E59" s="9"/>
      <c r="F59" s="18"/>
      <c r="G59" s="18"/>
      <c r="H59" s="18"/>
      <c r="J59" s="40"/>
      <c r="K59" s="40"/>
      <c r="L59" s="40"/>
      <c r="M59" s="38"/>
      <c r="O59" s="12">
        <f t="shared" si="5"/>
        <v>3.8333333333333335</v>
      </c>
      <c r="P59" s="13">
        <v>46</v>
      </c>
      <c r="Q59" s="21">
        <v>2.5063913076629918E-2</v>
      </c>
      <c r="R59" s="18">
        <f t="shared" si="6"/>
        <v>2.838735697732786E-2</v>
      </c>
      <c r="S59" s="21">
        <v>2.5064068471013279E-2</v>
      </c>
      <c r="T59" s="18">
        <f t="shared" si="7"/>
        <v>2.8383787452113562E-2</v>
      </c>
      <c r="U59" s="23">
        <v>2.9374015400937203E-2</v>
      </c>
      <c r="V59" s="23">
        <f t="shared" si="8"/>
        <v>3.2694964912640012E-2</v>
      </c>
      <c r="W59" s="22">
        <f t="shared" si="15"/>
        <v>2.6719013315867901E-3</v>
      </c>
      <c r="X59" s="23">
        <v>2.8514026212565158E-2</v>
      </c>
      <c r="Y59" s="23">
        <f t="shared" si="11"/>
        <v>3.1834725080972071E-2</v>
      </c>
      <c r="Z59" s="22">
        <f t="shared" si="12"/>
        <v>2.602264027970147E-3</v>
      </c>
      <c r="AA59" s="33"/>
      <c r="AB59" s="50">
        <f t="shared" si="9"/>
        <v>46</v>
      </c>
      <c r="AC59" s="48">
        <f t="shared" si="4"/>
        <v>0.909469304012399</v>
      </c>
      <c r="AE59" s="48">
        <f t="shared" si="10"/>
        <v>0.99768275085726288</v>
      </c>
      <c r="AF59" s="48">
        <f t="shared" si="13"/>
        <v>0.90946930401239934</v>
      </c>
      <c r="AH59" s="48">
        <f t="shared" si="14"/>
        <v>0</v>
      </c>
    </row>
    <row r="60" spans="4:34" ht="13.9" customHeight="1">
      <c r="D60" s="8"/>
      <c r="E60" s="9"/>
      <c r="F60" s="18"/>
      <c r="G60" s="18"/>
      <c r="H60" s="18"/>
      <c r="J60" s="40"/>
      <c r="K60" s="40"/>
      <c r="L60" s="40"/>
      <c r="M60" s="38"/>
      <c r="O60" s="12">
        <f t="shared" si="5"/>
        <v>3.9166666666666665</v>
      </c>
      <c r="P60" s="13">
        <v>47</v>
      </c>
      <c r="Q60" s="21">
        <v>2.5134512697359224E-2</v>
      </c>
      <c r="R60" s="18">
        <f t="shared" si="6"/>
        <v>2.8531071097624539E-2</v>
      </c>
      <c r="S60" s="21">
        <v>2.5134589088694481E-2</v>
      </c>
      <c r="T60" s="18">
        <f t="shared" si="7"/>
        <v>2.8527468815052304E-2</v>
      </c>
      <c r="U60" s="23">
        <v>2.9444562584425293E-2</v>
      </c>
      <c r="V60" s="23">
        <f t="shared" si="8"/>
        <v>3.2838695630481141E-2</v>
      </c>
      <c r="W60" s="22">
        <f t="shared" si="15"/>
        <v>2.6845850646637359E-3</v>
      </c>
      <c r="X60" s="23">
        <v>2.8584567987136156E-2</v>
      </c>
      <c r="Y60" s="23">
        <f t="shared" si="11"/>
        <v>3.1978445441604553E-2</v>
      </c>
      <c r="Z60" s="22">
        <f t="shared" si="12"/>
        <v>2.6149550561789248E-3</v>
      </c>
      <c r="AA60" s="33"/>
      <c r="AB60" s="50">
        <f t="shared" si="9"/>
        <v>47</v>
      </c>
      <c r="AC60" s="48">
        <f t="shared" si="4"/>
        <v>0.9073502950982002</v>
      </c>
      <c r="AE60" s="48">
        <f t="shared" si="10"/>
        <v>0.99767005999559255</v>
      </c>
      <c r="AF60" s="48">
        <f t="shared" si="13"/>
        <v>0.9073502950982002</v>
      </c>
      <c r="AH60" s="48">
        <f t="shared" si="14"/>
        <v>0</v>
      </c>
    </row>
    <row r="61" spans="4:34" ht="13.9" customHeight="1">
      <c r="D61" s="8"/>
      <c r="E61" s="9"/>
      <c r="F61" s="18"/>
      <c r="G61" s="18"/>
      <c r="H61" s="18"/>
      <c r="J61" s="40"/>
      <c r="K61" s="40"/>
      <c r="L61" s="40"/>
      <c r="M61" s="38"/>
      <c r="O61" s="12">
        <f t="shared" si="5"/>
        <v>4</v>
      </c>
      <c r="P61" s="13">
        <v>48</v>
      </c>
      <c r="Q61" s="21">
        <v>2.5205159796624521E-2</v>
      </c>
      <c r="R61" s="18">
        <f t="shared" si="6"/>
        <v>2.8664519072631567E-2</v>
      </c>
      <c r="S61" s="21">
        <v>2.5205159796618748E-2</v>
      </c>
      <c r="T61" s="18">
        <f t="shared" si="7"/>
        <v>2.8661227010196466E-2</v>
      </c>
      <c r="U61" s="23">
        <v>2.9515159796615897E-2</v>
      </c>
      <c r="V61" s="23">
        <f t="shared" si="8"/>
        <v>3.2972402738584261E-2</v>
      </c>
      <c r="W61" s="22">
        <f t="shared" si="15"/>
        <v>2.6962138117414547E-3</v>
      </c>
      <c r="X61" s="23">
        <v>2.865515979663158E-2</v>
      </c>
      <c r="Y61" s="23">
        <f t="shared" si="11"/>
        <v>3.2112162641057873E-2</v>
      </c>
      <c r="Z61" s="22">
        <f t="shared" si="12"/>
        <v>2.6265918507482056E-3</v>
      </c>
      <c r="AA61" s="33"/>
      <c r="AB61" s="50">
        <f t="shared" si="9"/>
        <v>48</v>
      </c>
      <c r="AC61" s="48">
        <f t="shared" si="4"/>
        <v>0.90522568213637344</v>
      </c>
      <c r="AE61" s="48">
        <f t="shared" si="10"/>
        <v>0.9976584424193119</v>
      </c>
      <c r="AF61" s="48">
        <f t="shared" si="13"/>
        <v>0.90522568213637344</v>
      </c>
      <c r="AH61" s="48">
        <f t="shared" si="14"/>
        <v>0</v>
      </c>
    </row>
    <row r="62" spans="4:34" ht="13.9" customHeight="1">
      <c r="D62" s="8"/>
      <c r="E62" s="9"/>
      <c r="F62" s="18"/>
      <c r="G62" s="18"/>
      <c r="H62" s="18"/>
      <c r="J62" s="40"/>
      <c r="K62" s="40"/>
      <c r="L62" s="40"/>
      <c r="M62" s="38"/>
      <c r="O62" s="12">
        <f t="shared" si="5"/>
        <v>4.083333333333333</v>
      </c>
      <c r="P62" s="13">
        <v>49</v>
      </c>
      <c r="Q62" s="21">
        <v>2.5275642543807431E-2</v>
      </c>
      <c r="R62" s="18">
        <f t="shared" si="6"/>
        <v>2.8799647663840799E-2</v>
      </c>
      <c r="S62" s="21">
        <v>2.5275575580086196E-2</v>
      </c>
      <c r="T62" s="18">
        <f t="shared" si="7"/>
        <v>2.8796816604181874E-2</v>
      </c>
      <c r="U62" s="23">
        <v>2.9585599981274413E-2</v>
      </c>
      <c r="V62" s="23">
        <f t="shared" si="8"/>
        <v>3.3107878753185327E-2</v>
      </c>
      <c r="W62" s="22">
        <f t="shared" si="15"/>
        <v>2.7070302520300071E-3</v>
      </c>
      <c r="X62" s="23">
        <v>2.8725595000824056E-2</v>
      </c>
      <c r="Y62" s="23">
        <f t="shared" si="11"/>
        <v>3.2247661287950757E-2</v>
      </c>
      <c r="Z62" s="22">
        <f t="shared" si="12"/>
        <v>2.6374173722796268E-3</v>
      </c>
      <c r="AA62" s="33"/>
      <c r="AB62" s="50">
        <f t="shared" si="9"/>
        <v>49</v>
      </c>
      <c r="AC62" s="48">
        <f t="shared" si="4"/>
        <v>0.90309628021788479</v>
      </c>
      <c r="AE62" s="48">
        <f t="shared" si="10"/>
        <v>0.99764765631321528</v>
      </c>
      <c r="AF62" s="48">
        <f t="shared" si="13"/>
        <v>0.90309628021788457</v>
      </c>
      <c r="AH62" s="48">
        <f t="shared" si="14"/>
        <v>0</v>
      </c>
    </row>
    <row r="63" spans="4:34" ht="13.9" customHeight="1">
      <c r="D63" s="8"/>
      <c r="E63" s="9"/>
      <c r="F63" s="18"/>
      <c r="G63" s="18"/>
      <c r="H63" s="18"/>
      <c r="J63" s="40"/>
      <c r="K63" s="40"/>
      <c r="L63" s="40"/>
      <c r="M63" s="38"/>
      <c r="O63" s="12">
        <f t="shared" si="5"/>
        <v>4.166666666666667</v>
      </c>
      <c r="P63" s="13">
        <v>50</v>
      </c>
      <c r="Q63" s="21">
        <v>2.5346004212670969E-2</v>
      </c>
      <c r="R63" s="18">
        <f t="shared" si="6"/>
        <v>2.893945960723987E-2</v>
      </c>
      <c r="S63" s="21">
        <v>2.5345882152530086E-2</v>
      </c>
      <c r="T63" s="18">
        <f t="shared" si="7"/>
        <v>2.8937168735803542E-2</v>
      </c>
      <c r="U63" s="23">
        <v>2.9655927733228449E-2</v>
      </c>
      <c r="V63" s="23">
        <f t="shared" si="8"/>
        <v>3.3248071265884249E-2</v>
      </c>
      <c r="W63" s="22">
        <f t="shared" si="15"/>
        <v>2.7179884818053779E-3</v>
      </c>
      <c r="X63" s="23">
        <v>2.8795918419016076E-2</v>
      </c>
      <c r="Y63" s="23">
        <f t="shared" si="11"/>
        <v>3.238788568687001E-2</v>
      </c>
      <c r="Z63" s="22">
        <f t="shared" si="12"/>
        <v>2.6483858054553444E-3</v>
      </c>
      <c r="AA63" s="33"/>
      <c r="AB63" s="50">
        <f t="shared" si="9"/>
        <v>50</v>
      </c>
      <c r="AC63" s="48">
        <f t="shared" si="4"/>
        <v>0.90096202521233448</v>
      </c>
      <c r="AE63" s="48">
        <f t="shared" si="10"/>
        <v>0.99763673591365543</v>
      </c>
      <c r="AF63" s="48">
        <f t="shared" si="13"/>
        <v>0.90096202521233426</v>
      </c>
      <c r="AH63" s="48">
        <f t="shared" si="14"/>
        <v>0</v>
      </c>
    </row>
    <row r="64" spans="4:34" ht="13.9" customHeight="1">
      <c r="D64" s="8"/>
      <c r="E64" s="9"/>
      <c r="F64" s="18"/>
      <c r="G64" s="18"/>
      <c r="H64" s="18"/>
      <c r="J64" s="40"/>
      <c r="K64" s="40"/>
      <c r="L64" s="40"/>
      <c r="M64" s="38"/>
      <c r="O64" s="12">
        <f t="shared" si="5"/>
        <v>4.25</v>
      </c>
      <c r="P64" s="13">
        <v>51</v>
      </c>
      <c r="Q64" s="21">
        <v>2.5416343354766502E-2</v>
      </c>
      <c r="R64" s="18">
        <f t="shared" si="6"/>
        <v>2.9083974845903748E-2</v>
      </c>
      <c r="S64" s="21">
        <v>2.5416178914464904E-2</v>
      </c>
      <c r="T64" s="18">
        <f t="shared" si="7"/>
        <v>2.9082282654578018E-2</v>
      </c>
      <c r="U64" s="23">
        <v>2.9726241744580051E-2</v>
      </c>
      <c r="V64" s="23">
        <f t="shared" si="8"/>
        <v>3.3392986026458571E-2</v>
      </c>
      <c r="W64" s="22">
        <f t="shared" si="15"/>
        <v>2.7293268275634386E-3</v>
      </c>
      <c r="X64" s="23">
        <v>2.8866228885756628E-2</v>
      </c>
      <c r="Y64" s="23">
        <f t="shared" si="11"/>
        <v>3.253284039742832E-2</v>
      </c>
      <c r="Z64" s="22">
        <f t="shared" si="12"/>
        <v>2.6597353923427658E-3</v>
      </c>
      <c r="AA64" s="33"/>
      <c r="AB64" s="50">
        <f t="shared" si="9"/>
        <v>51</v>
      </c>
      <c r="AC64" s="48">
        <f t="shared" si="4"/>
        <v>0.89882263562302411</v>
      </c>
      <c r="AE64" s="48">
        <f t="shared" si="10"/>
        <v>0.99762543866506936</v>
      </c>
      <c r="AF64" s="48">
        <f t="shared" si="13"/>
        <v>0.89882263562302422</v>
      </c>
      <c r="AH64" s="48">
        <f t="shared" si="14"/>
        <v>0</v>
      </c>
    </row>
    <row r="65" spans="4:34" ht="13.9" customHeight="1">
      <c r="D65" s="8"/>
      <c r="E65" s="9"/>
      <c r="F65" s="18"/>
      <c r="G65" s="18"/>
      <c r="H65" s="18"/>
      <c r="J65" s="40"/>
      <c r="K65" s="40"/>
      <c r="L65" s="40"/>
      <c r="M65" s="38"/>
      <c r="O65" s="12">
        <f t="shared" si="5"/>
        <v>4.333333333333333</v>
      </c>
      <c r="P65" s="13">
        <v>52</v>
      </c>
      <c r="Q65" s="21">
        <v>2.5486751311013744E-2</v>
      </c>
      <c r="R65" s="18">
        <f t="shared" si="6"/>
        <v>2.9233214267906371E-2</v>
      </c>
      <c r="S65" s="21">
        <v>2.5486557593542791E-2</v>
      </c>
      <c r="T65" s="18">
        <f t="shared" si="7"/>
        <v>2.9232158834958888E-2</v>
      </c>
      <c r="U65" s="23">
        <v>2.9796633213849955E-2</v>
      </c>
      <c r="V65" s="23">
        <f t="shared" si="8"/>
        <v>3.3542629912617805E-2</v>
      </c>
      <c r="W65" s="22">
        <f t="shared" si="15"/>
        <v>2.741045612267623E-3</v>
      </c>
      <c r="X65" s="23">
        <v>2.8936617708203993E-2</v>
      </c>
      <c r="Y65" s="23">
        <f t="shared" si="11"/>
        <v>3.2682531126565273E-2</v>
      </c>
      <c r="Z65" s="22">
        <f t="shared" si="12"/>
        <v>2.6714663594094024E-3</v>
      </c>
      <c r="AA65" s="33"/>
      <c r="AB65" s="50">
        <f t="shared" si="9"/>
        <v>52</v>
      </c>
      <c r="AC65" s="48">
        <f t="shared" si="4"/>
        <v>0.89667783190403128</v>
      </c>
      <c r="AE65" s="48">
        <f t="shared" si="10"/>
        <v>0.99761376312301431</v>
      </c>
      <c r="AF65" s="48">
        <f t="shared" si="13"/>
        <v>0.89667783190403105</v>
      </c>
      <c r="AH65" s="48">
        <f t="shared" si="14"/>
        <v>0</v>
      </c>
    </row>
    <row r="66" spans="4:34" ht="13.9" customHeight="1">
      <c r="D66" s="8"/>
      <c r="E66" s="9"/>
      <c r="F66" s="18"/>
      <c r="G66" s="18"/>
      <c r="H66" s="18"/>
      <c r="J66" s="40"/>
      <c r="K66" s="40"/>
      <c r="L66" s="40"/>
      <c r="M66" s="38"/>
      <c r="O66" s="12">
        <f t="shared" si="5"/>
        <v>4.416666666666667</v>
      </c>
      <c r="P66" s="13">
        <v>53</v>
      </c>
      <c r="Q66" s="21">
        <v>2.5557312908451424E-2</v>
      </c>
      <c r="R66" s="18">
        <f t="shared" si="6"/>
        <v>2.9387199730014801E-2</v>
      </c>
      <c r="S66" s="21">
        <v>2.5557102990235503E-2</v>
      </c>
      <c r="T66" s="18">
        <f t="shared" si="7"/>
        <v>2.9386798992464547E-2</v>
      </c>
      <c r="U66" s="23">
        <v>2.986718657291898E-2</v>
      </c>
      <c r="V66" s="23">
        <f t="shared" si="8"/>
        <v>3.3697010948935846E-2</v>
      </c>
      <c r="W66" s="22">
        <f t="shared" si="15"/>
        <v>2.7531452451168281E-3</v>
      </c>
      <c r="X66" s="23">
        <v>2.9007169396621846E-2</v>
      </c>
      <c r="Y66" s="23">
        <f t="shared" si="11"/>
        <v>3.2836964746949082E-2</v>
      </c>
      <c r="Z66" s="22">
        <f t="shared" si="12"/>
        <v>2.6835790210226751E-3</v>
      </c>
      <c r="AA66" s="33"/>
      <c r="AB66" s="50">
        <f t="shared" si="9"/>
        <v>53</v>
      </c>
      <c r="AC66" s="48">
        <f t="shared" si="4"/>
        <v>0.8945273364298596</v>
      </c>
      <c r="AE66" s="48">
        <f t="shared" si="10"/>
        <v>0.99760170777323076</v>
      </c>
      <c r="AF66" s="48">
        <f t="shared" si="13"/>
        <v>0.89452733642985938</v>
      </c>
      <c r="AH66" s="48">
        <f t="shared" si="14"/>
        <v>0</v>
      </c>
    </row>
    <row r="67" spans="4:34" ht="13.9" customHeight="1">
      <c r="D67" s="8"/>
      <c r="E67" s="9"/>
      <c r="F67" s="18"/>
      <c r="G67" s="18"/>
      <c r="H67" s="18"/>
      <c r="J67" s="40"/>
      <c r="K67" s="40"/>
      <c r="L67" s="40"/>
      <c r="M67" s="38"/>
      <c r="O67" s="12">
        <f t="shared" si="5"/>
        <v>4.5</v>
      </c>
      <c r="P67" s="13">
        <v>54</v>
      </c>
      <c r="Q67" s="21">
        <v>2.5628107080057472E-2</v>
      </c>
      <c r="R67" s="18">
        <f t="shared" si="6"/>
        <v>2.9545946226951836E-2</v>
      </c>
      <c r="S67" s="21">
        <v>2.5627893641027688E-2</v>
      </c>
      <c r="T67" s="18">
        <f t="shared" si="7"/>
        <v>2.9546206100583117E-2</v>
      </c>
      <c r="U67" s="23">
        <v>2.9937980133607933E-2</v>
      </c>
      <c r="V67" s="23">
        <f t="shared" si="8"/>
        <v>3.3856138325573104E-2</v>
      </c>
      <c r="W67" s="22">
        <f t="shared" si="15"/>
        <v>2.7656262230009165E-3</v>
      </c>
      <c r="X67" s="23">
        <v>2.9077962314109529E-2</v>
      </c>
      <c r="Y67" s="23">
        <f t="shared" si="11"/>
        <v>3.2996149315370982E-2</v>
      </c>
      <c r="Z67" s="22">
        <f t="shared" si="12"/>
        <v>2.6960737808645607E-3</v>
      </c>
      <c r="AA67" s="33"/>
      <c r="AB67" s="50">
        <f t="shared" si="9"/>
        <v>54</v>
      </c>
      <c r="AC67" s="48">
        <f t="shared" si="4"/>
        <v>0.89237087346534605</v>
      </c>
      <c r="AE67" s="48">
        <f t="shared" si="10"/>
        <v>0.99758927102986028</v>
      </c>
      <c r="AF67" s="48">
        <f t="shared" si="13"/>
        <v>0.89237087346534605</v>
      </c>
      <c r="AH67" s="48">
        <f t="shared" si="14"/>
        <v>0</v>
      </c>
    </row>
    <row r="68" spans="4:34" ht="13.9" customHeight="1">
      <c r="D68" s="8"/>
      <c r="E68" s="9"/>
      <c r="F68" s="18"/>
      <c r="G68" s="18"/>
      <c r="H68" s="18"/>
      <c r="J68" s="40"/>
      <c r="K68" s="40"/>
      <c r="L68" s="40"/>
      <c r="M68" s="38"/>
      <c r="O68" s="12">
        <f t="shared" si="5"/>
        <v>4.583333333333333</v>
      </c>
      <c r="P68" s="13">
        <v>55</v>
      </c>
      <c r="Q68" s="21">
        <v>2.5699207275148961E-2</v>
      </c>
      <c r="R68" s="18">
        <f t="shared" si="6"/>
        <v>2.9709446181862775E-2</v>
      </c>
      <c r="S68" s="21">
        <v>2.5699002409620419E-2</v>
      </c>
      <c r="T68" s="18">
        <f t="shared" si="7"/>
        <v>2.971038440731899E-2</v>
      </c>
      <c r="U68" s="23">
        <v>3.0009086664109619E-2</v>
      </c>
      <c r="V68" s="23">
        <f t="shared" si="8"/>
        <v>3.4020022418083773E-2</v>
      </c>
      <c r="W68" s="22">
        <f t="shared" si="15"/>
        <v>2.778489131932016E-3</v>
      </c>
      <c r="X68" s="23">
        <v>2.9149069255836491E-2</v>
      </c>
      <c r="Y68" s="23">
        <f t="shared" si="11"/>
        <v>3.3160094092020032E-2</v>
      </c>
      <c r="Z68" s="22">
        <f t="shared" si="12"/>
        <v>2.7089511333420191E-3</v>
      </c>
      <c r="AA68" s="33"/>
      <c r="AB68" s="50">
        <f t="shared" si="9"/>
        <v>55</v>
      </c>
      <c r="AC68" s="48">
        <f t="shared" si="4"/>
        <v>0.89020816970180461</v>
      </c>
      <c r="AE68" s="48">
        <f t="shared" si="10"/>
        <v>0.99757645186788435</v>
      </c>
      <c r="AF68" s="48">
        <f t="shared" si="13"/>
        <v>0.89020816970180472</v>
      </c>
      <c r="AH68" s="48">
        <f t="shared" si="14"/>
        <v>0</v>
      </c>
    </row>
    <row r="69" spans="4:34" ht="13.9" customHeight="1">
      <c r="D69" s="8"/>
      <c r="E69" s="9"/>
      <c r="F69" s="18"/>
      <c r="G69" s="18"/>
      <c r="H69" s="18"/>
      <c r="J69" s="40"/>
      <c r="K69" s="40"/>
      <c r="L69" s="40"/>
      <c r="M69" s="38"/>
      <c r="O69" s="12">
        <f t="shared" si="5"/>
        <v>4.666666666666667</v>
      </c>
      <c r="P69" s="13">
        <v>56</v>
      </c>
      <c r="Q69" s="21">
        <v>2.5770681546439578E-2</v>
      </c>
      <c r="R69" s="18">
        <f t="shared" si="6"/>
        <v>2.9877716575432922E-2</v>
      </c>
      <c r="S69" s="21">
        <v>2.577049701513201E-2</v>
      </c>
      <c r="T69" s="18">
        <f t="shared" si="7"/>
        <v>2.9879339453168452E-2</v>
      </c>
      <c r="U69" s="23">
        <v>3.0080573904052832E-2</v>
      </c>
      <c r="V69" s="23">
        <f t="shared" si="8"/>
        <v>3.418867480698351E-2</v>
      </c>
      <c r="W69" s="22">
        <f t="shared" si="15"/>
        <v>2.791734648556643E-3</v>
      </c>
      <c r="X69" s="23">
        <v>2.922055796659917E-2</v>
      </c>
      <c r="Y69" s="23">
        <f t="shared" si="11"/>
        <v>3.3328809559671768E-2</v>
      </c>
      <c r="Z69" s="22">
        <f t="shared" si="12"/>
        <v>2.7222116650582606E-3</v>
      </c>
      <c r="AA69" s="33"/>
      <c r="AB69" s="50">
        <f t="shared" si="9"/>
        <v>56</v>
      </c>
      <c r="AC69" s="48">
        <f t="shared" si="4"/>
        <v>0.88803895591548832</v>
      </c>
      <c r="AE69" s="48">
        <f t="shared" si="10"/>
        <v>0.99756325109098565</v>
      </c>
      <c r="AF69" s="48">
        <f t="shared" si="13"/>
        <v>0.8880389559154882</v>
      </c>
      <c r="AH69" s="48">
        <f t="shared" si="14"/>
        <v>0</v>
      </c>
    </row>
    <row r="70" spans="4:34" ht="13.9" customHeight="1">
      <c r="D70" s="8"/>
      <c r="E70" s="9"/>
      <c r="F70" s="18"/>
      <c r="G70" s="18"/>
      <c r="H70" s="18"/>
      <c r="J70" s="40"/>
      <c r="K70" s="40"/>
      <c r="L70" s="40"/>
      <c r="M70" s="38"/>
      <c r="O70" s="12">
        <f t="shared" si="5"/>
        <v>4.75</v>
      </c>
      <c r="P70" s="13">
        <v>57</v>
      </c>
      <c r="Q70" s="21">
        <v>2.5842593451714357E-2</v>
      </c>
      <c r="R70" s="18">
        <f t="shared" si="6"/>
        <v>3.0050783294335526E-2</v>
      </c>
      <c r="S70" s="21">
        <v>2.5842440505047248E-2</v>
      </c>
      <c r="T70" s="18">
        <f t="shared" si="7"/>
        <v>3.0053078088676521E-2</v>
      </c>
      <c r="U70" s="23">
        <v>3.0152505025722309E-2</v>
      </c>
      <c r="V70" s="23">
        <f t="shared" si="8"/>
        <v>3.4362108298434446E-2</v>
      </c>
      <c r="W70" s="22">
        <f t="shared" si="15"/>
        <v>2.8053635416407374E-3</v>
      </c>
      <c r="X70" s="23">
        <v>2.9292491604265836E-2</v>
      </c>
      <c r="Y70" s="23">
        <f t="shared" si="11"/>
        <v>3.3502307444123858E-2</v>
      </c>
      <c r="Z70" s="22">
        <f t="shared" si="12"/>
        <v>2.7358560562724676E-3</v>
      </c>
      <c r="AA70" s="33"/>
      <c r="AB70" s="50">
        <f t="shared" si="9"/>
        <v>57</v>
      </c>
      <c r="AC70" s="48">
        <f t="shared" si="4"/>
        <v>0.88586296522348984</v>
      </c>
      <c r="AE70" s="48">
        <f t="shared" si="10"/>
        <v>0.99754966752584018</v>
      </c>
      <c r="AF70" s="48">
        <f t="shared" si="13"/>
        <v>0.88586296522348951</v>
      </c>
      <c r="AH70" s="48">
        <f t="shared" si="14"/>
        <v>0</v>
      </c>
    </row>
    <row r="71" spans="4:34" ht="13.9" customHeight="1">
      <c r="D71" s="8"/>
      <c r="E71" s="9"/>
      <c r="F71" s="18"/>
      <c r="G71" s="18"/>
      <c r="H71" s="18"/>
      <c r="J71" s="40"/>
      <c r="K71" s="40"/>
      <c r="L71" s="40"/>
      <c r="M71" s="38"/>
      <c r="O71" s="12">
        <f t="shared" si="5"/>
        <v>4.833333333333333</v>
      </c>
      <c r="P71" s="13">
        <v>58</v>
      </c>
      <c r="Q71" s="21">
        <v>2.5915002593326353E-2</v>
      </c>
      <c r="R71" s="18">
        <f t="shared" si="6"/>
        <v>3.0228673308254628E-2</v>
      </c>
      <c r="S71" s="21">
        <v>2.5914891679571728E-2</v>
      </c>
      <c r="T71" s="18">
        <f t="shared" si="7"/>
        <v>3.0231608493066719E-2</v>
      </c>
      <c r="U71" s="23">
        <v>3.0224939047946764E-2</v>
      </c>
      <c r="V71" s="23">
        <f t="shared" si="8"/>
        <v>3.4540336945075412E-2</v>
      </c>
      <c r="W71" s="22">
        <f t="shared" si="15"/>
        <v>2.8193766736399617E-3</v>
      </c>
      <c r="X71" s="23">
        <v>2.9364929155655917E-2</v>
      </c>
      <c r="Y71" s="23">
        <f t="shared" si="11"/>
        <v>3.3680600734175892E-2</v>
      </c>
      <c r="Z71" s="22">
        <f t="shared" si="12"/>
        <v>2.7498850824523302E-3</v>
      </c>
      <c r="AA71" s="33"/>
      <c r="AB71" s="50">
        <f t="shared" si="9"/>
        <v>58</v>
      </c>
      <c r="AC71" s="48">
        <f t="shared" si="4"/>
        <v>0.88367993248667598</v>
      </c>
      <c r="AE71" s="48">
        <f t="shared" si="10"/>
        <v>0.9975356992870078</v>
      </c>
      <c r="AF71" s="48">
        <f t="shared" si="13"/>
        <v>0.88367993248667587</v>
      </c>
      <c r="AH71" s="48">
        <f t="shared" si="14"/>
        <v>0</v>
      </c>
    </row>
    <row r="72" spans="4:34" ht="13.9" customHeight="1">
      <c r="D72" s="8"/>
      <c r="E72" s="9"/>
      <c r="F72" s="18"/>
      <c r="G72" s="18"/>
      <c r="H72" s="18"/>
      <c r="J72" s="40"/>
      <c r="K72" s="40"/>
      <c r="L72" s="40"/>
      <c r="M72" s="38"/>
      <c r="O72" s="12">
        <f t="shared" si="5"/>
        <v>4.916666666666667</v>
      </c>
      <c r="P72" s="13">
        <v>59</v>
      </c>
      <c r="Q72" s="21">
        <v>2.5987964970741739E-2</v>
      </c>
      <c r="R72" s="18">
        <f t="shared" si="6"/>
        <v>3.0411414695705519E-2</v>
      </c>
      <c r="S72" s="21">
        <v>2.5987905473166872E-2</v>
      </c>
      <c r="T72" s="18">
        <f t="shared" si="7"/>
        <v>3.0414940192981854E-2</v>
      </c>
      <c r="U72" s="23">
        <v>3.0297931208266737E-2</v>
      </c>
      <c r="V72" s="23">
        <f t="shared" si="8"/>
        <v>3.4723376067678169E-2</v>
      </c>
      <c r="W72" s="22">
        <f t="shared" si="15"/>
        <v>2.8337750022704444E-3</v>
      </c>
      <c r="X72" s="23">
        <v>2.9437925810482213E-2</v>
      </c>
      <c r="Y72" s="23">
        <f t="shared" si="11"/>
        <v>3.3863703703289172E-2</v>
      </c>
      <c r="Z72" s="22">
        <f t="shared" si="12"/>
        <v>2.7642996157810629E-3</v>
      </c>
      <c r="AA72" s="33"/>
      <c r="AB72" s="50">
        <f t="shared" si="9"/>
        <v>59</v>
      </c>
      <c r="AC72" s="48">
        <f t="shared" si="4"/>
        <v>0.88148959428125573</v>
      </c>
      <c r="AE72" s="48">
        <f t="shared" si="10"/>
        <v>0.99752134440887819</v>
      </c>
      <c r="AF72" s="48">
        <f t="shared" si="13"/>
        <v>0.88148959428125562</v>
      </c>
      <c r="AH72" s="48">
        <f t="shared" si="14"/>
        <v>0</v>
      </c>
    </row>
    <row r="73" spans="4:34" ht="13.9" customHeight="1">
      <c r="D73" s="8"/>
      <c r="E73" s="9"/>
      <c r="F73" s="18"/>
      <c r="G73" s="18"/>
      <c r="H73" s="18"/>
      <c r="J73" s="40"/>
      <c r="K73" s="40"/>
      <c r="L73" s="40"/>
      <c r="M73" s="38"/>
      <c r="O73" s="12">
        <f t="shared" si="5"/>
        <v>5</v>
      </c>
      <c r="P73" s="13">
        <v>60</v>
      </c>
      <c r="Q73" s="21">
        <v>2.6061533298266548E-2</v>
      </c>
      <c r="R73" s="18">
        <f t="shared" si="6"/>
        <v>3.0596397332385949E-2</v>
      </c>
      <c r="S73" s="21">
        <v>2.6061533298260775E-2</v>
      </c>
      <c r="T73" s="18">
        <f t="shared" si="7"/>
        <v>3.0600394395942088E-2</v>
      </c>
      <c r="U73" s="23">
        <v>3.0371533298258369E-2</v>
      </c>
      <c r="V73" s="23">
        <f t="shared" si="8"/>
        <v>3.4908573340168614E-2</v>
      </c>
      <c r="W73" s="22">
        <f t="shared" si="15"/>
        <v>2.8485595821423626E-3</v>
      </c>
      <c r="X73" s="23">
        <v>2.9511533298273163E-2</v>
      </c>
      <c r="Y73" s="23">
        <f t="shared" si="11"/>
        <v>3.4048958408662067E-2</v>
      </c>
      <c r="Z73" s="22">
        <f t="shared" si="12"/>
        <v>2.7791006267934293E-3</v>
      </c>
      <c r="AA73" s="33"/>
      <c r="AB73" s="50">
        <f t="shared" si="9"/>
        <v>60</v>
      </c>
      <c r="AC73" s="48">
        <f t="shared" si="4"/>
        <v>0.87929168887064757</v>
      </c>
      <c r="AE73" s="48">
        <f t="shared" si="10"/>
        <v>0.99750660084376819</v>
      </c>
      <c r="AF73" s="48">
        <f t="shared" si="13"/>
        <v>0.87929168887064757</v>
      </c>
      <c r="AH73" s="48">
        <f t="shared" si="14"/>
        <v>0</v>
      </c>
    </row>
    <row r="74" spans="4:34" ht="13.9" customHeight="1">
      <c r="D74" s="8"/>
      <c r="E74" s="9"/>
      <c r="F74" s="18"/>
      <c r="G74" s="18"/>
      <c r="H74" s="18"/>
      <c r="J74" s="40"/>
      <c r="K74" s="40"/>
      <c r="L74" s="40"/>
      <c r="M74" s="38"/>
      <c r="O74" s="12">
        <f t="shared" si="5"/>
        <v>5.083333333333333</v>
      </c>
      <c r="P74" s="13">
        <v>61</v>
      </c>
      <c r="Q74" s="21">
        <v>2.6135714211446004E-2</v>
      </c>
      <c r="R74" s="18">
        <f t="shared" si="6"/>
        <v>3.0773083330756457E-2</v>
      </c>
      <c r="S74" s="21">
        <v>2.6135779453336339E-2</v>
      </c>
      <c r="T74" s="18">
        <f t="shared" si="7"/>
        <v>3.077724198085785E-2</v>
      </c>
      <c r="U74" s="23">
        <v>3.0445750401908889E-2</v>
      </c>
      <c r="V74" s="23">
        <f t="shared" si="8"/>
        <v>3.508528079114237E-2</v>
      </c>
      <c r="W74" s="22">
        <f t="shared" si="15"/>
        <v>2.8635160420293904E-3</v>
      </c>
      <c r="X74" s="23">
        <v>2.958575655350737E-2</v>
      </c>
      <c r="Y74" s="23">
        <f t="shared" si="11"/>
        <v>3.4225699006467325E-2</v>
      </c>
      <c r="Z74" s="22">
        <f t="shared" si="12"/>
        <v>2.7940731268092378E-3</v>
      </c>
      <c r="AA74" s="33"/>
      <c r="AB74" s="50">
        <f t="shared" si="9"/>
        <v>61</v>
      </c>
      <c r="AC74" s="48">
        <f t="shared" si="4"/>
        <v>0.8770861433608238</v>
      </c>
      <c r="AE74" s="48">
        <f t="shared" si="10"/>
        <v>0.99749167933947336</v>
      </c>
      <c r="AF74" s="48">
        <f t="shared" si="13"/>
        <v>0.87708614336082391</v>
      </c>
      <c r="AH74" s="48">
        <f t="shared" si="14"/>
        <v>0</v>
      </c>
    </row>
    <row r="75" spans="4:34" ht="13.9" customHeight="1">
      <c r="D75" s="8"/>
      <c r="E75" s="9"/>
      <c r="F75" s="18"/>
      <c r="G75" s="18"/>
      <c r="H75" s="18"/>
      <c r="J75" s="40"/>
      <c r="K75" s="40"/>
      <c r="L75" s="40"/>
      <c r="M75" s="38"/>
      <c r="O75" s="12">
        <f t="shared" si="5"/>
        <v>5.166666666666667</v>
      </c>
      <c r="P75" s="13">
        <v>62</v>
      </c>
      <c r="Q75" s="21">
        <v>2.6210344697113364E-2</v>
      </c>
      <c r="R75" s="18">
        <f t="shared" si="6"/>
        <v>3.0938834574857355E-2</v>
      </c>
      <c r="S75" s="21">
        <v>2.6210475669347977E-2</v>
      </c>
      <c r="T75" s="18">
        <f t="shared" si="7"/>
        <v>3.0942853894575295E-2</v>
      </c>
      <c r="U75" s="23">
        <v>3.052041628446478E-2</v>
      </c>
      <c r="V75" s="23">
        <f t="shared" si="8"/>
        <v>3.5250875213357125E-2</v>
      </c>
      <c r="W75" s="22">
        <f t="shared" si="15"/>
        <v>2.8777845801015722E-3</v>
      </c>
      <c r="X75" s="23">
        <v>2.9660428915293302E-2</v>
      </c>
      <c r="Y75" s="23">
        <f t="shared" si="11"/>
        <v>3.43913007588037E-2</v>
      </c>
      <c r="Z75" s="22">
        <f t="shared" si="12"/>
        <v>2.8083552150113267E-3</v>
      </c>
      <c r="AA75" s="33"/>
      <c r="AB75" s="50">
        <f t="shared" si="9"/>
        <v>62</v>
      </c>
      <c r="AC75" s="48">
        <f t="shared" si="4"/>
        <v>0.87487363198139512</v>
      </c>
      <c r="AE75" s="48">
        <f t="shared" si="10"/>
        <v>0.997477429787055</v>
      </c>
      <c r="AF75" s="48">
        <f t="shared" si="13"/>
        <v>0.87487363198139512</v>
      </c>
      <c r="AH75" s="48">
        <f t="shared" si="14"/>
        <v>0</v>
      </c>
    </row>
    <row r="76" spans="4:34" ht="13.9" customHeight="1">
      <c r="D76" s="8"/>
      <c r="E76" s="9"/>
      <c r="F76" s="18"/>
      <c r="G76" s="18"/>
      <c r="H76" s="18"/>
      <c r="J76" s="40"/>
      <c r="K76" s="40"/>
      <c r="L76" s="40"/>
      <c r="M76" s="38"/>
      <c r="O76" s="12">
        <f t="shared" si="5"/>
        <v>5.25</v>
      </c>
      <c r="P76" s="13">
        <v>63</v>
      </c>
      <c r="Q76" s="21">
        <v>2.6285230436407181E-2</v>
      </c>
      <c r="R76" s="18">
        <f t="shared" si="6"/>
        <v>3.1093648149145281E-2</v>
      </c>
      <c r="S76" s="21">
        <v>2.6285422849750884E-2</v>
      </c>
      <c r="T76" s="18">
        <f t="shared" si="7"/>
        <v>3.1097293026463912E-2</v>
      </c>
      <c r="U76" s="23">
        <v>3.0595333845440775E-2</v>
      </c>
      <c r="V76" s="23">
        <f t="shared" si="8"/>
        <v>3.5405402936520725E-2</v>
      </c>
      <c r="W76" s="22">
        <f t="shared" si="15"/>
        <v>2.8911537515836638E-3</v>
      </c>
      <c r="X76" s="23">
        <v>2.9735352860171593E-2</v>
      </c>
      <c r="Y76" s="23">
        <f t="shared" si="11"/>
        <v>3.4545813376860579E-2</v>
      </c>
      <c r="Z76" s="22">
        <f t="shared" si="12"/>
        <v>2.8217351631543153E-3</v>
      </c>
      <c r="AA76" s="33"/>
      <c r="AB76" s="50">
        <f t="shared" si="9"/>
        <v>63</v>
      </c>
      <c r="AC76" s="48">
        <f t="shared" si="4"/>
        <v>0.87265500889503289</v>
      </c>
      <c r="AE76" s="48">
        <f t="shared" si="10"/>
        <v>0.99746406451713743</v>
      </c>
      <c r="AF76" s="48">
        <f t="shared" si="13"/>
        <v>0.87265500889503267</v>
      </c>
      <c r="AH76" s="48">
        <f t="shared" si="14"/>
        <v>0</v>
      </c>
    </row>
    <row r="77" spans="4:34" ht="13.9" customHeight="1">
      <c r="D77" s="8"/>
      <c r="E77" s="9"/>
      <c r="F77" s="18"/>
      <c r="G77" s="18"/>
      <c r="H77" s="18"/>
      <c r="J77" s="40"/>
      <c r="K77" s="40"/>
      <c r="L77" s="40"/>
      <c r="M77" s="38"/>
      <c r="O77" s="12">
        <f t="shared" si="5"/>
        <v>5.333333333333333</v>
      </c>
      <c r="P77" s="13">
        <v>64</v>
      </c>
      <c r="Q77" s="21">
        <v>2.6360189242786491E-2</v>
      </c>
      <c r="R77" s="18">
        <f t="shared" si="6"/>
        <v>3.1237519299213812E-2</v>
      </c>
      <c r="S77" s="21">
        <v>2.6360435353178557E-2</v>
      </c>
      <c r="T77" s="18">
        <f t="shared" si="7"/>
        <v>3.1240619723088781E-2</v>
      </c>
      <c r="U77" s="23">
        <v>3.0670319056748108E-2</v>
      </c>
      <c r="V77" s="23">
        <f t="shared" si="8"/>
        <v>3.5548907977554389E-2</v>
      </c>
      <c r="W77" s="22">
        <f t="shared" si="15"/>
        <v>2.903627691390076E-3</v>
      </c>
      <c r="X77" s="23">
        <v>2.9810344016208301E-2</v>
      </c>
      <c r="Y77" s="23">
        <f t="shared" si="11"/>
        <v>3.4689284211963711E-2</v>
      </c>
      <c r="Z77" s="22">
        <f t="shared" si="12"/>
        <v>2.8342173837190288E-3</v>
      </c>
      <c r="AA77" s="33"/>
      <c r="AB77" s="50">
        <f t="shared" si="9"/>
        <v>64</v>
      </c>
      <c r="AC77" s="48">
        <f t="shared" ref="AC77:AC140" si="16">1/(1+Q77)^(P77/12)</f>
        <v>0.87043112029983061</v>
      </c>
      <c r="AE77" s="48">
        <f t="shared" si="10"/>
        <v>0.9974515833032136</v>
      </c>
      <c r="AF77" s="48">
        <f t="shared" si="13"/>
        <v>0.87043112029983027</v>
      </c>
      <c r="AH77" s="48">
        <f t="shared" si="14"/>
        <v>0</v>
      </c>
    </row>
    <row r="78" spans="4:34" ht="13.9" customHeight="1">
      <c r="D78" s="8"/>
      <c r="E78" s="9"/>
      <c r="F78" s="18"/>
      <c r="G78" s="18"/>
      <c r="H78" s="18"/>
      <c r="J78" s="40"/>
      <c r="K78" s="40"/>
      <c r="L78" s="40"/>
      <c r="M78" s="38"/>
      <c r="O78" s="12">
        <f t="shared" ref="O78:O141" si="17">P78/12</f>
        <v>5.416666666666667</v>
      </c>
      <c r="P78" s="13">
        <v>65</v>
      </c>
      <c r="Q78" s="21">
        <v>2.6435050094999468E-2</v>
      </c>
      <c r="R78" s="18">
        <f t="shared" ref="R78:R141" si="18">(1+Q79)^P79/(1+Q78)^P78-1</f>
        <v>3.1370441525587323E-2</v>
      </c>
      <c r="S78" s="21">
        <v>2.6435339913388534E-2</v>
      </c>
      <c r="T78" s="18">
        <f t="shared" ref="T78:T141" si="19">(1+S79)^P79/(1+S78)^P78-1</f>
        <v>3.1372891902180733E-2</v>
      </c>
      <c r="U78" s="23">
        <v>3.0745199915800159E-2</v>
      </c>
      <c r="V78" s="23">
        <f t="shared" ref="V78:V141" si="20">(1+U79)^P79/(1+U78)^P78-1</f>
        <v>3.5681432147334213E-2</v>
      </c>
      <c r="W78" s="22">
        <f t="shared" si="15"/>
        <v>2.915210319166972E-3</v>
      </c>
      <c r="X78" s="23">
        <v>2.9885230109253369E-2</v>
      </c>
      <c r="Y78" s="23">
        <f t="shared" si="11"/>
        <v>3.4821758363841937E-2</v>
      </c>
      <c r="Z78" s="22">
        <f t="shared" si="12"/>
        <v>2.8458060696665566E-3</v>
      </c>
      <c r="AA78" s="33"/>
      <c r="AB78" s="50">
        <f t="shared" ref="AB78:AB141" si="21">+P78</f>
        <v>65</v>
      </c>
      <c r="AC78" s="48">
        <f t="shared" si="16"/>
        <v>0.86820280453072129</v>
      </c>
      <c r="AE78" s="48">
        <f t="shared" ref="AE78:AE141" si="22">1/(1+R77)^(1/12)</f>
        <v>0.99743998609753104</v>
      </c>
      <c r="AF78" s="48">
        <f t="shared" si="13"/>
        <v>0.86820280453072107</v>
      </c>
      <c r="AH78" s="48">
        <f t="shared" si="14"/>
        <v>0</v>
      </c>
    </row>
    <row r="79" spans="4:34" ht="13.9" customHeight="1">
      <c r="D79" s="8"/>
      <c r="E79" s="9"/>
      <c r="F79" s="18"/>
      <c r="G79" s="18"/>
      <c r="H79" s="18"/>
      <c r="J79" s="40"/>
      <c r="K79" s="40"/>
      <c r="L79" s="40"/>
      <c r="M79" s="38"/>
      <c r="O79" s="12">
        <f t="shared" si="17"/>
        <v>5.5</v>
      </c>
      <c r="P79" s="13">
        <v>66</v>
      </c>
      <c r="Q79" s="21">
        <v>2.6509652259675498E-2</v>
      </c>
      <c r="R79" s="18">
        <f t="shared" si="18"/>
        <v>3.1492432605818133E-2</v>
      </c>
      <c r="S79" s="21">
        <v>2.6509974659529423E-2</v>
      </c>
      <c r="T79" s="18">
        <f t="shared" si="19"/>
        <v>3.1494165164098531E-2</v>
      </c>
      <c r="U79" s="23">
        <v>3.081981549578261E-2</v>
      </c>
      <c r="V79" s="23">
        <f t="shared" si="20"/>
        <v>3.5803015155815743E-2</v>
      </c>
      <c r="W79" s="22">
        <f t="shared" ref="W79:W142" si="23">(1+V78)^(1/12)-1</f>
        <v>2.9259053484198549E-3</v>
      </c>
      <c r="X79" s="23">
        <v>2.9959850007014843E-2</v>
      </c>
      <c r="Y79" s="23">
        <f t="shared" ref="Y79:Y142" si="24">(1+X80)^P80/(1+X79)^P79-1</f>
        <v>3.4943278786805365E-2</v>
      </c>
      <c r="Z79" s="22">
        <f t="shared" ref="Z79:Z142" si="25">(1+Y78)^(1/12)-1</f>
        <v>2.8565052037254901E-3</v>
      </c>
      <c r="AA79" s="33"/>
      <c r="AB79" s="50">
        <f t="shared" si="21"/>
        <v>66</v>
      </c>
      <c r="AC79" s="48">
        <f t="shared" si="16"/>
        <v>0.8659708921599627</v>
      </c>
      <c r="AE79" s="48">
        <f t="shared" si="22"/>
        <v>0.99742927302340978</v>
      </c>
      <c r="AF79" s="48">
        <f t="shared" ref="AF79:AF142" si="26">+AF78*AE79</f>
        <v>0.8659708921599627</v>
      </c>
      <c r="AH79" s="48">
        <f t="shared" ref="AH79:AH142" si="27">+AF79-AC79</f>
        <v>0</v>
      </c>
    </row>
    <row r="80" spans="4:34" ht="13.9" customHeight="1">
      <c r="D80" s="8"/>
      <c r="E80" s="9"/>
      <c r="F80" s="18"/>
      <c r="G80" s="18"/>
      <c r="H80" s="18"/>
      <c r="J80" s="40"/>
      <c r="K80" s="40"/>
      <c r="L80" s="40"/>
      <c r="M80" s="38"/>
      <c r="O80" s="12">
        <f t="shared" si="17"/>
        <v>5.583333333333333</v>
      </c>
      <c r="P80" s="13">
        <v>67</v>
      </c>
      <c r="Q80" s="21">
        <v>2.658384487929033E-2</v>
      </c>
      <c r="R80" s="18">
        <f t="shared" si="18"/>
        <v>3.1603586653154325E-2</v>
      </c>
      <c r="S80" s="21">
        <v>2.6584188226168814E-2</v>
      </c>
      <c r="T80" s="18">
        <f t="shared" si="19"/>
        <v>3.1604492901549985E-2</v>
      </c>
      <c r="U80" s="23">
        <v>3.0894015082870929E-2</v>
      </c>
      <c r="V80" s="23">
        <f t="shared" si="20"/>
        <v>3.5913694715478339E-2</v>
      </c>
      <c r="W80" s="22">
        <f t="shared" si="23"/>
        <v>2.9357162954739557E-3</v>
      </c>
      <c r="X80" s="23">
        <v>3.0034052850658632E-2</v>
      </c>
      <c r="Y80" s="23">
        <f t="shared" si="24"/>
        <v>3.5053886394679656E-2</v>
      </c>
      <c r="Z80" s="22">
        <f t="shared" si="25"/>
        <v>2.8663185674726588E-3</v>
      </c>
      <c r="AA80" s="33"/>
      <c r="AB80" s="50">
        <f t="shared" si="21"/>
        <v>67</v>
      </c>
      <c r="AC80" s="48">
        <f t="shared" si="16"/>
        <v>0.86373620428741016</v>
      </c>
      <c r="AE80" s="48">
        <f t="shared" si="22"/>
        <v>0.99741944227827517</v>
      </c>
      <c r="AF80" s="48">
        <f t="shared" si="26"/>
        <v>0.86373620428741038</v>
      </c>
      <c r="AH80" s="48">
        <f t="shared" si="27"/>
        <v>0</v>
      </c>
    </row>
    <row r="81" spans="4:34" ht="13.9" customHeight="1">
      <c r="D81" s="8"/>
      <c r="E81" s="9"/>
      <c r="F81" s="18"/>
      <c r="G81" s="18"/>
      <c r="H81" s="18"/>
      <c r="J81" s="40"/>
      <c r="K81" s="40"/>
      <c r="L81" s="40"/>
      <c r="M81" s="38"/>
      <c r="O81" s="12">
        <f t="shared" si="17"/>
        <v>5.666666666666667</v>
      </c>
      <c r="P81" s="13">
        <v>68</v>
      </c>
      <c r="Q81" s="21">
        <v>2.6657487358567877E-2</v>
      </c>
      <c r="R81" s="18">
        <f t="shared" si="18"/>
        <v>3.1703918724619307E-2</v>
      </c>
      <c r="S81" s="21">
        <v>2.665783894377749E-2</v>
      </c>
      <c r="T81" s="18">
        <f t="shared" si="19"/>
        <v>3.1703926407139704E-2</v>
      </c>
      <c r="U81" s="23">
        <v>3.0967657391385295E-2</v>
      </c>
      <c r="V81" s="23">
        <f t="shared" si="20"/>
        <v>3.6013506643758575E-2</v>
      </c>
      <c r="W81" s="22">
        <f t="shared" si="23"/>
        <v>2.944646488263869E-3</v>
      </c>
      <c r="X81" s="23">
        <v>3.010769726486795E-2</v>
      </c>
      <c r="Y81" s="23">
        <f t="shared" si="24"/>
        <v>3.5153620164085408E-2</v>
      </c>
      <c r="Z81" s="22">
        <f t="shared" si="25"/>
        <v>2.8752497502790852E-3</v>
      </c>
      <c r="AA81" s="33"/>
      <c r="AB81" s="50">
        <f t="shared" si="21"/>
        <v>68</v>
      </c>
      <c r="AC81" s="48">
        <f t="shared" si="16"/>
        <v>0.86149954724261324</v>
      </c>
      <c r="AE81" s="48">
        <f t="shared" si="22"/>
        <v>0.99741048594038895</v>
      </c>
      <c r="AF81" s="48">
        <f t="shared" si="26"/>
        <v>0.86149954724261302</v>
      </c>
      <c r="AH81" s="48">
        <f t="shared" si="27"/>
        <v>0</v>
      </c>
    </row>
    <row r="82" spans="4:34" ht="13.9" customHeight="1">
      <c r="D82" s="8"/>
      <c r="E82" s="9"/>
      <c r="F82" s="18"/>
      <c r="G82" s="18"/>
      <c r="H82" s="18"/>
      <c r="J82" s="40"/>
      <c r="K82" s="40"/>
      <c r="L82" s="40"/>
      <c r="M82" s="38"/>
      <c r="O82" s="12">
        <f t="shared" si="17"/>
        <v>5.75</v>
      </c>
      <c r="P82" s="13">
        <v>69</v>
      </c>
      <c r="Q82" s="21">
        <v>2.6730447476245089E-2</v>
      </c>
      <c r="R82" s="18">
        <f t="shared" si="18"/>
        <v>3.1793416620701453E-2</v>
      </c>
      <c r="S82" s="21">
        <v>2.6730794101443633E-2</v>
      </c>
      <c r="T82" s="18">
        <f t="shared" si="19"/>
        <v>3.1792514979218867E-2</v>
      </c>
      <c r="U82" s="23">
        <v>3.1040609848929757E-2</v>
      </c>
      <c r="V82" s="23">
        <f t="shared" si="20"/>
        <v>3.6102484963867365E-2</v>
      </c>
      <c r="W82" s="22">
        <f t="shared" si="23"/>
        <v>2.952699075005949E-3</v>
      </c>
      <c r="X82" s="23">
        <v>3.0180650638348183E-2</v>
      </c>
      <c r="Y82" s="23">
        <f t="shared" si="24"/>
        <v>3.5242517236244053E-2</v>
      </c>
      <c r="Z82" s="22">
        <f t="shared" si="25"/>
        <v>2.8833021580860763E-3</v>
      </c>
      <c r="AA82" s="33"/>
      <c r="AB82" s="50">
        <f t="shared" si="21"/>
        <v>69</v>
      </c>
      <c r="AC82" s="48">
        <f t="shared" si="16"/>
        <v>0.85926171816441543</v>
      </c>
      <c r="AE82" s="48">
        <f t="shared" si="22"/>
        <v>0.99740240249068024</v>
      </c>
      <c r="AF82" s="48">
        <f t="shared" si="26"/>
        <v>0.85926171816441554</v>
      </c>
      <c r="AH82" s="48">
        <f t="shared" si="27"/>
        <v>0</v>
      </c>
    </row>
    <row r="83" spans="4:34" ht="13.9" customHeight="1">
      <c r="D83" s="8"/>
      <c r="E83" s="9"/>
      <c r="F83" s="18"/>
      <c r="G83" s="18"/>
      <c r="H83" s="18"/>
      <c r="J83" s="40"/>
      <c r="K83" s="40"/>
      <c r="L83" s="40"/>
      <c r="M83" s="38"/>
      <c r="O83" s="12">
        <f t="shared" si="17"/>
        <v>5.833333333333333</v>
      </c>
      <c r="P83" s="13">
        <v>70</v>
      </c>
      <c r="Q83" s="21">
        <v>2.6802600395418485E-2</v>
      </c>
      <c r="R83" s="18">
        <f t="shared" si="18"/>
        <v>3.187206688060451E-2</v>
      </c>
      <c r="S83" s="21">
        <v>2.6802929274539977E-2</v>
      </c>
      <c r="T83" s="18">
        <f t="shared" si="19"/>
        <v>3.1870306025800765E-2</v>
      </c>
      <c r="U83" s="23">
        <v>3.1112747944468389E-2</v>
      </c>
      <c r="V83" s="23">
        <f t="shared" si="20"/>
        <v>3.6180662004313691E-2</v>
      </c>
      <c r="W83" s="22">
        <f t="shared" si="23"/>
        <v>2.95987703271261E-3</v>
      </c>
      <c r="X83" s="23">
        <v>3.0252788467684644E-2</v>
      </c>
      <c r="Y83" s="23">
        <f t="shared" si="24"/>
        <v>3.5320613017534086E-2</v>
      </c>
      <c r="Z83" s="22">
        <f t="shared" si="25"/>
        <v>2.8904790220305454E-3</v>
      </c>
      <c r="AA83" s="33"/>
      <c r="AB83" s="50">
        <f t="shared" si="21"/>
        <v>70</v>
      </c>
      <c r="AC83" s="48">
        <f t="shared" si="16"/>
        <v>0.85702350691344387</v>
      </c>
      <c r="AE83" s="48">
        <f t="shared" si="22"/>
        <v>0.99739519263612386</v>
      </c>
      <c r="AF83" s="48">
        <f t="shared" si="26"/>
        <v>0.85702350691344398</v>
      </c>
      <c r="AH83" s="48">
        <f t="shared" si="27"/>
        <v>0</v>
      </c>
    </row>
    <row r="84" spans="4:34" ht="13.9" customHeight="1">
      <c r="D84" s="8"/>
      <c r="E84" s="9"/>
      <c r="F84" s="18"/>
      <c r="G84" s="18"/>
      <c r="H84" s="18"/>
      <c r="J84" s="40"/>
      <c r="K84" s="40"/>
      <c r="L84" s="40"/>
      <c r="M84" s="38"/>
      <c r="O84" s="12">
        <f t="shared" si="17"/>
        <v>5.916666666666667</v>
      </c>
      <c r="P84" s="13">
        <v>71</v>
      </c>
      <c r="Q84" s="21">
        <v>2.6873828122045085E-2</v>
      </c>
      <c r="R84" s="18">
        <f t="shared" si="18"/>
        <v>3.1939854875876472E-2</v>
      </c>
      <c r="S84" s="21">
        <v>2.687412771088904E-2</v>
      </c>
      <c r="T84" s="18">
        <f t="shared" si="19"/>
        <v>3.1937345167371234E-2</v>
      </c>
      <c r="U84" s="23">
        <v>3.1183954633090538E-2</v>
      </c>
      <c r="V84" s="23">
        <f t="shared" si="20"/>
        <v>3.6248068497751529E-2</v>
      </c>
      <c r="W84" s="22">
        <f t="shared" si="23"/>
        <v>2.9661831755711798E-3</v>
      </c>
      <c r="X84" s="23">
        <v>3.0323993758264667E-2</v>
      </c>
      <c r="Y84" s="23">
        <f t="shared" si="24"/>
        <v>3.5387941278856916E-2</v>
      </c>
      <c r="Z84" s="22">
        <f t="shared" si="25"/>
        <v>2.8967834069402176E-3</v>
      </c>
      <c r="AA84" s="33"/>
      <c r="AB84" s="50">
        <f t="shared" si="21"/>
        <v>71</v>
      </c>
      <c r="AC84" s="48">
        <f t="shared" si="16"/>
        <v>0.85478569616660871</v>
      </c>
      <c r="AE84" s="48">
        <f t="shared" si="22"/>
        <v>0.99738885721478665</v>
      </c>
      <c r="AF84" s="48">
        <f t="shared" si="26"/>
        <v>0.85478569616660871</v>
      </c>
      <c r="AH84" s="48">
        <f t="shared" si="27"/>
        <v>0</v>
      </c>
    </row>
    <row r="85" spans="4:34" ht="13.9" customHeight="1">
      <c r="D85" s="8"/>
      <c r="E85" s="9"/>
      <c r="F85" s="18"/>
      <c r="G85" s="18"/>
      <c r="H85" s="18"/>
      <c r="J85" s="40"/>
      <c r="K85" s="40"/>
      <c r="L85" s="40"/>
      <c r="M85" s="38"/>
      <c r="O85" s="12">
        <f t="shared" si="17"/>
        <v>6</v>
      </c>
      <c r="P85" s="13">
        <v>72</v>
      </c>
      <c r="Q85" s="21">
        <v>2.6944019009983E-2</v>
      </c>
      <c r="R85" s="18">
        <f t="shared" si="18"/>
        <v>3.1996790573791012E-2</v>
      </c>
      <c r="S85" s="21">
        <v>2.694427976969993E-2</v>
      </c>
      <c r="T85" s="18">
        <f t="shared" si="19"/>
        <v>3.1993676337109589E-2</v>
      </c>
      <c r="U85" s="23">
        <v>3.1254119791924495E-2</v>
      </c>
      <c r="V85" s="23">
        <f t="shared" si="20"/>
        <v>3.6304733678248047E-2</v>
      </c>
      <c r="W85" s="22">
        <f t="shared" si="23"/>
        <v>2.9716201632399297E-3</v>
      </c>
      <c r="X85" s="23">
        <v>3.0394156476679646E-2</v>
      </c>
      <c r="Y85" s="23">
        <f t="shared" si="24"/>
        <v>3.54445342536025E-2</v>
      </c>
      <c r="Z85" s="22">
        <f t="shared" si="25"/>
        <v>2.9022182197047108E-3</v>
      </c>
      <c r="AA85" s="33"/>
      <c r="AB85" s="50">
        <f t="shared" si="21"/>
        <v>72</v>
      </c>
      <c r="AC85" s="48">
        <f t="shared" si="16"/>
        <v>0.85254906151064835</v>
      </c>
      <c r="AE85" s="48">
        <f t="shared" si="22"/>
        <v>0.99738339718833524</v>
      </c>
      <c r="AF85" s="48">
        <f t="shared" si="26"/>
        <v>0.85254906151064835</v>
      </c>
      <c r="AH85" s="48">
        <f t="shared" si="27"/>
        <v>0</v>
      </c>
    </row>
    <row r="86" spans="4:34" ht="13.9" customHeight="1">
      <c r="D86" s="8"/>
      <c r="E86" s="9"/>
      <c r="F86" s="18"/>
      <c r="G86" s="18"/>
      <c r="H86" s="18"/>
      <c r="J86" s="40"/>
      <c r="K86" s="40"/>
      <c r="L86" s="40"/>
      <c r="M86" s="38"/>
      <c r="O86" s="12">
        <f t="shared" si="17"/>
        <v>6.083333333333333</v>
      </c>
      <c r="P86" s="13">
        <v>73</v>
      </c>
      <c r="Q86" s="21">
        <v>2.7013067658038237E-2</v>
      </c>
      <c r="R86" s="18">
        <f t="shared" si="18"/>
        <v>3.2042960074101456E-2</v>
      </c>
      <c r="S86" s="21">
        <v>2.7013282408163697E-2</v>
      </c>
      <c r="T86" s="18">
        <f t="shared" si="19"/>
        <v>3.2039341881082262E-2</v>
      </c>
      <c r="U86" s="23">
        <v>3.1323139722254645E-2</v>
      </c>
      <c r="V86" s="23">
        <f t="shared" si="20"/>
        <v>3.6350685377916081E-2</v>
      </c>
      <c r="W86" s="22">
        <f t="shared" si="23"/>
        <v>2.9761905089935592E-3</v>
      </c>
      <c r="X86" s="23">
        <v>3.0463173049632752E-2</v>
      </c>
      <c r="Y86" s="23">
        <f t="shared" si="24"/>
        <v>3.5490422735084293E-2</v>
      </c>
      <c r="Z86" s="22">
        <f t="shared" si="25"/>
        <v>2.9067862175067294E-3</v>
      </c>
      <c r="AA86" s="33"/>
      <c r="AB86" s="50">
        <f t="shared" si="21"/>
        <v>73</v>
      </c>
      <c r="AC86" s="48">
        <f t="shared" si="16"/>
        <v>0.85031436977220398</v>
      </c>
      <c r="AE86" s="48">
        <f t="shared" si="22"/>
        <v>0.99737881156717922</v>
      </c>
      <c r="AF86" s="48">
        <f t="shared" si="26"/>
        <v>0.85031436977220443</v>
      </c>
      <c r="AH86" s="48">
        <f t="shared" si="27"/>
        <v>0</v>
      </c>
    </row>
    <row r="87" spans="4:34" ht="13.9" customHeight="1">
      <c r="D87" s="8"/>
      <c r="E87" s="9"/>
      <c r="F87" s="18"/>
      <c r="G87" s="18"/>
      <c r="H87" s="18"/>
      <c r="J87" s="40"/>
      <c r="K87" s="40"/>
      <c r="L87" s="40"/>
      <c r="M87" s="38"/>
      <c r="O87" s="12">
        <f t="shared" si="17"/>
        <v>6.166666666666667</v>
      </c>
      <c r="P87" s="13">
        <v>74</v>
      </c>
      <c r="Q87" s="21">
        <v>2.7080875508604052E-2</v>
      </c>
      <c r="R87" s="18">
        <f t="shared" si="18"/>
        <v>3.2078371758765822E-2</v>
      </c>
      <c r="S87" s="21">
        <v>2.7081038711179062E-2</v>
      </c>
      <c r="T87" s="18">
        <f t="shared" si="19"/>
        <v>3.2074382655724154E-2</v>
      </c>
      <c r="U87" s="23">
        <v>3.1390916693447846E-2</v>
      </c>
      <c r="V87" s="23">
        <f t="shared" si="20"/>
        <v>3.6385950122665323E-2</v>
      </c>
      <c r="W87" s="22">
        <f t="shared" si="23"/>
        <v>2.9798965877927408E-3</v>
      </c>
      <c r="X87" s="23">
        <v>3.0530945904929441E-2</v>
      </c>
      <c r="Y87" s="23">
        <f t="shared" si="24"/>
        <v>3.5525636172281105E-2</v>
      </c>
      <c r="Z87" s="22">
        <f t="shared" si="25"/>
        <v>2.9104900159868663E-3</v>
      </c>
      <c r="AA87" s="33"/>
      <c r="AB87" s="50">
        <f t="shared" si="21"/>
        <v>74</v>
      </c>
      <c r="AC87" s="48">
        <f t="shared" si="16"/>
        <v>0.84808237385237972</v>
      </c>
      <c r="AE87" s="48">
        <f t="shared" si="22"/>
        <v>0.99737509326059881</v>
      </c>
      <c r="AF87" s="48">
        <f t="shared" si="26"/>
        <v>0.84808237385237972</v>
      </c>
      <c r="AH87" s="48">
        <f t="shared" si="27"/>
        <v>0</v>
      </c>
    </row>
    <row r="88" spans="4:34" ht="13.9" customHeight="1">
      <c r="D88" s="8"/>
      <c r="E88" s="9"/>
      <c r="F88" s="18"/>
      <c r="G88" s="18"/>
      <c r="H88" s="18"/>
      <c r="J88" s="40"/>
      <c r="K88" s="40"/>
      <c r="L88" s="40"/>
      <c r="M88" s="38"/>
      <c r="O88" s="12">
        <f t="shared" si="17"/>
        <v>6.25</v>
      </c>
      <c r="P88" s="13">
        <v>75</v>
      </c>
      <c r="Q88" s="21">
        <v>2.7147349357202755E-2</v>
      </c>
      <c r="R88" s="18">
        <f t="shared" si="18"/>
        <v>3.2103007576050668E-2</v>
      </c>
      <c r="S88" s="21">
        <v>2.7147457460134916E-2</v>
      </c>
      <c r="T88" s="18">
        <f t="shared" si="19"/>
        <v>3.2098838124677176E-2</v>
      </c>
      <c r="U88" s="23">
        <v>3.1457358524759949E-2</v>
      </c>
      <c r="V88" s="23">
        <f t="shared" si="20"/>
        <v>3.6410553226417619E-2</v>
      </c>
      <c r="W88" s="22">
        <f t="shared" si="23"/>
        <v>2.9827406442595183E-3</v>
      </c>
      <c r="X88" s="23">
        <v>3.0597383050587013E-2</v>
      </c>
      <c r="Y88" s="23">
        <f t="shared" si="24"/>
        <v>3.5550202764983441E-2</v>
      </c>
      <c r="Z88" s="22">
        <f t="shared" si="25"/>
        <v>2.9133320972480892E-3</v>
      </c>
      <c r="AA88" s="33"/>
      <c r="AB88" s="50">
        <f t="shared" si="21"/>
        <v>75</v>
      </c>
      <c r="AC88" s="48">
        <f t="shared" si="16"/>
        <v>0.84585381815822691</v>
      </c>
      <c r="AE88" s="48">
        <f t="shared" si="22"/>
        <v>0.9973722414675007</v>
      </c>
      <c r="AF88" s="48">
        <f t="shared" si="26"/>
        <v>0.84585381815822691</v>
      </c>
      <c r="AH88" s="48">
        <f t="shared" si="27"/>
        <v>0</v>
      </c>
    </row>
    <row r="89" spans="4:34" ht="13.9" customHeight="1">
      <c r="D89" s="8"/>
      <c r="E89" s="9"/>
      <c r="F89" s="18"/>
      <c r="G89" s="18"/>
      <c r="H89" s="18"/>
      <c r="J89" s="40"/>
      <c r="K89" s="40"/>
      <c r="L89" s="40"/>
      <c r="M89" s="38"/>
      <c r="O89" s="12">
        <f t="shared" si="17"/>
        <v>6.333333333333333</v>
      </c>
      <c r="P89" s="13">
        <v>76</v>
      </c>
      <c r="Q89" s="21">
        <v>2.7212400651204671E-2</v>
      </c>
      <c r="R89" s="18">
        <f t="shared" si="18"/>
        <v>3.2116848779738527E-2</v>
      </c>
      <c r="S89" s="21">
        <v>2.7212452737128245E-2</v>
      </c>
      <c r="T89" s="18">
        <f t="shared" si="19"/>
        <v>3.211274645433404E-2</v>
      </c>
      <c r="U89" s="23">
        <v>3.1522378201503498E-2</v>
      </c>
      <c r="V89" s="23">
        <f t="shared" si="20"/>
        <v>3.6424518885756152E-2</v>
      </c>
      <c r="W89" s="22">
        <f t="shared" si="23"/>
        <v>2.9847248005108185E-3</v>
      </c>
      <c r="X89" s="23">
        <v>3.0662397688532073E-2</v>
      </c>
      <c r="Y89" s="23">
        <f t="shared" si="24"/>
        <v>3.5564149558222624E-2</v>
      </c>
      <c r="Z89" s="22">
        <f t="shared" si="25"/>
        <v>2.9153148177933907E-3</v>
      </c>
      <c r="AA89" s="33"/>
      <c r="AB89" s="50">
        <f t="shared" si="21"/>
        <v>76</v>
      </c>
      <c r="AC89" s="48">
        <f t="shared" si="16"/>
        <v>0.84362944046185351</v>
      </c>
      <c r="AE89" s="48">
        <f t="shared" si="22"/>
        <v>0.99737025754495445</v>
      </c>
      <c r="AF89" s="48">
        <f t="shared" si="26"/>
        <v>0.84362944046185384</v>
      </c>
      <c r="AH89" s="48">
        <f t="shared" si="27"/>
        <v>0</v>
      </c>
    </row>
    <row r="90" spans="4:34" ht="13.9" customHeight="1">
      <c r="D90" s="8"/>
      <c r="E90" s="9"/>
      <c r="F90" s="18"/>
      <c r="G90" s="18"/>
      <c r="H90" s="18"/>
      <c r="J90" s="40"/>
      <c r="K90" s="40"/>
      <c r="L90" s="40"/>
      <c r="M90" s="38"/>
      <c r="O90" s="12">
        <f t="shared" si="17"/>
        <v>6.416666666666667</v>
      </c>
      <c r="P90" s="13">
        <v>77</v>
      </c>
      <c r="Q90" s="21">
        <v>2.727594517588261E-2</v>
      </c>
      <c r="R90" s="18">
        <f t="shared" si="18"/>
        <v>3.2119876021951876E-2</v>
      </c>
      <c r="S90" s="21">
        <v>2.7275943561369198E-2</v>
      </c>
      <c r="T90" s="18">
        <f t="shared" si="19"/>
        <v>3.2116144608149044E-2</v>
      </c>
      <c r="U90" s="23">
        <v>3.1585893522444675E-2</v>
      </c>
      <c r="V90" s="23">
        <f t="shared" si="20"/>
        <v>3.6427870272691232E-2</v>
      </c>
      <c r="W90" s="22">
        <f t="shared" si="23"/>
        <v>2.9858510640070612E-3</v>
      </c>
      <c r="X90" s="23">
        <v>3.0725907859721291E-2</v>
      </c>
      <c r="Y90" s="23">
        <f t="shared" si="24"/>
        <v>3.5567502535428952E-2</v>
      </c>
      <c r="Z90" s="22">
        <f t="shared" si="25"/>
        <v>2.9164404163843916E-3</v>
      </c>
      <c r="AA90" s="33"/>
      <c r="AB90" s="50">
        <f t="shared" si="21"/>
        <v>77</v>
      </c>
      <c r="AC90" s="48">
        <f t="shared" si="16"/>
        <v>0.84140997198836542</v>
      </c>
      <c r="AE90" s="48">
        <f t="shared" si="22"/>
        <v>0.99736914293522827</v>
      </c>
      <c r="AF90" s="48">
        <f t="shared" si="26"/>
        <v>0.84140997198836531</v>
      </c>
      <c r="AH90" s="48">
        <f t="shared" si="27"/>
        <v>0</v>
      </c>
    </row>
    <row r="91" spans="4:34" ht="13.9" customHeight="1">
      <c r="D91" s="8"/>
      <c r="E91" s="9"/>
      <c r="F91" s="18"/>
      <c r="G91" s="18"/>
      <c r="H91" s="18"/>
      <c r="J91" s="40"/>
      <c r="K91" s="40"/>
      <c r="L91" s="40"/>
      <c r="M91" s="38"/>
      <c r="O91" s="12">
        <f t="shared" si="17"/>
        <v>6.5</v>
      </c>
      <c r="P91" s="13">
        <v>78</v>
      </c>
      <c r="Q91" s="21">
        <v>2.7337902765847799E-2</v>
      </c>
      <c r="R91" s="18">
        <f t="shared" si="18"/>
        <v>3.2112094856519446E-2</v>
      </c>
      <c r="S91" s="21">
        <v>2.7337853554857627E-2</v>
      </c>
      <c r="T91" s="18">
        <f t="shared" si="19"/>
        <v>3.210906843989858E-2</v>
      </c>
      <c r="U91" s="23">
        <v>3.1647826775595744E-2</v>
      </c>
      <c r="V91" s="23">
        <f t="shared" si="20"/>
        <v>3.64206296273486E-2</v>
      </c>
      <c r="W91" s="22">
        <f t="shared" si="23"/>
        <v>2.9861213352322391E-3</v>
      </c>
      <c r="X91" s="23">
        <v>3.0787836117838863E-2</v>
      </c>
      <c r="Y91" s="23">
        <f t="shared" si="24"/>
        <v>3.5560286711343148E-2</v>
      </c>
      <c r="Z91" s="22">
        <f t="shared" si="25"/>
        <v>2.9167110217815928E-3</v>
      </c>
      <c r="AA91" s="33"/>
      <c r="AB91" s="50">
        <f t="shared" si="21"/>
        <v>78</v>
      </c>
      <c r="AC91" s="48">
        <f t="shared" si="16"/>
        <v>0.83919613750299626</v>
      </c>
      <c r="AE91" s="48">
        <f t="shared" si="22"/>
        <v>0.9973688991584716</v>
      </c>
      <c r="AF91" s="48">
        <f t="shared" si="26"/>
        <v>0.83919613750299638</v>
      </c>
      <c r="AH91" s="48">
        <f t="shared" si="27"/>
        <v>0</v>
      </c>
    </row>
    <row r="92" spans="4:34" ht="13.9" customHeight="1">
      <c r="D92" s="8"/>
      <c r="E92" s="9"/>
      <c r="F92" s="18"/>
      <c r="G92" s="18"/>
      <c r="H92" s="18"/>
      <c r="J92" s="40"/>
      <c r="K92" s="40"/>
      <c r="L92" s="40"/>
      <c r="M92" s="38"/>
      <c r="O92" s="12">
        <f t="shared" si="17"/>
        <v>6.583333333333333</v>
      </c>
      <c r="P92" s="13">
        <v>79</v>
      </c>
      <c r="Q92" s="21">
        <v>2.7398197359793652E-2</v>
      </c>
      <c r="R92" s="18">
        <f t="shared" si="18"/>
        <v>3.2093586743307423E-2</v>
      </c>
      <c r="S92" s="21">
        <v>2.7398110634717643E-2</v>
      </c>
      <c r="T92" s="18">
        <f t="shared" si="19"/>
        <v>3.2091552785480371E-2</v>
      </c>
      <c r="U92" s="23">
        <v>3.1708104439877705E-2</v>
      </c>
      <c r="V92" s="23">
        <f t="shared" si="20"/>
        <v>3.6402818349716926E-2</v>
      </c>
      <c r="W92" s="22">
        <f t="shared" si="23"/>
        <v>2.9855374153531233E-3</v>
      </c>
      <c r="X92" s="23">
        <v>3.0848109229028697E-2</v>
      </c>
      <c r="Y92" s="23">
        <f t="shared" si="24"/>
        <v>3.5542526223505622E-2</v>
      </c>
      <c r="Z92" s="22">
        <f t="shared" si="25"/>
        <v>2.9161286604471037E-3</v>
      </c>
      <c r="AA92" s="33"/>
      <c r="AB92" s="50">
        <f t="shared" si="21"/>
        <v>79</v>
      </c>
      <c r="AC92" s="48">
        <f t="shared" si="16"/>
        <v>0.83698865368026831</v>
      </c>
      <c r="AE92" s="48">
        <f t="shared" si="22"/>
        <v>0.9973695257591435</v>
      </c>
      <c r="AF92" s="48">
        <f t="shared" si="26"/>
        <v>0.83698865368026842</v>
      </c>
      <c r="AH92" s="48">
        <f t="shared" si="27"/>
        <v>0</v>
      </c>
    </row>
    <row r="93" spans="4:34" ht="13.9" customHeight="1">
      <c r="D93" s="8"/>
      <c r="E93" s="9"/>
      <c r="F93" s="18"/>
      <c r="G93" s="18"/>
      <c r="H93" s="18"/>
      <c r="J93" s="40"/>
      <c r="K93" s="40"/>
      <c r="L93" s="40"/>
      <c r="M93" s="38"/>
      <c r="O93" s="12">
        <f t="shared" si="17"/>
        <v>6.666666666666667</v>
      </c>
      <c r="P93" s="13">
        <v>80</v>
      </c>
      <c r="Q93" s="21">
        <v>2.7456757685994981E-2</v>
      </c>
      <c r="R93" s="18">
        <f t="shared" si="18"/>
        <v>3.2064356755729051E-2</v>
      </c>
      <c r="S93" s="21">
        <v>2.7456646729828726E-2</v>
      </c>
      <c r="T93" s="18">
        <f t="shared" si="19"/>
        <v>3.2063631554406058E-2</v>
      </c>
      <c r="U93" s="23">
        <v>3.1766656910368951E-2</v>
      </c>
      <c r="V93" s="23">
        <f t="shared" si="20"/>
        <v>3.6374457091056023E-2</v>
      </c>
      <c r="W93" s="22">
        <f t="shared" si="23"/>
        <v>2.9841010137874324E-3</v>
      </c>
      <c r="X93" s="23">
        <v>3.0906657895356959E-2</v>
      </c>
      <c r="Y93" s="23">
        <f t="shared" si="24"/>
        <v>3.5514244423895169E-2</v>
      </c>
      <c r="Z93" s="22">
        <f t="shared" si="25"/>
        <v>2.9146952641212476E-3</v>
      </c>
      <c r="AA93" s="33"/>
      <c r="AB93" s="50">
        <f t="shared" si="21"/>
        <v>80</v>
      </c>
      <c r="AC93" s="48">
        <f t="shared" si="16"/>
        <v>0.83478822406780906</v>
      </c>
      <c r="AE93" s="48">
        <f t="shared" si="22"/>
        <v>0.99737101619862623</v>
      </c>
      <c r="AF93" s="48">
        <f t="shared" si="26"/>
        <v>0.83478822406780939</v>
      </c>
      <c r="AH93" s="48">
        <f t="shared" si="27"/>
        <v>0</v>
      </c>
    </row>
    <row r="94" spans="4:34" ht="13.9" customHeight="1">
      <c r="D94" s="8"/>
      <c r="E94" s="9"/>
      <c r="F94" s="18"/>
      <c r="G94" s="18"/>
      <c r="H94" s="18"/>
      <c r="J94" s="40"/>
      <c r="K94" s="40"/>
      <c r="L94" s="40"/>
      <c r="M94" s="38"/>
      <c r="O94" s="12">
        <f t="shared" si="17"/>
        <v>6.75</v>
      </c>
      <c r="P94" s="13">
        <v>81</v>
      </c>
      <c r="Q94" s="21">
        <v>2.7513516025662099E-2</v>
      </c>
      <c r="R94" s="18">
        <f t="shared" si="18"/>
        <v>3.2024384355398894E-2</v>
      </c>
      <c r="S94" s="21">
        <v>2.7513397519644656E-2</v>
      </c>
      <c r="T94" s="18">
        <f t="shared" si="19"/>
        <v>3.2025337819635347E-2</v>
      </c>
      <c r="U94" s="23">
        <v>3.1823418245092494E-2</v>
      </c>
      <c r="V94" s="23">
        <f t="shared" si="20"/>
        <v>3.6335565844548334E-2</v>
      </c>
      <c r="W94" s="22">
        <f t="shared" si="23"/>
        <v>2.9818137557346969E-3</v>
      </c>
      <c r="X94" s="23">
        <v>3.0963416499949936E-2</v>
      </c>
      <c r="Y94" s="23">
        <f t="shared" si="24"/>
        <v>3.5475463969025789E-2</v>
      </c>
      <c r="Z94" s="22">
        <f t="shared" si="25"/>
        <v>2.9124126773951708E-3</v>
      </c>
      <c r="AA94" s="33"/>
      <c r="AB94" s="50">
        <f t="shared" si="21"/>
        <v>81</v>
      </c>
      <c r="AC94" s="48">
        <f t="shared" si="16"/>
        <v>0.83259554437390892</v>
      </c>
      <c r="AE94" s="48">
        <f t="shared" si="22"/>
        <v>0.99737337011869243</v>
      </c>
      <c r="AF94" s="48">
        <f t="shared" si="26"/>
        <v>0.83259554437390915</v>
      </c>
      <c r="AH94" s="48">
        <f t="shared" si="27"/>
        <v>0</v>
      </c>
    </row>
    <row r="95" spans="4:34" ht="13.9" customHeight="1">
      <c r="D95" s="8"/>
      <c r="E95" s="9"/>
      <c r="F95" s="18"/>
      <c r="G95" s="18"/>
      <c r="H95" s="18"/>
      <c r="J95" s="40"/>
      <c r="K95" s="40"/>
      <c r="L95" s="40"/>
      <c r="M95" s="38"/>
      <c r="O95" s="12">
        <f t="shared" si="17"/>
        <v>6.833333333333333</v>
      </c>
      <c r="P95" s="13">
        <v>82</v>
      </c>
      <c r="Q95" s="21">
        <v>2.7568407682954765E-2</v>
      </c>
      <c r="R95" s="18">
        <f t="shared" si="18"/>
        <v>3.1973648871752136E-2</v>
      </c>
      <c r="S95" s="21">
        <v>2.7568302193280436E-2</v>
      </c>
      <c r="T95" s="18">
        <f t="shared" si="19"/>
        <v>3.1976703906864135E-2</v>
      </c>
      <c r="U95" s="23">
        <v>3.1878325931488982E-2</v>
      </c>
      <c r="V95" s="23">
        <f t="shared" si="20"/>
        <v>3.6286164035173485E-2</v>
      </c>
      <c r="W95" s="22">
        <f t="shared" si="23"/>
        <v>2.9786771896336273E-3</v>
      </c>
      <c r="X95" s="23">
        <v>3.1018322871933401E-2</v>
      </c>
      <c r="Y95" s="23">
        <f t="shared" si="24"/>
        <v>3.5426206910157187E-2</v>
      </c>
      <c r="Z95" s="22">
        <f t="shared" si="25"/>
        <v>2.9092826651506698E-3</v>
      </c>
      <c r="AA95" s="33"/>
      <c r="AB95" s="50">
        <f t="shared" si="21"/>
        <v>82</v>
      </c>
      <c r="AC95" s="48">
        <f t="shared" si="16"/>
        <v>0.83041130427480636</v>
      </c>
      <c r="AE95" s="48">
        <f t="shared" si="22"/>
        <v>0.99737658925289419</v>
      </c>
      <c r="AF95" s="48">
        <f t="shared" si="26"/>
        <v>0.83041130427480625</v>
      </c>
      <c r="AH95" s="48">
        <f t="shared" si="27"/>
        <v>0</v>
      </c>
    </row>
    <row r="96" spans="4:34" ht="13.9" customHeight="1">
      <c r="D96" s="8"/>
      <c r="E96" s="9"/>
      <c r="F96" s="18"/>
      <c r="G96" s="18"/>
      <c r="H96" s="18"/>
      <c r="J96" s="40"/>
      <c r="K96" s="40"/>
      <c r="L96" s="40"/>
      <c r="M96" s="38"/>
      <c r="O96" s="12">
        <f t="shared" si="17"/>
        <v>6.916666666666667</v>
      </c>
      <c r="P96" s="13">
        <v>83</v>
      </c>
      <c r="Q96" s="21">
        <v>2.7621370798870393E-2</v>
      </c>
      <c r="R96" s="18">
        <f t="shared" si="18"/>
        <v>3.1912129596918026E-2</v>
      </c>
      <c r="S96" s="21">
        <v>2.7621303227145066E-2</v>
      </c>
      <c r="T96" s="18">
        <f t="shared" si="19"/>
        <v>3.1917761482924911E-2</v>
      </c>
      <c r="U96" s="23">
        <v>3.1931320670899543E-2</v>
      </c>
      <c r="V96" s="23">
        <f t="shared" si="20"/>
        <v>3.6226270609895916E-2</v>
      </c>
      <c r="W96" s="22">
        <f t="shared" si="23"/>
        <v>2.974692794547984E-3</v>
      </c>
      <c r="X96" s="23">
        <v>3.107131806949881E-2</v>
      </c>
      <c r="Y96" s="23">
        <f t="shared" si="24"/>
        <v>3.5366494782544056E-2</v>
      </c>
      <c r="Z96" s="22">
        <f t="shared" si="25"/>
        <v>2.9053069199989068E-3</v>
      </c>
      <c r="AA96" s="33"/>
      <c r="AB96" s="50">
        <f t="shared" si="21"/>
        <v>83</v>
      </c>
      <c r="AC96" s="48">
        <f t="shared" si="16"/>
        <v>0.82823618749659789</v>
      </c>
      <c r="AE96" s="48">
        <f t="shared" si="22"/>
        <v>0.99738067537494846</v>
      </c>
      <c r="AF96" s="48">
        <f t="shared" si="26"/>
        <v>0.82823618749659811</v>
      </c>
      <c r="AH96" s="48">
        <f t="shared" si="27"/>
        <v>0</v>
      </c>
    </row>
    <row r="97" spans="4:34" ht="13.9" customHeight="1">
      <c r="D97" s="8"/>
      <c r="E97" s="9"/>
      <c r="F97" s="18"/>
      <c r="G97" s="18"/>
      <c r="H97" s="18"/>
      <c r="J97" s="40"/>
      <c r="K97" s="40"/>
      <c r="L97" s="40"/>
      <c r="M97" s="38"/>
      <c r="O97" s="12">
        <f t="shared" si="17"/>
        <v>7</v>
      </c>
      <c r="P97" s="13">
        <v>84</v>
      </c>
      <c r="Q97" s="21">
        <v>2.7672346179565599E-2</v>
      </c>
      <c r="R97" s="18">
        <f t="shared" si="18"/>
        <v>3.1841604114212441E-2</v>
      </c>
      <c r="S97" s="21">
        <v>2.7672346179560492E-2</v>
      </c>
      <c r="T97" s="18">
        <f t="shared" si="19"/>
        <v>3.1850202648085801E-2</v>
      </c>
      <c r="U97" s="23">
        <v>3.1982346179558752E-2</v>
      </c>
      <c r="V97" s="23">
        <f t="shared" si="20"/>
        <v>3.6157615630330264E-2</v>
      </c>
      <c r="W97" s="22">
        <f t="shared" si="23"/>
        <v>2.9698619875715426E-3</v>
      </c>
      <c r="X97" s="23">
        <v>3.1122346179571325E-2</v>
      </c>
      <c r="Y97" s="23">
        <f t="shared" si="24"/>
        <v>3.529805030856803E-2</v>
      </c>
      <c r="Z97" s="22">
        <f t="shared" si="25"/>
        <v>2.9004870696314189E-3</v>
      </c>
      <c r="AA97" s="33"/>
      <c r="AB97" s="50">
        <f t="shared" si="21"/>
        <v>84</v>
      </c>
      <c r="AC97" s="48">
        <f t="shared" si="16"/>
        <v>0.82607087189635531</v>
      </c>
      <c r="AE97" s="48">
        <f t="shared" si="22"/>
        <v>0.99738563029129712</v>
      </c>
      <c r="AF97" s="48">
        <f t="shared" si="26"/>
        <v>0.82607087189635542</v>
      </c>
      <c r="AH97" s="48">
        <f t="shared" si="27"/>
        <v>0</v>
      </c>
    </row>
    <row r="98" spans="4:34" ht="13.9" customHeight="1">
      <c r="D98" s="8"/>
      <c r="E98" s="9"/>
      <c r="F98" s="18"/>
      <c r="G98" s="18"/>
      <c r="H98" s="18"/>
      <c r="J98" s="40"/>
      <c r="K98" s="40"/>
      <c r="L98" s="40"/>
      <c r="M98" s="38"/>
      <c r="O98" s="12">
        <f t="shared" si="17"/>
        <v>7.083333333333333</v>
      </c>
      <c r="P98" s="13">
        <v>85</v>
      </c>
      <c r="Q98" s="21">
        <v>2.7721298209152145E-2</v>
      </c>
      <c r="R98" s="18">
        <f t="shared" si="18"/>
        <v>3.1769250229835677E-2</v>
      </c>
      <c r="S98" s="21">
        <v>2.7721398964009492E-2</v>
      </c>
      <c r="T98" s="18">
        <f t="shared" si="19"/>
        <v>3.1780689460593203E-2</v>
      </c>
      <c r="U98" s="23">
        <v>3.2031369059889458E-2</v>
      </c>
      <c r="V98" s="23">
        <f t="shared" si="20"/>
        <v>3.6087055127572931E-2</v>
      </c>
      <c r="W98" s="22">
        <f t="shared" si="23"/>
        <v>2.9643241875398907E-3</v>
      </c>
      <c r="X98" s="23">
        <v>3.1171374071915947E-2</v>
      </c>
      <c r="Y98" s="23">
        <f t="shared" si="24"/>
        <v>3.5227691587125021E-2</v>
      </c>
      <c r="Z98" s="22">
        <f t="shared" si="25"/>
        <v>2.8949620472904503E-3</v>
      </c>
      <c r="AA98" s="33"/>
      <c r="AB98" s="50">
        <f t="shared" si="21"/>
        <v>85</v>
      </c>
      <c r="AC98" s="48">
        <f t="shared" si="16"/>
        <v>0.82391590988631547</v>
      </c>
      <c r="AE98" s="48">
        <f t="shared" si="22"/>
        <v>0.99739131098389566</v>
      </c>
      <c r="AF98" s="48">
        <f t="shared" si="26"/>
        <v>0.82391590988631569</v>
      </c>
      <c r="AH98" s="48">
        <f t="shared" si="27"/>
        <v>0</v>
      </c>
    </row>
    <row r="99" spans="4:34" ht="13.9" customHeight="1">
      <c r="D99" s="8"/>
      <c r="E99" s="9"/>
      <c r="F99" s="18"/>
      <c r="G99" s="18"/>
      <c r="H99" s="18"/>
      <c r="J99" s="40"/>
      <c r="K99" s="40"/>
      <c r="L99" s="40"/>
      <c r="M99" s="38"/>
      <c r="O99" s="12">
        <f t="shared" si="17"/>
        <v>7.166666666666667</v>
      </c>
      <c r="P99" s="13">
        <v>86</v>
      </c>
      <c r="Q99" s="21">
        <v>2.7768276037785311E-2</v>
      </c>
      <c r="R99" s="18">
        <f t="shared" si="18"/>
        <v>3.169686083506229E-2</v>
      </c>
      <c r="S99" s="21">
        <v>2.7768508123424462E-2</v>
      </c>
      <c r="T99" s="18">
        <f t="shared" si="19"/>
        <v>3.1710878968010281E-2</v>
      </c>
      <c r="U99" s="23">
        <v>3.2078436852335468E-2</v>
      </c>
      <c r="V99" s="23">
        <f t="shared" si="20"/>
        <v>3.6016296313550189E-2</v>
      </c>
      <c r="W99" s="22">
        <f t="shared" si="23"/>
        <v>2.9586323350301313E-3</v>
      </c>
      <c r="X99" s="23">
        <v>3.1218449102355272E-2</v>
      </c>
      <c r="Y99" s="23">
        <f t="shared" si="24"/>
        <v>3.5157115994354449E-2</v>
      </c>
      <c r="Z99" s="22">
        <f t="shared" si="25"/>
        <v>2.8892821527226609E-3</v>
      </c>
      <c r="AA99" s="33"/>
      <c r="AB99" s="50">
        <f t="shared" si="21"/>
        <v>86</v>
      </c>
      <c r="AC99" s="48">
        <f t="shared" si="16"/>
        <v>0.82177137161678215</v>
      </c>
      <c r="AE99" s="48">
        <f t="shared" si="22"/>
        <v>0.99739713938788999</v>
      </c>
      <c r="AF99" s="48">
        <f t="shared" si="26"/>
        <v>0.82177137161678182</v>
      </c>
      <c r="AH99" s="48">
        <f t="shared" si="27"/>
        <v>0</v>
      </c>
    </row>
    <row r="100" spans="4:34" ht="13.9" customHeight="1">
      <c r="D100" s="8"/>
      <c r="E100" s="9"/>
      <c r="F100" s="18"/>
      <c r="G100" s="18"/>
      <c r="H100" s="18"/>
      <c r="J100" s="40"/>
      <c r="K100" s="40"/>
      <c r="L100" s="40"/>
      <c r="M100" s="38"/>
      <c r="O100" s="12">
        <f t="shared" si="17"/>
        <v>7.25</v>
      </c>
      <c r="P100" s="13">
        <v>87</v>
      </c>
      <c r="Q100" s="21">
        <v>2.7813347089026719E-2</v>
      </c>
      <c r="R100" s="18">
        <f t="shared" si="18"/>
        <v>3.1624432031898131E-2</v>
      </c>
      <c r="S100" s="21">
        <v>2.7813737037480024E-2</v>
      </c>
      <c r="T100" s="18">
        <f t="shared" si="19"/>
        <v>3.1640764130916432E-2</v>
      </c>
      <c r="U100" s="23">
        <v>3.2123614463308137E-2</v>
      </c>
      <c r="V100" s="23">
        <f t="shared" si="20"/>
        <v>3.5945332910402028E-2</v>
      </c>
      <c r="W100" s="22">
        <f t="shared" si="23"/>
        <v>2.9529241286510022E-3</v>
      </c>
      <c r="X100" s="23">
        <v>3.1263635888413077E-2</v>
      </c>
      <c r="Y100" s="23">
        <f t="shared" si="24"/>
        <v>3.5086317082481777E-2</v>
      </c>
      <c r="Z100" s="22">
        <f t="shared" si="25"/>
        <v>2.8835843951304785E-3</v>
      </c>
      <c r="AA100" s="33"/>
      <c r="AB100" s="50">
        <f t="shared" si="21"/>
        <v>87</v>
      </c>
      <c r="AC100" s="48">
        <f t="shared" si="16"/>
        <v>0.81963720761181813</v>
      </c>
      <c r="AE100" s="48">
        <f t="shared" si="22"/>
        <v>0.99740297109551923</v>
      </c>
      <c r="AF100" s="48">
        <f t="shared" si="26"/>
        <v>0.81963720761181824</v>
      </c>
      <c r="AH100" s="48">
        <f t="shared" si="27"/>
        <v>0</v>
      </c>
    </row>
    <row r="101" spans="4:34" ht="13.9" customHeight="1">
      <c r="D101" s="8"/>
      <c r="E101" s="9"/>
      <c r="F101" s="18"/>
      <c r="G101" s="18"/>
      <c r="H101" s="18"/>
      <c r="J101" s="40"/>
      <c r="K101" s="40"/>
      <c r="L101" s="40"/>
      <c r="M101" s="38"/>
      <c r="O101" s="12">
        <f t="shared" si="17"/>
        <v>7.333333333333333</v>
      </c>
      <c r="P101" s="13">
        <v>88</v>
      </c>
      <c r="Q101" s="21">
        <v>2.785657568780131E-2</v>
      </c>
      <c r="R101" s="18">
        <f t="shared" si="18"/>
        <v>3.1551959918443728E-2</v>
      </c>
      <c r="S101" s="21">
        <v>2.7857146134044664E-2</v>
      </c>
      <c r="T101" s="18">
        <f t="shared" si="19"/>
        <v>3.1570337908210844E-2</v>
      </c>
      <c r="U101" s="23">
        <v>3.21669637871278E-2</v>
      </c>
      <c r="V101" s="23">
        <f t="shared" si="20"/>
        <v>3.5874158639984444E-2</v>
      </c>
      <c r="W101" s="22">
        <f t="shared" si="23"/>
        <v>2.947199058860317E-3</v>
      </c>
      <c r="X101" s="23">
        <v>3.1306996046636115E-2</v>
      </c>
      <c r="Y101" s="23">
        <f t="shared" si="24"/>
        <v>3.5015288402893141E-2</v>
      </c>
      <c r="Z101" s="22">
        <f t="shared" si="25"/>
        <v>2.8778682505894437E-3</v>
      </c>
      <c r="AA101" s="33"/>
      <c r="AB101" s="50">
        <f t="shared" si="21"/>
        <v>88</v>
      </c>
      <c r="AC101" s="48">
        <f t="shared" si="16"/>
        <v>0.81751336894280346</v>
      </c>
      <c r="AE101" s="48">
        <f t="shared" si="22"/>
        <v>0.99740880642155971</v>
      </c>
      <c r="AF101" s="48">
        <f t="shared" si="26"/>
        <v>0.8175133689428038</v>
      </c>
      <c r="AH101" s="48">
        <f t="shared" si="27"/>
        <v>0</v>
      </c>
    </row>
    <row r="102" spans="4:34" ht="13.9" customHeight="1">
      <c r="D102" s="8"/>
      <c r="E102" s="9"/>
      <c r="F102" s="18"/>
      <c r="G102" s="18"/>
      <c r="H102" s="18"/>
      <c r="J102" s="40"/>
      <c r="K102" s="40"/>
      <c r="L102" s="40"/>
      <c r="M102" s="38"/>
      <c r="O102" s="12">
        <f t="shared" si="17"/>
        <v>7.416666666666667</v>
      </c>
      <c r="P102" s="13">
        <v>89</v>
      </c>
      <c r="Q102" s="21">
        <v>2.7898023233846603E-2</v>
      </c>
      <c r="R102" s="18">
        <f t="shared" si="18"/>
        <v>3.1479440588962682E-2</v>
      </c>
      <c r="S102" s="21">
        <v>2.7898793054453197E-2</v>
      </c>
      <c r="T102" s="18">
        <f t="shared" si="19"/>
        <v>3.1499593256834491E-2</v>
      </c>
      <c r="U102" s="23">
        <v>3.2208543874679751E-2</v>
      </c>
      <c r="V102" s="23">
        <f t="shared" si="20"/>
        <v>3.5802767223489962E-2</v>
      </c>
      <c r="W102" s="22">
        <f t="shared" si="23"/>
        <v>2.9414566159560174E-3</v>
      </c>
      <c r="X102" s="23">
        <v>3.134858836062504E-2</v>
      </c>
      <c r="Y102" s="23">
        <f t="shared" si="24"/>
        <v>3.4944023506401134E-2</v>
      </c>
      <c r="Z102" s="22">
        <f t="shared" si="25"/>
        <v>2.8721331949661533E-3</v>
      </c>
      <c r="AA102" s="33"/>
      <c r="AB102" s="50">
        <f t="shared" si="21"/>
        <v>89</v>
      </c>
      <c r="AC102" s="48">
        <f t="shared" si="16"/>
        <v>0.81539980722372951</v>
      </c>
      <c r="AE102" s="48">
        <f t="shared" si="22"/>
        <v>0.99741464568119853</v>
      </c>
      <c r="AF102" s="48">
        <f t="shared" si="26"/>
        <v>0.81539980722372962</v>
      </c>
      <c r="AH102" s="48">
        <f t="shared" si="27"/>
        <v>0</v>
      </c>
    </row>
    <row r="103" spans="4:34" ht="13.9" customHeight="1">
      <c r="D103" s="8"/>
      <c r="E103" s="9"/>
      <c r="F103" s="18"/>
      <c r="G103" s="18"/>
      <c r="H103" s="18"/>
      <c r="J103" s="40"/>
      <c r="K103" s="40"/>
      <c r="L103" s="40"/>
      <c r="M103" s="38"/>
      <c r="O103" s="12">
        <f t="shared" si="17"/>
        <v>7.5</v>
      </c>
      <c r="P103" s="13">
        <v>90</v>
      </c>
      <c r="Q103" s="21">
        <v>2.793774836363716E-2</v>
      </c>
      <c r="R103" s="18">
        <f t="shared" si="18"/>
        <v>3.1406871052286345E-2</v>
      </c>
      <c r="S103" s="21">
        <v>2.793873280779291E-2</v>
      </c>
      <c r="T103" s="18">
        <f t="shared" si="19"/>
        <v>3.1428523131839414E-2</v>
      </c>
      <c r="U103" s="23">
        <v>3.2248411090861406E-2</v>
      </c>
      <c r="V103" s="23">
        <f t="shared" si="20"/>
        <v>3.5731152381642817E-2</v>
      </c>
      <c r="W103" s="22">
        <f t="shared" si="23"/>
        <v>2.9356962900444206E-3</v>
      </c>
      <c r="X103" s="23">
        <v>3.1388468937901148E-2</v>
      </c>
      <c r="Y103" s="23">
        <f t="shared" si="24"/>
        <v>3.4872515942865334E-2</v>
      </c>
      <c r="Z103" s="22">
        <f t="shared" si="25"/>
        <v>2.8663787039369115E-3</v>
      </c>
      <c r="AA103" s="33"/>
      <c r="AB103" s="50">
        <f t="shared" si="21"/>
        <v>90</v>
      </c>
      <c r="AC103" s="48">
        <f t="shared" si="16"/>
        <v>0.81329647460654753</v>
      </c>
      <c r="AE103" s="48">
        <f t="shared" si="22"/>
        <v>0.99742048919002868</v>
      </c>
      <c r="AF103" s="48">
        <f t="shared" si="26"/>
        <v>0.81329647460654753</v>
      </c>
      <c r="AH103" s="48">
        <f t="shared" si="27"/>
        <v>0</v>
      </c>
    </row>
    <row r="104" spans="4:34" ht="13.9" customHeight="1">
      <c r="D104" s="8"/>
      <c r="E104" s="9"/>
      <c r="F104" s="18"/>
      <c r="G104" s="18"/>
      <c r="H104" s="18"/>
      <c r="J104" s="40"/>
      <c r="K104" s="40"/>
      <c r="L104" s="40"/>
      <c r="M104" s="38"/>
      <c r="O104" s="12">
        <f t="shared" si="17"/>
        <v>7.583333333333333</v>
      </c>
      <c r="P104" s="13">
        <v>91</v>
      </c>
      <c r="Q104" s="21">
        <v>2.7975807111726203E-2</v>
      </c>
      <c r="R104" s="18">
        <f t="shared" si="18"/>
        <v>3.1334251071190922E-2</v>
      </c>
      <c r="S104" s="21">
        <v>2.7977017915048918E-2</v>
      </c>
      <c r="T104" s="18">
        <f t="shared" si="19"/>
        <v>3.1357120485717482E-2</v>
      </c>
      <c r="U104" s="23">
        <v>3.228661926168086E-2</v>
      </c>
      <c r="V104" s="23">
        <f t="shared" si="20"/>
        <v>3.5659307834099208E-2</v>
      </c>
      <c r="W104" s="22">
        <f t="shared" si="23"/>
        <v>2.9299175710557623E-3</v>
      </c>
      <c r="X104" s="23">
        <v>3.142669135645848E-2</v>
      </c>
      <c r="Y104" s="23">
        <f t="shared" si="24"/>
        <v>3.4800759261105707E-2</v>
      </c>
      <c r="Z104" s="22">
        <f t="shared" si="25"/>
        <v>2.8606042529573106E-3</v>
      </c>
      <c r="AA104" s="33"/>
      <c r="AB104" s="50">
        <f t="shared" si="21"/>
        <v>91</v>
      </c>
      <c r="AC104" s="48">
        <f t="shared" si="16"/>
        <v>0.8112033237163776</v>
      </c>
      <c r="AE104" s="48">
        <f t="shared" si="22"/>
        <v>0.99742633719003604</v>
      </c>
      <c r="AF104" s="48">
        <f t="shared" si="26"/>
        <v>0.81120332371637782</v>
      </c>
      <c r="AH104" s="48">
        <f t="shared" si="27"/>
        <v>0</v>
      </c>
    </row>
    <row r="105" spans="4:34" ht="13.9" customHeight="1">
      <c r="D105" s="8"/>
      <c r="E105" s="9"/>
      <c r="F105" s="18"/>
      <c r="G105" s="18"/>
      <c r="H105" s="18"/>
      <c r="J105" s="40"/>
      <c r="K105" s="40"/>
      <c r="L105" s="40"/>
      <c r="M105" s="38"/>
      <c r="O105" s="12">
        <f t="shared" si="17"/>
        <v>7.666666666666667</v>
      </c>
      <c r="P105" s="13">
        <v>92</v>
      </c>
      <c r="Q105" s="21">
        <v>2.8012253081531657E-2</v>
      </c>
      <c r="R105" s="18">
        <f t="shared" si="18"/>
        <v>3.1261577654039474E-2</v>
      </c>
      <c r="S105" s="21">
        <v>2.8013698543871257E-2</v>
      </c>
      <c r="T105" s="18">
        <f t="shared" si="19"/>
        <v>3.1285378268698594E-2</v>
      </c>
      <c r="U105" s="23">
        <v>3.2323219811787318E-2</v>
      </c>
      <c r="V105" s="23">
        <f t="shared" si="20"/>
        <v>3.5587227299690438E-2</v>
      </c>
      <c r="W105" s="22">
        <f t="shared" si="23"/>
        <v>2.9241199486942371E-3</v>
      </c>
      <c r="X105" s="23">
        <v>3.1463306801787994E-2</v>
      </c>
      <c r="Y105" s="23">
        <f t="shared" si="24"/>
        <v>3.4728747008656802E-2</v>
      </c>
      <c r="Z105" s="22">
        <f t="shared" si="25"/>
        <v>2.8548093172535705E-3</v>
      </c>
      <c r="AA105" s="33"/>
      <c r="AB105" s="50">
        <f t="shared" si="21"/>
        <v>92</v>
      </c>
      <c r="AC105" s="48">
        <f t="shared" si="16"/>
        <v>0.80912030746742336</v>
      </c>
      <c r="AE105" s="48">
        <f t="shared" si="22"/>
        <v>0.9974321897013303</v>
      </c>
      <c r="AF105" s="48">
        <f t="shared" si="26"/>
        <v>0.8091203074674238</v>
      </c>
      <c r="AH105" s="48">
        <f t="shared" si="27"/>
        <v>0</v>
      </c>
    </row>
    <row r="106" spans="4:34" ht="13.9" customHeight="1">
      <c r="D106" s="8"/>
      <c r="E106" s="9"/>
      <c r="F106" s="18"/>
      <c r="G106" s="18"/>
      <c r="H106" s="18"/>
      <c r="J106" s="40"/>
      <c r="K106" s="40"/>
      <c r="L106" s="40"/>
      <c r="M106" s="38"/>
      <c r="O106" s="12">
        <f t="shared" si="17"/>
        <v>7.75</v>
      </c>
      <c r="P106" s="13">
        <v>93</v>
      </c>
      <c r="Q106" s="21">
        <v>2.8047137546104217E-2</v>
      </c>
      <c r="R106" s="18">
        <f t="shared" si="18"/>
        <v>3.118884688772261E-2</v>
      </c>
      <c r="S106" s="21">
        <v>2.8048822634676451E-2</v>
      </c>
      <c r="T106" s="18">
        <f t="shared" si="19"/>
        <v>3.1213289427992175E-2</v>
      </c>
      <c r="U106" s="23">
        <v>3.2358261893157714E-2</v>
      </c>
      <c r="V106" s="23">
        <f t="shared" si="20"/>
        <v>3.551490449606276E-2</v>
      </c>
      <c r="W106" s="22">
        <f t="shared" si="23"/>
        <v>2.9183029124559834E-3</v>
      </c>
      <c r="X106" s="23">
        <v>3.1498364195085449E-2</v>
      </c>
      <c r="Y106" s="23">
        <f t="shared" si="24"/>
        <v>3.4656472731613208E-2</v>
      </c>
      <c r="Z106" s="22">
        <f t="shared" si="25"/>
        <v>2.8489933718016669E-3</v>
      </c>
      <c r="AA106" s="33"/>
      <c r="AB106" s="50">
        <f t="shared" si="21"/>
        <v>93</v>
      </c>
      <c r="AC106" s="48">
        <f t="shared" si="16"/>
        <v>0.80704737924086356</v>
      </c>
      <c r="AE106" s="48">
        <f t="shared" si="22"/>
        <v>0.99743804696603322</v>
      </c>
      <c r="AF106" s="48">
        <f t="shared" si="26"/>
        <v>0.80704737924086356</v>
      </c>
      <c r="AH106" s="48">
        <f t="shared" si="27"/>
        <v>0</v>
      </c>
    </row>
    <row r="107" spans="4:34" ht="13.9" customHeight="1">
      <c r="D107" s="8"/>
      <c r="E107" s="9"/>
      <c r="F107" s="18"/>
      <c r="G107" s="18"/>
      <c r="H107" s="18"/>
      <c r="J107" s="40"/>
      <c r="K107" s="40"/>
      <c r="L107" s="40"/>
      <c r="M107" s="38"/>
      <c r="O107" s="12">
        <f t="shared" si="17"/>
        <v>7.833333333333333</v>
      </c>
      <c r="P107" s="13">
        <v>94</v>
      </c>
      <c r="Q107" s="21">
        <v>2.8080509561914324E-2</v>
      </c>
      <c r="R107" s="18">
        <f t="shared" si="18"/>
        <v>3.1116054855407471E-2</v>
      </c>
      <c r="S107" s="21">
        <v>2.808243601871574E-2</v>
      </c>
      <c r="T107" s="18">
        <f t="shared" si="19"/>
        <v>3.1140846908347397E-2</v>
      </c>
      <c r="U107" s="23">
        <v>3.2391792505590988E-2</v>
      </c>
      <c r="V107" s="23">
        <f t="shared" si="20"/>
        <v>3.544233313949019E-2</v>
      </c>
      <c r="W107" s="22">
        <f t="shared" si="23"/>
        <v>2.9124659515999962E-3</v>
      </c>
      <c r="X107" s="23">
        <v>3.1531910313299383E-2</v>
      </c>
      <c r="Y107" s="23">
        <f t="shared" si="24"/>
        <v>3.4583929974437932E-2</v>
      </c>
      <c r="Z107" s="22">
        <f t="shared" si="25"/>
        <v>2.8431558913131205E-3</v>
      </c>
      <c r="AA107" s="33"/>
      <c r="AB107" s="50">
        <f t="shared" si="21"/>
        <v>94</v>
      </c>
      <c r="AC107" s="48">
        <f t="shared" si="16"/>
        <v>0.80498449294082608</v>
      </c>
      <c r="AE107" s="48">
        <f t="shared" si="22"/>
        <v>0.99744390930061866</v>
      </c>
      <c r="AF107" s="48">
        <f t="shared" si="26"/>
        <v>0.80498449294082586</v>
      </c>
      <c r="AH107" s="48">
        <f t="shared" si="27"/>
        <v>0</v>
      </c>
    </row>
    <row r="108" spans="4:34" ht="13.9" customHeight="1">
      <c r="D108" s="8"/>
      <c r="E108" s="9"/>
      <c r="F108" s="18"/>
      <c r="G108" s="18"/>
      <c r="H108" s="18"/>
      <c r="J108" s="40"/>
      <c r="K108" s="40"/>
      <c r="L108" s="40"/>
      <c r="M108" s="38"/>
      <c r="O108" s="12">
        <f t="shared" si="17"/>
        <v>7.916666666666667</v>
      </c>
      <c r="P108" s="13">
        <v>95</v>
      </c>
      <c r="Q108" s="21">
        <v>2.811241608510362E-2</v>
      </c>
      <c r="R108" s="18">
        <f t="shared" si="18"/>
        <v>3.104319763673602E-2</v>
      </c>
      <c r="S108" s="21">
        <v>2.8114582528715237E-2</v>
      </c>
      <c r="T108" s="18">
        <f t="shared" si="19"/>
        <v>3.106804365099225E-2</v>
      </c>
      <c r="U108" s="23">
        <v>3.2423856609613333E-2</v>
      </c>
      <c r="V108" s="23">
        <f t="shared" si="20"/>
        <v>3.5369506944708862E-2</v>
      </c>
      <c r="W108" s="22">
        <f t="shared" si="23"/>
        <v>2.9066085551310294E-3</v>
      </c>
      <c r="X108" s="23">
        <v>3.1563989901618017E-2</v>
      </c>
      <c r="Y108" s="23">
        <f t="shared" si="24"/>
        <v>3.4511112280067868E-2</v>
      </c>
      <c r="Z108" s="22">
        <f t="shared" si="25"/>
        <v>2.8372963502192317E-3</v>
      </c>
      <c r="AA108" s="33"/>
      <c r="AB108" s="50">
        <f t="shared" si="21"/>
        <v>95</v>
      </c>
      <c r="AC108" s="48">
        <f t="shared" si="16"/>
        <v>0.80293160298995958</v>
      </c>
      <c r="AE108" s="48">
        <f t="shared" si="22"/>
        <v>0.99744977702195703</v>
      </c>
      <c r="AF108" s="48">
        <f t="shared" si="26"/>
        <v>0.80293160298995991</v>
      </c>
      <c r="AH108" s="48">
        <f t="shared" si="27"/>
        <v>0</v>
      </c>
    </row>
    <row r="109" spans="4:34" ht="13.9" customHeight="1">
      <c r="D109" s="8"/>
      <c r="E109" s="9"/>
      <c r="F109" s="18"/>
      <c r="G109" s="18"/>
      <c r="H109" s="18"/>
      <c r="J109" s="40"/>
      <c r="K109" s="40"/>
      <c r="L109" s="40"/>
      <c r="M109" s="38"/>
      <c r="O109" s="12">
        <f t="shared" si="17"/>
        <v>8</v>
      </c>
      <c r="P109" s="13">
        <v>96</v>
      </c>
      <c r="Q109" s="21">
        <v>2.8142902080495302E-2</v>
      </c>
      <c r="R109" s="18">
        <f t="shared" si="18"/>
        <v>3.0970272215556038E-2</v>
      </c>
      <c r="S109" s="21">
        <v>2.8145304102610291E-2</v>
      </c>
      <c r="T109" s="18">
        <f t="shared" si="19"/>
        <v>3.0994872594168665E-2</v>
      </c>
      <c r="U109" s="23">
        <v>3.2454497232346169E-2</v>
      </c>
      <c r="V109" s="23">
        <f t="shared" si="20"/>
        <v>3.5296419625144404E-2</v>
      </c>
      <c r="W109" s="22">
        <f t="shared" si="23"/>
        <v>2.900730211785163E-3</v>
      </c>
      <c r="X109" s="23">
        <v>3.1594645778947328E-2</v>
      </c>
      <c r="Y109" s="23">
        <f t="shared" si="24"/>
        <v>3.4438013189208583E-2</v>
      </c>
      <c r="Z109" s="22">
        <f t="shared" si="25"/>
        <v>2.8314142226766315E-3</v>
      </c>
      <c r="AA109" s="33"/>
      <c r="AB109" s="50">
        <f t="shared" si="21"/>
        <v>96</v>
      </c>
      <c r="AC109" s="48">
        <f t="shared" si="16"/>
        <v>0.80088866432504491</v>
      </c>
      <c r="AE109" s="48">
        <f t="shared" si="22"/>
        <v>0.99745565044730178</v>
      </c>
      <c r="AF109" s="48">
        <f t="shared" si="26"/>
        <v>0.80088866432504513</v>
      </c>
      <c r="AH109" s="48">
        <f t="shared" si="27"/>
        <v>0</v>
      </c>
    </row>
    <row r="110" spans="4:34" ht="13.9" customHeight="1">
      <c r="D110" s="8"/>
      <c r="E110" s="9"/>
      <c r="F110" s="18"/>
      <c r="G110" s="18"/>
      <c r="H110" s="18"/>
      <c r="J110" s="40"/>
      <c r="K110" s="40"/>
      <c r="L110" s="40"/>
      <c r="M110" s="38"/>
      <c r="O110" s="12">
        <f t="shared" si="17"/>
        <v>8.0833333333333339</v>
      </c>
      <c r="P110" s="13">
        <v>97</v>
      </c>
      <c r="Q110" s="21">
        <v>2.8172010633215949E-2</v>
      </c>
      <c r="R110" s="18">
        <f t="shared" si="18"/>
        <v>3.0897278299506947E-2</v>
      </c>
      <c r="S110" s="21">
        <v>2.8174640880886503E-2</v>
      </c>
      <c r="T110" s="18">
        <f t="shared" si="19"/>
        <v>3.0921326672678662E-2</v>
      </c>
      <c r="U110" s="23">
        <v>3.248375556684735E-2</v>
      </c>
      <c r="V110" s="23">
        <f t="shared" si="20"/>
        <v>3.52230648921108E-2</v>
      </c>
      <c r="W110" s="22">
        <f t="shared" si="23"/>
        <v>2.8948304100475664E-3</v>
      </c>
      <c r="X110" s="23">
        <v>3.162391893687766E-2</v>
      </c>
      <c r="Y110" s="23">
        <f t="shared" si="24"/>
        <v>3.4364626240822371E-2</v>
      </c>
      <c r="Z110" s="22">
        <f t="shared" si="25"/>
        <v>2.8255089825106605E-3</v>
      </c>
      <c r="AA110" s="33"/>
      <c r="AB110" s="50">
        <f t="shared" si="21"/>
        <v>97</v>
      </c>
      <c r="AC110" s="48">
        <f t="shared" si="16"/>
        <v>0.79885563233403811</v>
      </c>
      <c r="AE110" s="48">
        <f t="shared" si="22"/>
        <v>0.99746152982110214</v>
      </c>
      <c r="AF110" s="48">
        <f t="shared" si="26"/>
        <v>0.79885563233403867</v>
      </c>
      <c r="AH110" s="48">
        <f t="shared" si="27"/>
        <v>0</v>
      </c>
    </row>
    <row r="111" spans="4:34" ht="13.9" customHeight="1">
      <c r="D111" s="8"/>
      <c r="E111" s="9"/>
      <c r="F111" s="18"/>
      <c r="G111" s="18"/>
      <c r="H111" s="18"/>
      <c r="J111" s="40"/>
      <c r="K111" s="40"/>
      <c r="L111" s="40"/>
      <c r="M111" s="38"/>
      <c r="O111" s="12">
        <f t="shared" si="17"/>
        <v>8.1666666666666661</v>
      </c>
      <c r="P111" s="13">
        <v>98</v>
      </c>
      <c r="Q111" s="21">
        <v>2.8199783072024642E-2</v>
      </c>
      <c r="R111" s="18">
        <f t="shared" si="18"/>
        <v>3.0824212871586099E-2</v>
      </c>
      <c r="S111" s="21">
        <v>2.8202631297975067E-2</v>
      </c>
      <c r="T111" s="18">
        <f t="shared" si="19"/>
        <v>3.0847398817713367E-2</v>
      </c>
      <c r="U111" s="23">
        <v>3.2511671065379888E-2</v>
      </c>
      <c r="V111" s="23">
        <f t="shared" si="20"/>
        <v>3.5149436455412797E-2</v>
      </c>
      <c r="W111" s="22">
        <f t="shared" si="23"/>
        <v>2.8889086380854412E-3</v>
      </c>
      <c r="X111" s="23">
        <v>3.1651848632613167E-2</v>
      </c>
      <c r="Y111" s="23">
        <f t="shared" si="24"/>
        <v>3.4290944971465009E-2</v>
      </c>
      <c r="Z111" s="22">
        <f t="shared" si="25"/>
        <v>2.8195801032526724E-3</v>
      </c>
      <c r="AA111" s="33"/>
      <c r="AB111" s="50">
        <f t="shared" si="21"/>
        <v>98</v>
      </c>
      <c r="AC111" s="48">
        <f t="shared" si="16"/>
        <v>0.79683246267684071</v>
      </c>
      <c r="AE111" s="48">
        <f t="shared" si="22"/>
        <v>0.99746741516826232</v>
      </c>
      <c r="AF111" s="48">
        <f t="shared" si="26"/>
        <v>0.79683246267684127</v>
      </c>
      <c r="AH111" s="48">
        <f t="shared" si="27"/>
        <v>0</v>
      </c>
    </row>
    <row r="112" spans="4:34" ht="13.9" customHeight="1">
      <c r="D112" s="8"/>
      <c r="E112" s="9"/>
      <c r="F112" s="18"/>
      <c r="G112" s="18"/>
      <c r="H112" s="18"/>
      <c r="J112" s="40"/>
      <c r="K112" s="40"/>
      <c r="L112" s="40"/>
      <c r="M112" s="38"/>
      <c r="O112" s="12">
        <f t="shared" si="17"/>
        <v>8.25</v>
      </c>
      <c r="P112" s="13">
        <v>99</v>
      </c>
      <c r="Q112" s="21">
        <v>2.8226259030303735E-2</v>
      </c>
      <c r="R112" s="18">
        <f t="shared" si="18"/>
        <v>3.075107200396876E-2</v>
      </c>
      <c r="S112" s="21">
        <v>2.8229312168121412E-2</v>
      </c>
      <c r="T112" s="18">
        <f t="shared" si="19"/>
        <v>3.0773081956713799E-2</v>
      </c>
      <c r="U112" s="23">
        <v>3.2538281527050739E-2</v>
      </c>
      <c r="V112" s="23">
        <f t="shared" si="20"/>
        <v>3.5075528022558089E-2</v>
      </c>
      <c r="W112" s="22">
        <f t="shared" si="23"/>
        <v>2.882964383796649E-3</v>
      </c>
      <c r="X112" s="23">
        <v>3.1678472476278641E-2</v>
      </c>
      <c r="Y112" s="23">
        <f t="shared" si="24"/>
        <v>3.4216962915506466E-2</v>
      </c>
      <c r="Z112" s="22">
        <f t="shared" si="25"/>
        <v>2.8136270580847444E-3</v>
      </c>
      <c r="AA112" s="33"/>
      <c r="AB112" s="50">
        <f t="shared" si="21"/>
        <v>99</v>
      </c>
      <c r="AC112" s="48">
        <f t="shared" si="16"/>
        <v>0.7948191114587887</v>
      </c>
      <c r="AE112" s="48">
        <f t="shared" si="22"/>
        <v>0.99747330673340184</v>
      </c>
      <c r="AF112" s="48">
        <f t="shared" si="26"/>
        <v>0.79481911145878892</v>
      </c>
      <c r="AH112" s="48">
        <f t="shared" si="27"/>
        <v>0</v>
      </c>
    </row>
    <row r="113" spans="4:34" ht="13.9" customHeight="1">
      <c r="D113" s="8"/>
      <c r="E113" s="9"/>
      <c r="F113" s="18"/>
      <c r="G113" s="18"/>
      <c r="H113" s="18"/>
      <c r="J113" s="40"/>
      <c r="K113" s="40"/>
      <c r="L113" s="40"/>
      <c r="M113" s="38"/>
      <c r="O113" s="12">
        <f t="shared" si="17"/>
        <v>8.3333333333333339</v>
      </c>
      <c r="P113" s="13">
        <v>100</v>
      </c>
      <c r="Q113" s="21">
        <v>2.8251476521486074E-2</v>
      </c>
      <c r="R113" s="18">
        <f t="shared" si="18"/>
        <v>3.0677851765401387E-2</v>
      </c>
      <c r="S113" s="21">
        <v>2.8254718766116405E-2</v>
      </c>
      <c r="T113" s="18">
        <f t="shared" si="19"/>
        <v>3.0698369013482329E-2</v>
      </c>
      <c r="U113" s="23">
        <v>3.2563623180198009E-2</v>
      </c>
      <c r="V113" s="23">
        <f t="shared" si="20"/>
        <v>3.5001333299133242E-2</v>
      </c>
      <c r="W113" s="22">
        <f t="shared" si="23"/>
        <v>2.876997134743986E-3</v>
      </c>
      <c r="X113" s="23">
        <v>3.1703826513005851E-2</v>
      </c>
      <c r="Y113" s="23">
        <f t="shared" si="24"/>
        <v>3.4142673604876439E-2</v>
      </c>
      <c r="Z113" s="22">
        <f t="shared" si="25"/>
        <v>2.8076493198561092E-3</v>
      </c>
      <c r="AA113" s="33"/>
      <c r="AB113" s="50">
        <f t="shared" si="21"/>
        <v>100</v>
      </c>
      <c r="AC113" s="48">
        <f t="shared" si="16"/>
        <v>0.79281553528531101</v>
      </c>
      <c r="AE113" s="48">
        <f t="shared" si="22"/>
        <v>0.99747920483466967</v>
      </c>
      <c r="AF113" s="48">
        <f t="shared" si="26"/>
        <v>0.79281553528531146</v>
      </c>
      <c r="AH113" s="48">
        <f t="shared" si="27"/>
        <v>0</v>
      </c>
    </row>
    <row r="114" spans="4:34" ht="13.9" customHeight="1">
      <c r="D114" s="8"/>
      <c r="E114" s="9"/>
      <c r="F114" s="18"/>
      <c r="G114" s="18"/>
      <c r="H114" s="18"/>
      <c r="J114" s="40"/>
      <c r="K114" s="40"/>
      <c r="L114" s="40"/>
      <c r="M114" s="38"/>
      <c r="O114" s="12">
        <f t="shared" si="17"/>
        <v>8.4166666666666661</v>
      </c>
      <c r="P114" s="13">
        <v>101</v>
      </c>
      <c r="Q114" s="21">
        <v>2.8275472018974623E-2</v>
      </c>
      <c r="R114" s="18">
        <f t="shared" si="18"/>
        <v>3.0604548221089489E-2</v>
      </c>
      <c r="S114" s="21">
        <v>2.8278884903244927E-2</v>
      </c>
      <c r="T114" s="18">
        <f t="shared" si="19"/>
        <v>3.062325290757073E-2</v>
      </c>
      <c r="U114" s="23">
        <v>3.2587730759901845E-2</v>
      </c>
      <c r="V114" s="23">
        <f t="shared" si="20"/>
        <v>3.4926845988455968E-2</v>
      </c>
      <c r="W114" s="22">
        <f t="shared" si="23"/>
        <v>2.8710063781838269E-3</v>
      </c>
      <c r="X114" s="23">
        <v>3.1727945300153548E-2</v>
      </c>
      <c r="Y114" s="23">
        <f t="shared" si="24"/>
        <v>3.4068070568852526E-2</v>
      </c>
      <c r="Z114" s="22">
        <f t="shared" si="25"/>
        <v>2.8016463610620601E-3</v>
      </c>
      <c r="AA114" s="33"/>
      <c r="AB114" s="50">
        <f t="shared" si="21"/>
        <v>101</v>
      </c>
      <c r="AC114" s="48">
        <f t="shared" si="16"/>
        <v>0.7908216912577527</v>
      </c>
      <c r="AE114" s="48">
        <f t="shared" si="22"/>
        <v>0.99748510979058902</v>
      </c>
      <c r="AF114" s="48">
        <f t="shared" si="26"/>
        <v>0.79082169125775348</v>
      </c>
      <c r="AH114" s="48">
        <f t="shared" si="27"/>
        <v>0</v>
      </c>
    </row>
    <row r="115" spans="4:34" ht="13.9" customHeight="1">
      <c r="D115" s="8"/>
      <c r="E115" s="9"/>
      <c r="F115" s="18"/>
      <c r="G115" s="18"/>
      <c r="H115" s="18"/>
      <c r="J115" s="40"/>
      <c r="K115" s="40"/>
      <c r="L115" s="40"/>
      <c r="M115" s="38"/>
      <c r="O115" s="12">
        <f t="shared" si="17"/>
        <v>8.5</v>
      </c>
      <c r="P115" s="13">
        <v>102</v>
      </c>
      <c r="Q115" s="21">
        <v>2.8298280531373843E-2</v>
      </c>
      <c r="R115" s="18">
        <f t="shared" si="18"/>
        <v>3.0531158330635355E-2</v>
      </c>
      <c r="S115" s="21">
        <v>2.8301842998773363E-2</v>
      </c>
      <c r="T115" s="18">
        <f t="shared" si="19"/>
        <v>3.0547726554662757E-2</v>
      </c>
      <c r="U115" s="23">
        <v>3.2610637580945401E-2</v>
      </c>
      <c r="V115" s="23">
        <f t="shared" si="20"/>
        <v>3.4852059791596446E-2</v>
      </c>
      <c r="W115" s="22">
        <f t="shared" si="23"/>
        <v>2.864991601037703E-3</v>
      </c>
      <c r="X115" s="23">
        <v>3.1750861979997103E-2</v>
      </c>
      <c r="Y115" s="23">
        <f t="shared" si="24"/>
        <v>3.3993147334121288E-2</v>
      </c>
      <c r="Z115" s="22">
        <f t="shared" si="25"/>
        <v>2.7956176538239674E-3</v>
      </c>
      <c r="AA115" s="33"/>
      <c r="AB115" s="50">
        <f t="shared" si="21"/>
        <v>102</v>
      </c>
      <c r="AC115" s="48">
        <f t="shared" si="16"/>
        <v>0.78883753696925396</v>
      </c>
      <c r="AE115" s="48">
        <f t="shared" si="22"/>
        <v>0.99749102192006944</v>
      </c>
      <c r="AF115" s="48">
        <f t="shared" si="26"/>
        <v>0.78883753696925418</v>
      </c>
      <c r="AH115" s="48">
        <f t="shared" si="27"/>
        <v>0</v>
      </c>
    </row>
    <row r="116" spans="4:34" ht="13.9" customHeight="1">
      <c r="D116" s="8"/>
      <c r="E116" s="9"/>
      <c r="F116" s="18"/>
      <c r="G116" s="18"/>
      <c r="H116" s="18"/>
      <c r="J116" s="40"/>
      <c r="K116" s="40"/>
      <c r="L116" s="40"/>
      <c r="M116" s="38"/>
      <c r="O116" s="12">
        <f t="shared" si="17"/>
        <v>8.5833333333333339</v>
      </c>
      <c r="P116" s="13">
        <v>103</v>
      </c>
      <c r="Q116" s="21">
        <v>2.8319935682050934E-2</v>
      </c>
      <c r="R116" s="18">
        <f t="shared" si="18"/>
        <v>3.0457681746113074E-2</v>
      </c>
      <c r="S116" s="21">
        <v>2.8323624147288395E-2</v>
      </c>
      <c r="T116" s="18">
        <f t="shared" si="19"/>
        <v>3.047178286604213E-2</v>
      </c>
      <c r="U116" s="23">
        <v>3.2632375606536979E-2</v>
      </c>
      <c r="V116" s="23">
        <f t="shared" si="20"/>
        <v>3.4776968406880826E-2</v>
      </c>
      <c r="W116" s="22">
        <f t="shared" si="23"/>
        <v>2.8589522898918585E-3</v>
      </c>
      <c r="X116" s="23">
        <v>3.1772608348195286E-2</v>
      </c>
      <c r="Y116" s="23">
        <f t="shared" si="24"/>
        <v>3.3917897424522003E-2</v>
      </c>
      <c r="Z116" s="22">
        <f t="shared" si="25"/>
        <v>2.7895626698932752E-3</v>
      </c>
      <c r="AA116" s="33"/>
      <c r="AB116" s="50">
        <f t="shared" si="21"/>
        <v>103</v>
      </c>
      <c r="AC116" s="48">
        <f t="shared" si="16"/>
        <v>0.78686303044353967</v>
      </c>
      <c r="AE116" s="48">
        <f t="shared" si="22"/>
        <v>0.99749694146997614</v>
      </c>
      <c r="AF116" s="48">
        <f t="shared" si="26"/>
        <v>0.78686303044354022</v>
      </c>
      <c r="AH116" s="48">
        <f t="shared" si="27"/>
        <v>0</v>
      </c>
    </row>
    <row r="117" spans="4:34" ht="13.9" customHeight="1">
      <c r="D117" s="8"/>
      <c r="E117" s="9"/>
      <c r="F117" s="18"/>
      <c r="G117" s="18"/>
      <c r="H117" s="18"/>
      <c r="J117" s="40"/>
      <c r="K117" s="40"/>
      <c r="L117" s="40"/>
      <c r="M117" s="38"/>
      <c r="O117" s="12">
        <f t="shared" si="17"/>
        <v>8.6666666666666661</v>
      </c>
      <c r="P117" s="13">
        <v>104</v>
      </c>
      <c r="Q117" s="21">
        <v>2.834046980137539E-2</v>
      </c>
      <c r="R117" s="18">
        <f t="shared" si="18"/>
        <v>3.0384115425871716E-2</v>
      </c>
      <c r="S117" s="21">
        <v>2.8344258182155802E-2</v>
      </c>
      <c r="T117" s="18">
        <f t="shared" si="19"/>
        <v>3.0395414749027294E-2</v>
      </c>
      <c r="U117" s="23">
        <v>3.2652975513074667E-2</v>
      </c>
      <c r="V117" s="23">
        <f t="shared" si="20"/>
        <v>3.4701565530611989E-2</v>
      </c>
      <c r="W117" s="22">
        <f t="shared" si="23"/>
        <v>2.8528879309561717E-3</v>
      </c>
      <c r="X117" s="23">
        <v>3.1793214918315327E-2</v>
      </c>
      <c r="Y117" s="23">
        <f t="shared" si="24"/>
        <v>3.3842314361147929E-2</v>
      </c>
      <c r="Z117" s="22">
        <f t="shared" si="25"/>
        <v>2.7834808806292965E-3</v>
      </c>
      <c r="AA117" s="33"/>
      <c r="AB117" s="50">
        <f t="shared" si="21"/>
        <v>104</v>
      </c>
      <c r="AC117" s="48">
        <f t="shared" si="16"/>
        <v>0.78489812996047137</v>
      </c>
      <c r="AE117" s="48">
        <f t="shared" si="22"/>
        <v>0.9975028684700552</v>
      </c>
      <c r="AF117" s="48">
        <f t="shared" si="26"/>
        <v>0.7848981299604717</v>
      </c>
      <c r="AH117" s="48">
        <f t="shared" si="27"/>
        <v>0</v>
      </c>
    </row>
    <row r="118" spans="4:34" ht="13.9" customHeight="1">
      <c r="D118" s="8"/>
      <c r="E118" s="9"/>
      <c r="F118" s="18"/>
      <c r="G118" s="18"/>
      <c r="H118" s="18"/>
      <c r="J118" s="40"/>
      <c r="K118" s="40"/>
      <c r="L118" s="40"/>
      <c r="M118" s="38"/>
      <c r="O118" s="12">
        <f t="shared" si="17"/>
        <v>8.75</v>
      </c>
      <c r="P118" s="13">
        <v>105</v>
      </c>
      <c r="Q118" s="21">
        <v>2.8359913962515249E-2</v>
      </c>
      <c r="R118" s="18">
        <f t="shared" si="18"/>
        <v>3.0310455428006478E-2</v>
      </c>
      <c r="S118" s="21">
        <v>2.836377373536636E-2</v>
      </c>
      <c r="T118" s="18">
        <f t="shared" si="19"/>
        <v>3.0318615106126989E-2</v>
      </c>
      <c r="U118" s="23">
        <v>3.2672466751225704E-2</v>
      </c>
      <c r="V118" s="23">
        <f t="shared" si="20"/>
        <v>3.4625844855952881E-2</v>
      </c>
      <c r="W118" s="22">
        <f t="shared" si="23"/>
        <v>2.8467980101203327E-3</v>
      </c>
      <c r="X118" s="23">
        <v>3.1812710982682013E-2</v>
      </c>
      <c r="Y118" s="23">
        <f t="shared" si="24"/>
        <v>3.3766391661787853E-2</v>
      </c>
      <c r="Z118" s="22">
        <f t="shared" si="25"/>
        <v>2.7773717570058754E-3</v>
      </c>
      <c r="AA118" s="33"/>
      <c r="AB118" s="50">
        <f t="shared" si="21"/>
        <v>105</v>
      </c>
      <c r="AC118" s="48">
        <f t="shared" si="16"/>
        <v>0.78294279422518365</v>
      </c>
      <c r="AE118" s="48">
        <f t="shared" si="22"/>
        <v>0.99750880316737911</v>
      </c>
      <c r="AF118" s="48">
        <f t="shared" si="26"/>
        <v>0.78294279422518409</v>
      </c>
      <c r="AH118" s="48">
        <f t="shared" si="27"/>
        <v>0</v>
      </c>
    </row>
    <row r="119" spans="4:34" ht="13.9" customHeight="1">
      <c r="D119" s="8"/>
      <c r="E119" s="9"/>
      <c r="F119" s="18"/>
      <c r="G119" s="18"/>
      <c r="H119" s="18"/>
      <c r="J119" s="40"/>
      <c r="K119" s="40"/>
      <c r="L119" s="40"/>
      <c r="M119" s="38"/>
      <c r="O119" s="12">
        <f t="shared" si="17"/>
        <v>8.8333333333333339</v>
      </c>
      <c r="P119" s="13">
        <v>106</v>
      </c>
      <c r="Q119" s="21">
        <v>2.8378298032092131E-2</v>
      </c>
      <c r="R119" s="18">
        <f t="shared" si="18"/>
        <v>3.0236697806838464E-2</v>
      </c>
      <c r="S119" s="21">
        <v>2.8382198293996241E-2</v>
      </c>
      <c r="T119" s="18">
        <f t="shared" si="19"/>
        <v>3.0241376835747458E-2</v>
      </c>
      <c r="U119" s="23">
        <v>3.2690877603548385E-2</v>
      </c>
      <c r="V119" s="23">
        <f t="shared" si="20"/>
        <v>3.4549800073806258E-2</v>
      </c>
      <c r="W119" s="22">
        <f t="shared" si="23"/>
        <v>2.8406820128625832E-3</v>
      </c>
      <c r="X119" s="23">
        <v>3.1831124669787103E-2</v>
      </c>
      <c r="Y119" s="23">
        <f t="shared" si="24"/>
        <v>3.3690122841577352E-2</v>
      </c>
      <c r="Z119" s="22">
        <f t="shared" si="25"/>
        <v>2.7712347695634243E-3</v>
      </c>
      <c r="AA119" s="33"/>
      <c r="AB119" s="50">
        <f t="shared" si="21"/>
        <v>106</v>
      </c>
      <c r="AC119" s="48">
        <f t="shared" si="16"/>
        <v>0.78099698242146687</v>
      </c>
      <c r="AE119" s="48">
        <f t="shared" si="22"/>
        <v>0.9975147458817315</v>
      </c>
      <c r="AF119" s="48">
        <f t="shared" si="26"/>
        <v>0.78099698242146731</v>
      </c>
      <c r="AH119" s="48">
        <f t="shared" si="27"/>
        <v>0</v>
      </c>
    </row>
    <row r="120" spans="4:34" ht="13.9" customHeight="1">
      <c r="D120" s="8"/>
      <c r="E120" s="9"/>
      <c r="F120" s="18"/>
      <c r="G120" s="18"/>
      <c r="H120" s="18"/>
      <c r="J120" s="40"/>
      <c r="K120" s="40"/>
      <c r="L120" s="40"/>
      <c r="M120" s="38"/>
      <c r="O120" s="12">
        <f t="shared" si="17"/>
        <v>8.9166666666666661</v>
      </c>
      <c r="P120" s="13">
        <v>107</v>
      </c>
      <c r="Q120" s="21">
        <v>2.8395650726364741E-2</v>
      </c>
      <c r="R120" s="18">
        <f t="shared" si="18"/>
        <v>3.016283861432334E-2</v>
      </c>
      <c r="S120" s="21">
        <v>2.8399558253515034E-2</v>
      </c>
      <c r="T120" s="18">
        <f t="shared" si="19"/>
        <v>3.0163692831616018E-2</v>
      </c>
      <c r="U120" s="23">
        <v>3.2708235238899652E-2</v>
      </c>
      <c r="V120" s="23">
        <f t="shared" si="20"/>
        <v>3.4473424871993341E-2</v>
      </c>
      <c r="W120" s="22">
        <f t="shared" si="23"/>
        <v>2.8345394243187716E-3</v>
      </c>
      <c r="X120" s="23">
        <v>3.1848482998492633E-2</v>
      </c>
      <c r="Y120" s="23">
        <f t="shared" si="24"/>
        <v>3.3613501412381286E-2</v>
      </c>
      <c r="Z120" s="22">
        <f t="shared" si="25"/>
        <v>2.7650693884617716E-3</v>
      </c>
      <c r="AA120" s="33"/>
      <c r="AB120" s="50">
        <f t="shared" si="21"/>
        <v>107</v>
      </c>
      <c r="AC120" s="48">
        <f t="shared" si="16"/>
        <v>0.77906065420786741</v>
      </c>
      <c r="AE120" s="48">
        <f t="shared" si="22"/>
        <v>0.99752069693330203</v>
      </c>
      <c r="AF120" s="48">
        <f t="shared" si="26"/>
        <v>0.77906065420786785</v>
      </c>
      <c r="AH120" s="48">
        <f t="shared" si="27"/>
        <v>0</v>
      </c>
    </row>
    <row r="121" spans="4:34" ht="13.9" customHeight="1">
      <c r="D121" s="8"/>
      <c r="E121" s="9"/>
      <c r="F121" s="18"/>
      <c r="G121" s="18"/>
      <c r="H121" s="18"/>
      <c r="J121" s="40"/>
      <c r="K121" s="40"/>
      <c r="L121" s="40"/>
      <c r="M121" s="38"/>
      <c r="O121" s="12">
        <f t="shared" si="17"/>
        <v>9</v>
      </c>
      <c r="P121" s="13">
        <v>108</v>
      </c>
      <c r="Q121" s="21">
        <v>2.8411999664312404E-2</v>
      </c>
      <c r="R121" s="18">
        <f t="shared" si="18"/>
        <v>3.0088874785836106E-2</v>
      </c>
      <c r="S121" s="21">
        <v>2.8415878968135688E-2</v>
      </c>
      <c r="T121" s="18">
        <f t="shared" si="19"/>
        <v>3.008555598274798E-2</v>
      </c>
      <c r="U121" s="23">
        <v>3.2724565763819102E-2</v>
      </c>
      <c r="V121" s="23">
        <f t="shared" si="20"/>
        <v>3.4396712935696794E-2</v>
      </c>
      <c r="W121" s="22">
        <f t="shared" si="23"/>
        <v>2.8283697292150745E-3</v>
      </c>
      <c r="X121" s="23">
        <v>3.1864811929226411E-2</v>
      </c>
      <c r="Y121" s="23">
        <f t="shared" si="24"/>
        <v>3.3536520882582632E-2</v>
      </c>
      <c r="Z121" s="22">
        <f t="shared" si="25"/>
        <v>2.7588750834268705E-3</v>
      </c>
      <c r="AA121" s="33"/>
      <c r="AB121" s="50">
        <f t="shared" si="21"/>
        <v>108</v>
      </c>
      <c r="AC121" s="48">
        <f t="shared" si="16"/>
        <v>0.77713376971375003</v>
      </c>
      <c r="AE121" s="48">
        <f t="shared" si="22"/>
        <v>0.9975266566425729</v>
      </c>
      <c r="AF121" s="48">
        <f t="shared" si="26"/>
        <v>0.77713376971375003</v>
      </c>
      <c r="AH121" s="48">
        <f t="shared" si="27"/>
        <v>0</v>
      </c>
    </row>
    <row r="122" spans="4:34" ht="13.9" customHeight="1">
      <c r="D122" s="8"/>
      <c r="E122" s="9"/>
      <c r="F122" s="18"/>
      <c r="G122" s="18"/>
      <c r="H122" s="18"/>
      <c r="J122" s="40"/>
      <c r="K122" s="40"/>
      <c r="L122" s="40"/>
      <c r="M122" s="38"/>
      <c r="O122" s="12">
        <f t="shared" si="17"/>
        <v>9.0833333333333339</v>
      </c>
      <c r="P122" s="13">
        <v>109</v>
      </c>
      <c r="Q122" s="21">
        <v>2.8427371425918668E-2</v>
      </c>
      <c r="R122" s="18">
        <f t="shared" si="18"/>
        <v>3.0014805918503473E-2</v>
      </c>
      <c r="S122" s="21">
        <v>2.8431184798398901E-2</v>
      </c>
      <c r="T122" s="18">
        <f t="shared" si="19"/>
        <v>3.0006959173809244E-2</v>
      </c>
      <c r="U122" s="23">
        <v>3.2739894271097691E-2</v>
      </c>
      <c r="V122" s="23">
        <f t="shared" si="20"/>
        <v>3.4319657947037951E-2</v>
      </c>
      <c r="W122" s="22">
        <f t="shared" si="23"/>
        <v>2.8221724119017466E-3</v>
      </c>
      <c r="X122" s="23">
        <v>3.1880136412364424E-2</v>
      </c>
      <c r="Y122" s="23">
        <f t="shared" si="24"/>
        <v>3.3459174757604515E-2</v>
      </c>
      <c r="Z122" s="22">
        <f t="shared" si="25"/>
        <v>2.7526513237325911E-3</v>
      </c>
      <c r="AA122" s="33"/>
      <c r="AB122" s="50">
        <f t="shared" si="21"/>
        <v>109</v>
      </c>
      <c r="AC122" s="48">
        <f t="shared" si="16"/>
        <v>0.77521628947985355</v>
      </c>
      <c r="AE122" s="48">
        <f t="shared" si="22"/>
        <v>0.9975326252588369</v>
      </c>
      <c r="AF122" s="48">
        <f t="shared" si="26"/>
        <v>0.77521628947985344</v>
      </c>
      <c r="AH122" s="48">
        <f t="shared" si="27"/>
        <v>0</v>
      </c>
    </row>
    <row r="123" spans="4:34" ht="13.9" customHeight="1">
      <c r="D123" s="8"/>
      <c r="E123" s="9"/>
      <c r="F123" s="18"/>
      <c r="G123" s="18"/>
      <c r="H123" s="18"/>
      <c r="J123" s="40"/>
      <c r="K123" s="40"/>
      <c r="L123" s="40"/>
      <c r="M123" s="38"/>
      <c r="O123" s="12">
        <f t="shared" si="17"/>
        <v>9.1666666666666661</v>
      </c>
      <c r="P123" s="13">
        <v>110</v>
      </c>
      <c r="Q123" s="21">
        <v>2.8441791623427637E-2</v>
      </c>
      <c r="R123" s="18">
        <f t="shared" si="18"/>
        <v>2.9940628946468317E-2</v>
      </c>
      <c r="S123" s="21">
        <v>2.8445499156171561E-2</v>
      </c>
      <c r="T123" s="18">
        <f t="shared" si="19"/>
        <v>2.9927895284490136E-2</v>
      </c>
      <c r="U123" s="23">
        <v>3.2754244885699224E-2</v>
      </c>
      <c r="V123" s="23">
        <f t="shared" si="20"/>
        <v>3.4242253585303972E-2</v>
      </c>
      <c r="W123" s="22">
        <f t="shared" si="23"/>
        <v>2.8159469563169282E-3</v>
      </c>
      <c r="X123" s="23">
        <v>3.1894480433985795E-2</v>
      </c>
      <c r="Y123" s="23">
        <f t="shared" si="24"/>
        <v>3.3381456539483212E-2</v>
      </c>
      <c r="Z123" s="22">
        <f t="shared" si="25"/>
        <v>2.7463975782409111E-3</v>
      </c>
      <c r="AA123" s="33"/>
      <c r="AB123" s="50">
        <f t="shared" si="21"/>
        <v>110</v>
      </c>
      <c r="AC123" s="48">
        <f t="shared" si="16"/>
        <v>0.77330817428843912</v>
      </c>
      <c r="AE123" s="48">
        <f t="shared" si="22"/>
        <v>0.99753860281664775</v>
      </c>
      <c r="AF123" s="48">
        <f t="shared" si="26"/>
        <v>0.7733081742884389</v>
      </c>
      <c r="AH123" s="48">
        <f t="shared" si="27"/>
        <v>0</v>
      </c>
    </row>
    <row r="124" spans="4:34" ht="13.9" customHeight="1">
      <c r="D124" s="8"/>
      <c r="E124" s="9"/>
      <c r="F124" s="18"/>
      <c r="G124" s="18"/>
      <c r="H124" s="18"/>
      <c r="J124" s="40"/>
      <c r="K124" s="40"/>
      <c r="L124" s="40"/>
      <c r="M124" s="38"/>
      <c r="O124" s="12">
        <f t="shared" si="17"/>
        <v>9.25</v>
      </c>
      <c r="P124" s="13">
        <v>111</v>
      </c>
      <c r="Q124" s="21">
        <v>2.8455284920865465E-2</v>
      </c>
      <c r="R124" s="18">
        <f t="shared" si="18"/>
        <v>2.9866339914154327E-2</v>
      </c>
      <c r="S124" s="21">
        <v>2.8458844547214257E-2</v>
      </c>
      <c r="T124" s="18">
        <f t="shared" si="19"/>
        <v>2.9848357189998787E-2</v>
      </c>
      <c r="U124" s="23">
        <v>3.2767640808207821E-2</v>
      </c>
      <c r="V124" s="23">
        <f t="shared" si="20"/>
        <v>3.4164493526811501E-2</v>
      </c>
      <c r="W124" s="22">
        <f t="shared" si="23"/>
        <v>2.8096928460041859E-3</v>
      </c>
      <c r="X124" s="23">
        <v>3.1907867059156159E-2</v>
      </c>
      <c r="Y124" s="23">
        <f t="shared" si="24"/>
        <v>3.3303359726703841E-2</v>
      </c>
      <c r="Z124" s="22">
        <f t="shared" si="25"/>
        <v>2.7401133153663881E-3</v>
      </c>
      <c r="AA124" s="33"/>
      <c r="AB124" s="50">
        <f t="shared" si="21"/>
        <v>111</v>
      </c>
      <c r="AC124" s="48">
        <f t="shared" si="16"/>
        <v>0.77140938532821401</v>
      </c>
      <c r="AE124" s="48">
        <f t="shared" si="22"/>
        <v>0.9975445895655084</v>
      </c>
      <c r="AF124" s="48">
        <f t="shared" si="26"/>
        <v>0.77140938532821346</v>
      </c>
      <c r="AH124" s="48">
        <f t="shared" si="27"/>
        <v>0</v>
      </c>
    </row>
    <row r="125" spans="4:34" ht="13.9" customHeight="1">
      <c r="D125" s="8"/>
      <c r="E125" s="9"/>
      <c r="F125" s="18"/>
      <c r="G125" s="18"/>
      <c r="H125" s="18"/>
      <c r="J125" s="40"/>
      <c r="K125" s="40"/>
      <c r="L125" s="40"/>
      <c r="M125" s="38"/>
      <c r="O125" s="12">
        <f t="shared" si="17"/>
        <v>9.3333333333333339</v>
      </c>
      <c r="P125" s="13">
        <v>112</v>
      </c>
      <c r="Q125" s="21">
        <v>2.8467875068322712E-2</v>
      </c>
      <c r="R125" s="18">
        <f t="shared" si="18"/>
        <v>2.9791934863040659E-2</v>
      </c>
      <c r="S125" s="21">
        <v>2.8471242611477487E-2</v>
      </c>
      <c r="T125" s="18">
        <f t="shared" si="19"/>
        <v>2.9768337760744945E-2</v>
      </c>
      <c r="U125" s="23">
        <v>3.2780104355953466E-2</v>
      </c>
      <c r="V125" s="23">
        <f t="shared" si="20"/>
        <v>3.4086371444566721E-2</v>
      </c>
      <c r="W125" s="22">
        <f t="shared" si="23"/>
        <v>2.8034095640996348E-3</v>
      </c>
      <c r="X125" s="23">
        <v>3.1920318472898002E-2</v>
      </c>
      <c r="Y125" s="23">
        <f t="shared" si="24"/>
        <v>3.3224877814592046E-2</v>
      </c>
      <c r="Z125" s="22">
        <f t="shared" si="25"/>
        <v>2.7337980030592846E-3</v>
      </c>
      <c r="AA125" s="33"/>
      <c r="AB125" s="50">
        <f t="shared" si="21"/>
        <v>112</v>
      </c>
      <c r="AC125" s="48">
        <f t="shared" si="16"/>
        <v>0.76951988424646589</v>
      </c>
      <c r="AE125" s="48">
        <f t="shared" si="22"/>
        <v>0.99755058582681921</v>
      </c>
      <c r="AF125" s="48">
        <f t="shared" si="26"/>
        <v>0.76951988424646589</v>
      </c>
      <c r="AH125" s="48">
        <f t="shared" si="27"/>
        <v>0</v>
      </c>
    </row>
    <row r="126" spans="4:34" ht="13.9" customHeight="1">
      <c r="D126" s="8"/>
      <c r="E126" s="9"/>
      <c r="F126" s="18"/>
      <c r="G126" s="18"/>
      <c r="H126" s="18"/>
      <c r="J126" s="40"/>
      <c r="K126" s="40"/>
      <c r="L126" s="40"/>
      <c r="M126" s="38"/>
      <c r="O126" s="12">
        <f t="shared" si="17"/>
        <v>9.4166666666666661</v>
      </c>
      <c r="P126" s="13">
        <v>113</v>
      </c>
      <c r="Q126" s="21">
        <v>2.8479584942256109E-2</v>
      </c>
      <c r="R126" s="18">
        <f t="shared" si="18"/>
        <v>2.9717409831319985E-2</v>
      </c>
      <c r="S126" s="21">
        <v>2.8482714161260692E-2</v>
      </c>
      <c r="T126" s="18">
        <f t="shared" si="19"/>
        <v>2.9687829862314663E-2</v>
      </c>
      <c r="U126" s="23">
        <v>3.2791657001955299E-2</v>
      </c>
      <c r="V126" s="23">
        <f t="shared" si="20"/>
        <v>3.4007881008856877E-2</v>
      </c>
      <c r="W126" s="22">
        <f t="shared" si="23"/>
        <v>2.7970965933012959E-3</v>
      </c>
      <c r="X126" s="23">
        <v>3.1931856018993399E-2</v>
      </c>
      <c r="Y126" s="23">
        <f t="shared" si="24"/>
        <v>3.3146004294729581E-2</v>
      </c>
      <c r="Z126" s="22">
        <f t="shared" si="25"/>
        <v>2.7274511088368758E-3</v>
      </c>
      <c r="AA126" s="33"/>
      <c r="AB126" s="50">
        <f t="shared" si="21"/>
        <v>113</v>
      </c>
      <c r="AC126" s="48">
        <f t="shared" si="16"/>
        <v>0.76763963314536376</v>
      </c>
      <c r="AE126" s="48">
        <f t="shared" si="22"/>
        <v>0.99755659192232127</v>
      </c>
      <c r="AF126" s="48">
        <f t="shared" si="26"/>
        <v>0.76763963314536365</v>
      </c>
      <c r="AH126" s="48">
        <f t="shared" si="27"/>
        <v>0</v>
      </c>
    </row>
    <row r="127" spans="4:34" ht="13.9" customHeight="1">
      <c r="D127" s="8"/>
      <c r="E127" s="9"/>
      <c r="F127" s="18"/>
      <c r="G127" s="18"/>
      <c r="H127" s="18"/>
      <c r="J127" s="40"/>
      <c r="K127" s="40"/>
      <c r="L127" s="40"/>
      <c r="M127" s="38"/>
      <c r="O127" s="12">
        <f t="shared" si="17"/>
        <v>9.5</v>
      </c>
      <c r="P127" s="13">
        <v>114</v>
      </c>
      <c r="Q127" s="21">
        <v>2.8490436583672452E-2</v>
      </c>
      <c r="R127" s="18">
        <f t="shared" si="18"/>
        <v>2.9642761731976774E-2</v>
      </c>
      <c r="S127" s="21">
        <v>2.8493279217368439E-2</v>
      </c>
      <c r="T127" s="18">
        <f t="shared" si="19"/>
        <v>2.9606826355722982E-2</v>
      </c>
      <c r="U127" s="23">
        <v>3.2802319411825875E-2</v>
      </c>
      <c r="V127" s="23">
        <f t="shared" si="20"/>
        <v>3.3929015886617009E-2</v>
      </c>
      <c r="W127" s="22">
        <f t="shared" si="23"/>
        <v>2.7907534159175018E-3</v>
      </c>
      <c r="X127" s="23">
        <v>3.1942500236744609E-2</v>
      </c>
      <c r="Y127" s="23">
        <f t="shared" si="24"/>
        <v>3.3066732655443687E-2</v>
      </c>
      <c r="Z127" s="22">
        <f t="shared" si="25"/>
        <v>2.7210720997339344E-3</v>
      </c>
      <c r="AA127" s="33"/>
      <c r="AB127" s="50">
        <f t="shared" si="21"/>
        <v>114</v>
      </c>
      <c r="AC127" s="48">
        <f t="shared" si="16"/>
        <v>0.76576859457831792</v>
      </c>
      <c r="AE127" s="48">
        <f t="shared" si="22"/>
        <v>0.99756260817412579</v>
      </c>
      <c r="AF127" s="48">
        <f t="shared" si="26"/>
        <v>0.76576859457831803</v>
      </c>
      <c r="AH127" s="48">
        <f t="shared" si="27"/>
        <v>0</v>
      </c>
    </row>
    <row r="128" spans="4:34" ht="13.9" customHeight="1">
      <c r="D128" s="8"/>
      <c r="E128" s="9"/>
      <c r="F128" s="18"/>
      <c r="G128" s="18"/>
      <c r="H128" s="18"/>
      <c r="J128" s="40"/>
      <c r="K128" s="40"/>
      <c r="L128" s="40"/>
      <c r="M128" s="38"/>
      <c r="O128" s="12">
        <f t="shared" si="17"/>
        <v>9.5833333333333339</v>
      </c>
      <c r="P128" s="13">
        <v>115</v>
      </c>
      <c r="Q128" s="21">
        <v>2.8500451241951552E-2</v>
      </c>
      <c r="R128" s="18">
        <f t="shared" si="18"/>
        <v>2.9567990107032927E-2</v>
      </c>
      <c r="S128" s="21">
        <v>2.8502957043385679E-2</v>
      </c>
      <c r="T128" s="18">
        <f t="shared" si="19"/>
        <v>2.9525320097261387E-2</v>
      </c>
      <c r="U128" s="23">
        <v>3.2812111478749628E-2</v>
      </c>
      <c r="V128" s="23">
        <f t="shared" si="20"/>
        <v>3.3849769741626012E-2</v>
      </c>
      <c r="W128" s="22">
        <f t="shared" si="23"/>
        <v>2.784379513812052E-3</v>
      </c>
      <c r="X128" s="23">
        <v>3.1952270895826196E-2</v>
      </c>
      <c r="Y128" s="23">
        <f t="shared" si="24"/>
        <v>3.2987056381496238E-2</v>
      </c>
      <c r="Z128" s="22">
        <f t="shared" si="25"/>
        <v>2.7146604423395893E-3</v>
      </c>
      <c r="AA128" s="33"/>
      <c r="AB128" s="50">
        <f t="shared" si="21"/>
        <v>115</v>
      </c>
      <c r="AC128" s="48">
        <f t="shared" si="16"/>
        <v>0.76390673149210631</v>
      </c>
      <c r="AE128" s="48">
        <f t="shared" si="22"/>
        <v>0.99756863483381986</v>
      </c>
      <c r="AF128" s="48">
        <f t="shared" si="26"/>
        <v>0.76390673149210553</v>
      </c>
      <c r="AH128" s="48">
        <f t="shared" si="27"/>
        <v>0</v>
      </c>
    </row>
    <row r="129" spans="4:34" ht="13.9" customHeight="1">
      <c r="D129" s="8"/>
      <c r="E129" s="9"/>
      <c r="F129" s="18"/>
      <c r="G129" s="18"/>
      <c r="H129" s="18"/>
      <c r="J129" s="40"/>
      <c r="K129" s="40"/>
      <c r="L129" s="40"/>
      <c r="M129" s="38"/>
      <c r="O129" s="12">
        <f t="shared" si="17"/>
        <v>9.6666666666666661</v>
      </c>
      <c r="P129" s="13">
        <v>116</v>
      </c>
      <c r="Q129" s="21">
        <v>2.8509649431518902E-2</v>
      </c>
      <c r="R129" s="18">
        <f t="shared" si="18"/>
        <v>2.9493091867555554E-2</v>
      </c>
      <c r="S129" s="21">
        <v>2.8511766178183517E-2</v>
      </c>
      <c r="T129" s="18">
        <f t="shared" si="19"/>
        <v>2.9443303938382348E-2</v>
      </c>
      <c r="U129" s="23">
        <v>3.2821052356657665E-2</v>
      </c>
      <c r="V129" s="23">
        <f t="shared" si="20"/>
        <v>3.3770136234865245E-2</v>
      </c>
      <c r="W129" s="22">
        <f t="shared" si="23"/>
        <v>2.7779743684184233E-3</v>
      </c>
      <c r="X129" s="23">
        <v>3.1961187029335258E-2</v>
      </c>
      <c r="Y129" s="23">
        <f t="shared" si="24"/>
        <v>3.2906968954023119E-2</v>
      </c>
      <c r="Z129" s="22">
        <f t="shared" si="25"/>
        <v>2.7082156027709026E-3</v>
      </c>
      <c r="AA129" s="33"/>
      <c r="AB129" s="50">
        <f t="shared" si="21"/>
        <v>116</v>
      </c>
      <c r="AC129" s="48">
        <f t="shared" si="16"/>
        <v>0.76205400706160242</v>
      </c>
      <c r="AE129" s="48">
        <f t="shared" si="22"/>
        <v>0.99757467194079441</v>
      </c>
      <c r="AF129" s="48">
        <f t="shared" si="26"/>
        <v>0.76205400706160165</v>
      </c>
      <c r="AH129" s="48">
        <f t="shared" si="27"/>
        <v>0</v>
      </c>
    </row>
    <row r="130" spans="4:34" ht="13.9" customHeight="1">
      <c r="D130" s="8"/>
      <c r="E130" s="9"/>
      <c r="F130" s="18"/>
      <c r="G130" s="18"/>
      <c r="H130" s="18"/>
      <c r="J130" s="40"/>
      <c r="K130" s="40"/>
      <c r="L130" s="40"/>
      <c r="M130" s="38"/>
      <c r="O130" s="12">
        <f t="shared" si="17"/>
        <v>9.75</v>
      </c>
      <c r="P130" s="13">
        <v>117</v>
      </c>
      <c r="Q130" s="21">
        <v>2.8518050940709694E-2</v>
      </c>
      <c r="R130" s="18">
        <f t="shared" si="18"/>
        <v>2.9418063045288489E-2</v>
      </c>
      <c r="S130" s="21">
        <v>2.8519724466760987E-2</v>
      </c>
      <c r="T130" s="18">
        <f t="shared" si="19"/>
        <v>2.9360770726130081E-2</v>
      </c>
      <c r="U130" s="23">
        <v>3.2829160491708365E-2</v>
      </c>
      <c r="V130" s="23">
        <f t="shared" si="20"/>
        <v>3.3690109023728265E-2</v>
      </c>
      <c r="W130" s="22">
        <f t="shared" si="23"/>
        <v>2.771537460768192E-3</v>
      </c>
      <c r="X130" s="23">
        <v>3.1969266965151011E-2</v>
      </c>
      <c r="Y130" s="23">
        <f t="shared" si="24"/>
        <v>3.2826463850832877E-2</v>
      </c>
      <c r="Z130" s="22">
        <f t="shared" si="25"/>
        <v>2.7017370466650981E-3</v>
      </c>
      <c r="AA130" s="33"/>
      <c r="AB130" s="50">
        <f t="shared" si="21"/>
        <v>117</v>
      </c>
      <c r="AC130" s="48">
        <f t="shared" si="16"/>
        <v>0.76021038485052761</v>
      </c>
      <c r="AE130" s="48">
        <f t="shared" si="22"/>
        <v>0.99758071974690776</v>
      </c>
      <c r="AF130" s="48">
        <f t="shared" si="26"/>
        <v>0.76021038485052772</v>
      </c>
      <c r="AH130" s="48">
        <f t="shared" si="27"/>
        <v>0</v>
      </c>
    </row>
    <row r="131" spans="4:34" ht="13.9" customHeight="1">
      <c r="D131" s="8"/>
      <c r="E131" s="9"/>
      <c r="F131" s="18"/>
      <c r="G131" s="18"/>
      <c r="H131" s="18"/>
      <c r="J131" s="40"/>
      <c r="K131" s="40"/>
      <c r="L131" s="40"/>
      <c r="M131" s="38"/>
      <c r="O131" s="12">
        <f t="shared" si="17"/>
        <v>9.8333333333333339</v>
      </c>
      <c r="P131" s="13">
        <v>118</v>
      </c>
      <c r="Q131" s="21">
        <v>2.852567485500912E-2</v>
      </c>
      <c r="R131" s="18">
        <f t="shared" si="18"/>
        <v>2.9342899669256406E-2</v>
      </c>
      <c r="S131" s="21">
        <v>2.8526849089525852E-2</v>
      </c>
      <c r="T131" s="18">
        <f t="shared" si="19"/>
        <v>2.9277713302792607E-2</v>
      </c>
      <c r="U131" s="23">
        <v>3.283645365216481E-2</v>
      </c>
      <c r="V131" s="23">
        <f t="shared" si="20"/>
        <v>3.3609681762725607E-2</v>
      </c>
      <c r="W131" s="22">
        <f t="shared" si="23"/>
        <v>2.765068271423532E-3</v>
      </c>
      <c r="X131" s="23">
        <v>3.1976528355705636E-2</v>
      </c>
      <c r="Y131" s="23">
        <f t="shared" si="24"/>
        <v>3.2745534546189781E-2</v>
      </c>
      <c r="Z131" s="22">
        <f t="shared" si="25"/>
        <v>2.6952242392033199E-3</v>
      </c>
      <c r="AA131" s="33"/>
      <c r="AB131" s="50">
        <f t="shared" si="21"/>
        <v>118</v>
      </c>
      <c r="AC131" s="48">
        <f t="shared" si="16"/>
        <v>0.75837582886238397</v>
      </c>
      <c r="AE131" s="48">
        <f t="shared" si="22"/>
        <v>0.99758677857511124</v>
      </c>
      <c r="AF131" s="48">
        <f t="shared" si="26"/>
        <v>0.75837582886238353</v>
      </c>
      <c r="AH131" s="48">
        <f t="shared" si="27"/>
        <v>0</v>
      </c>
    </row>
    <row r="132" spans="4:34" ht="13.9" customHeight="1">
      <c r="D132" s="8"/>
      <c r="E132" s="9"/>
      <c r="F132" s="18"/>
      <c r="G132" s="18"/>
      <c r="H132" s="18"/>
      <c r="J132" s="40"/>
      <c r="K132" s="40"/>
      <c r="L132" s="40"/>
      <c r="M132" s="38"/>
      <c r="O132" s="12">
        <f t="shared" si="17"/>
        <v>9.9166666666666661</v>
      </c>
      <c r="P132" s="13">
        <v>119</v>
      </c>
      <c r="Q132" s="21">
        <v>2.8532539586483052E-2</v>
      </c>
      <c r="R132" s="18">
        <f t="shared" si="18"/>
        <v>2.926759776580079E-2</v>
      </c>
      <c r="S132" s="21">
        <v>2.8533156590099029E-2</v>
      </c>
      <c r="T132" s="18">
        <f t="shared" si="19"/>
        <v>2.9194124506275898E-2</v>
      </c>
      <c r="U132" s="23">
        <v>3.2842948956774753E-2</v>
      </c>
      <c r="V132" s="23">
        <f t="shared" si="20"/>
        <v>3.352884810329626E-2</v>
      </c>
      <c r="W132" s="22">
        <f t="shared" si="23"/>
        <v>2.7585662805333921E-3</v>
      </c>
      <c r="X132" s="23">
        <v>3.1982988206255891E-2</v>
      </c>
      <c r="Y132" s="23">
        <f t="shared" si="24"/>
        <v>3.2664174510809163E-2</v>
      </c>
      <c r="Z132" s="22">
        <f t="shared" si="25"/>
        <v>2.6886766450884281E-3</v>
      </c>
      <c r="AA132" s="33"/>
      <c r="AB132" s="50">
        <f t="shared" si="21"/>
        <v>119</v>
      </c>
      <c r="AC132" s="48">
        <f t="shared" si="16"/>
        <v>0.75655030353696973</v>
      </c>
      <c r="AE132" s="48">
        <f t="shared" si="22"/>
        <v>0.99759284874868348</v>
      </c>
      <c r="AF132" s="48">
        <f t="shared" si="26"/>
        <v>0.75655030353696928</v>
      </c>
      <c r="AH132" s="48">
        <f t="shared" si="27"/>
        <v>0</v>
      </c>
    </row>
    <row r="133" spans="4:34" ht="13.9" customHeight="1">
      <c r="D133" s="8"/>
      <c r="E133" s="9"/>
      <c r="F133" s="18"/>
      <c r="G133" s="18"/>
      <c r="H133" s="18"/>
      <c r="J133" s="40"/>
      <c r="K133" s="40"/>
      <c r="L133" s="40"/>
      <c r="M133" s="38"/>
      <c r="O133" s="12">
        <f t="shared" si="17"/>
        <v>10</v>
      </c>
      <c r="P133" s="13">
        <v>120</v>
      </c>
      <c r="Q133" s="21">
        <v>2.8538662901739675E-2</v>
      </c>
      <c r="R133" s="18">
        <f t="shared" si="18"/>
        <v>2.9192639141541354E-2</v>
      </c>
      <c r="S133" s="21">
        <v>2.8538662901735457E-2</v>
      </c>
      <c r="T133" s="18">
        <f t="shared" si="19"/>
        <v>2.9110683845165131E-2</v>
      </c>
      <c r="U133" s="23">
        <v>3.2848662901733716E-2</v>
      </c>
      <c r="V133" s="23">
        <f t="shared" si="20"/>
        <v>3.3448219225576059E-2</v>
      </c>
      <c r="W133" s="22">
        <f t="shared" si="23"/>
        <v>2.7520309678157329E-3</v>
      </c>
      <c r="X133" s="23">
        <v>3.1988662901744291E-2</v>
      </c>
      <c r="Y133" s="23">
        <f t="shared" si="24"/>
        <v>3.2583007979149592E-2</v>
      </c>
      <c r="Z133" s="22">
        <f t="shared" si="25"/>
        <v>2.6820937285449986E-3</v>
      </c>
      <c r="AA133" s="33"/>
      <c r="AB133" s="50">
        <f t="shared" si="21"/>
        <v>120</v>
      </c>
      <c r="AC133" s="48">
        <f t="shared" si="16"/>
        <v>0.75473377374694794</v>
      </c>
      <c r="AE133" s="48">
        <f t="shared" si="22"/>
        <v>0.99759893059122551</v>
      </c>
      <c r="AF133" s="48">
        <f t="shared" si="26"/>
        <v>0.75473377374694761</v>
      </c>
      <c r="AH133" s="48">
        <f t="shared" si="27"/>
        <v>0</v>
      </c>
    </row>
    <row r="134" spans="4:34" ht="13.9" customHeight="1">
      <c r="D134" s="8"/>
      <c r="E134" s="9"/>
      <c r="F134" s="18"/>
      <c r="G134" s="18"/>
      <c r="H134" s="18"/>
      <c r="J134" s="40"/>
      <c r="K134" s="40"/>
      <c r="L134" s="40"/>
      <c r="M134" s="38"/>
      <c r="O134" s="12">
        <f t="shared" si="17"/>
        <v>10.083333333333334</v>
      </c>
      <c r="P134" s="13">
        <v>121</v>
      </c>
      <c r="Q134" s="21">
        <v>2.8544065960715237E-2</v>
      </c>
      <c r="R134" s="18">
        <f t="shared" si="18"/>
        <v>2.9119963578264851E-2</v>
      </c>
      <c r="S134" s="21">
        <v>2.8543389044311862E-2</v>
      </c>
      <c r="T134" s="18">
        <f t="shared" si="19"/>
        <v>2.9030124394382018E-2</v>
      </c>
      <c r="U134" s="23">
        <v>3.285361648694729E-2</v>
      </c>
      <c r="V134" s="23">
        <f t="shared" si="20"/>
        <v>3.337025483199052E-2</v>
      </c>
      <c r="W134" s="22">
        <f t="shared" si="23"/>
        <v>2.7455117446961719E-3</v>
      </c>
      <c r="X134" s="23">
        <v>3.1993573442310241E-2</v>
      </c>
      <c r="Y134" s="23">
        <f t="shared" si="24"/>
        <v>3.2504546972845771E-2</v>
      </c>
      <c r="Z134" s="22">
        <f t="shared" si="25"/>
        <v>2.6755259948214594E-3</v>
      </c>
      <c r="AA134" s="33"/>
      <c r="AB134" s="50">
        <f t="shared" si="21"/>
        <v>121</v>
      </c>
      <c r="AC134" s="48">
        <f t="shared" si="16"/>
        <v>0.75292617517910165</v>
      </c>
      <c r="AE134" s="48">
        <f t="shared" si="22"/>
        <v>0.99760498518719753</v>
      </c>
      <c r="AF134" s="48">
        <f t="shared" si="26"/>
        <v>0.75292617517910132</v>
      </c>
      <c r="AH134" s="48">
        <f t="shared" si="27"/>
        <v>0</v>
      </c>
    </row>
    <row r="135" spans="4:34" ht="13.9" customHeight="1">
      <c r="D135" s="8"/>
      <c r="E135" s="9"/>
      <c r="F135" s="18"/>
      <c r="G135" s="18"/>
      <c r="H135" s="18"/>
      <c r="J135" s="40"/>
      <c r="K135" s="40"/>
      <c r="L135" s="40"/>
      <c r="M135" s="38"/>
      <c r="O135" s="12">
        <f t="shared" si="17"/>
        <v>10.166666666666666</v>
      </c>
      <c r="P135" s="13">
        <v>122</v>
      </c>
      <c r="Q135" s="21">
        <v>2.8548785122777032E-2</v>
      </c>
      <c r="R135" s="18">
        <f t="shared" si="18"/>
        <v>2.9050054714323759E-2</v>
      </c>
      <c r="S135" s="21">
        <v>2.8547377742357716E-2</v>
      </c>
      <c r="T135" s="18">
        <f t="shared" si="19"/>
        <v>2.895310817297525E-2</v>
      </c>
      <c r="U135" s="23">
        <v>3.2857850177391734E-2</v>
      </c>
      <c r="V135" s="23">
        <f t="shared" si="20"/>
        <v>3.3295555111726216E-2</v>
      </c>
      <c r="W135" s="22">
        <f t="shared" si="23"/>
        <v>2.7392075142238514E-3</v>
      </c>
      <c r="X135" s="23">
        <v>3.1997760721891089E-2</v>
      </c>
      <c r="Y135" s="23">
        <f t="shared" si="24"/>
        <v>3.2429403537082235E-2</v>
      </c>
      <c r="Z135" s="22">
        <f t="shared" si="25"/>
        <v>2.6691767336219918E-3</v>
      </c>
      <c r="AA135" s="33"/>
      <c r="AB135" s="50">
        <f t="shared" si="21"/>
        <v>122</v>
      </c>
      <c r="AC135" s="48">
        <f t="shared" si="16"/>
        <v>0.75112732599779231</v>
      </c>
      <c r="AE135" s="48">
        <f t="shared" si="22"/>
        <v>0.99761085583074383</v>
      </c>
      <c r="AF135" s="48">
        <f t="shared" si="26"/>
        <v>0.75112732599779186</v>
      </c>
      <c r="AH135" s="48">
        <f t="shared" si="27"/>
        <v>0</v>
      </c>
    </row>
    <row r="136" spans="4:34" ht="13.9" customHeight="1">
      <c r="D136" s="8"/>
      <c r="E136" s="9"/>
      <c r="F136" s="18"/>
      <c r="G136" s="18"/>
      <c r="H136" s="18"/>
      <c r="J136" s="40"/>
      <c r="K136" s="40"/>
      <c r="L136" s="40"/>
      <c r="M136" s="38"/>
      <c r="O136" s="12">
        <f t="shared" si="17"/>
        <v>10.25</v>
      </c>
      <c r="P136" s="13">
        <v>123</v>
      </c>
      <c r="Q136" s="21">
        <v>2.8552859500625916E-2</v>
      </c>
      <c r="R136" s="18">
        <f t="shared" si="18"/>
        <v>2.898291064213887E-2</v>
      </c>
      <c r="S136" s="21">
        <v>2.8550675718600704E-2</v>
      </c>
      <c r="T136" s="18">
        <f t="shared" si="19"/>
        <v>2.8879609259185424E-2</v>
      </c>
      <c r="U136" s="23">
        <v>3.2861408006406689E-2</v>
      </c>
      <c r="V136" s="23">
        <f t="shared" si="20"/>
        <v>3.322410195436909E-2</v>
      </c>
      <c r="W136" s="22">
        <f t="shared" si="23"/>
        <v>2.7331668574686052E-3</v>
      </c>
      <c r="X136" s="23">
        <v>3.2001269285343081E-2</v>
      </c>
      <c r="Y136" s="23">
        <f t="shared" si="24"/>
        <v>3.2357558090175154E-2</v>
      </c>
      <c r="Z136" s="22">
        <f t="shared" si="25"/>
        <v>2.6630955239053122E-3</v>
      </c>
      <c r="AA136" s="33"/>
      <c r="AB136" s="50">
        <f t="shared" si="21"/>
        <v>123</v>
      </c>
      <c r="AC136" s="48">
        <f t="shared" si="16"/>
        <v>0.74933701657574736</v>
      </c>
      <c r="AE136" s="48">
        <f t="shared" si="22"/>
        <v>0.99761650340750707</v>
      </c>
      <c r="AF136" s="48">
        <f t="shared" si="26"/>
        <v>0.74933701657574781</v>
      </c>
      <c r="AH136" s="48">
        <f t="shared" si="27"/>
        <v>0</v>
      </c>
    </row>
    <row r="137" spans="4:34" ht="13.9" customHeight="1">
      <c r="D137" s="8"/>
      <c r="E137" s="9"/>
      <c r="F137" s="18"/>
      <c r="G137" s="18"/>
      <c r="H137" s="18"/>
      <c r="J137" s="40"/>
      <c r="K137" s="40"/>
      <c r="L137" s="40"/>
      <c r="M137" s="38"/>
      <c r="O137" s="12">
        <f t="shared" si="17"/>
        <v>10.333333333333334</v>
      </c>
      <c r="P137" s="13">
        <v>124</v>
      </c>
      <c r="Q137" s="21">
        <v>2.8556326935999632E-2</v>
      </c>
      <c r="R137" s="18">
        <f t="shared" si="18"/>
        <v>2.8918529513935365E-2</v>
      </c>
      <c r="S137" s="21">
        <v>2.8553327987785204E-2</v>
      </c>
      <c r="T137" s="18">
        <f t="shared" si="19"/>
        <v>2.8809602060537953E-2</v>
      </c>
      <c r="U137" s="23">
        <v>3.2864332448305333E-2</v>
      </c>
      <c r="V137" s="23">
        <f t="shared" si="20"/>
        <v>3.3155877480110618E-2</v>
      </c>
      <c r="W137" s="22">
        <f t="shared" si="23"/>
        <v>2.7273883622018769E-3</v>
      </c>
      <c r="X137" s="23">
        <v>3.2004142090279464E-2</v>
      </c>
      <c r="Y137" s="23">
        <f t="shared" si="24"/>
        <v>3.2288991300232883E-2</v>
      </c>
      <c r="Z137" s="22">
        <f t="shared" si="25"/>
        <v>2.6572808344897947E-3</v>
      </c>
      <c r="AA137" s="33"/>
      <c r="AB137" s="50">
        <f t="shared" si="21"/>
        <v>124</v>
      </c>
      <c r="AC137" s="48">
        <f t="shared" si="16"/>
        <v>0.74755503921479105</v>
      </c>
      <c r="AE137" s="48">
        <f t="shared" si="22"/>
        <v>0.99762192802231997</v>
      </c>
      <c r="AF137" s="48">
        <f t="shared" si="26"/>
        <v>0.74755503921479072</v>
      </c>
      <c r="AH137" s="48">
        <f t="shared" si="27"/>
        <v>0</v>
      </c>
    </row>
    <row r="138" spans="4:34" ht="13.9" customHeight="1">
      <c r="D138" s="8"/>
      <c r="E138" s="9"/>
      <c r="F138" s="18"/>
      <c r="G138" s="18"/>
      <c r="H138" s="18"/>
      <c r="J138" s="40"/>
      <c r="K138" s="40"/>
      <c r="L138" s="40"/>
      <c r="M138" s="38"/>
      <c r="O138" s="12">
        <f t="shared" si="17"/>
        <v>10.416666666666666</v>
      </c>
      <c r="P138" s="13">
        <v>125</v>
      </c>
      <c r="Q138" s="21">
        <v>2.8559224050629384E-2</v>
      </c>
      <c r="R138" s="18">
        <f t="shared" si="18"/>
        <v>2.8856909548762966E-2</v>
      </c>
      <c r="S138" s="21">
        <v>2.8555377927039771E-2</v>
      </c>
      <c r="T138" s="18">
        <f t="shared" si="19"/>
        <v>2.8743061320209318E-2</v>
      </c>
      <c r="U138" s="23">
        <v>3.2866664482078534E-2</v>
      </c>
      <c r="V138" s="23">
        <f t="shared" si="20"/>
        <v>3.3090864047463198E-2</v>
      </c>
      <c r="W138" s="22">
        <f t="shared" si="23"/>
        <v>2.7218706322120756E-3</v>
      </c>
      <c r="X138" s="23">
        <v>3.200642057204095E-2</v>
      </c>
      <c r="Y138" s="23">
        <f t="shared" si="24"/>
        <v>3.2223684091585048E-2</v>
      </c>
      <c r="Z138" s="22">
        <f t="shared" si="25"/>
        <v>2.6517311516687236E-3</v>
      </c>
      <c r="AA138" s="33"/>
      <c r="AB138" s="50">
        <f t="shared" si="21"/>
        <v>125</v>
      </c>
      <c r="AC138" s="48">
        <f t="shared" si="16"/>
        <v>0.74578118812230776</v>
      </c>
      <c r="AE138" s="48">
        <f t="shared" si="22"/>
        <v>0.9976271297771645</v>
      </c>
      <c r="AF138" s="48">
        <f t="shared" si="26"/>
        <v>0.74578118812230731</v>
      </c>
      <c r="AH138" s="48">
        <f t="shared" si="27"/>
        <v>0</v>
      </c>
    </row>
    <row r="139" spans="4:34" ht="13.9" customHeight="1">
      <c r="D139" s="8"/>
      <c r="E139" s="9"/>
      <c r="F139" s="18"/>
      <c r="G139" s="18"/>
      <c r="H139" s="18"/>
      <c r="J139" s="40"/>
      <c r="K139" s="40"/>
      <c r="L139" s="40"/>
      <c r="M139" s="38"/>
      <c r="O139" s="12">
        <f t="shared" si="17"/>
        <v>10.5</v>
      </c>
      <c r="P139" s="13">
        <v>126</v>
      </c>
      <c r="Q139" s="21">
        <v>2.8561586294837182E-2</v>
      </c>
      <c r="R139" s="18">
        <f t="shared" si="18"/>
        <v>2.8798043156621267E-2</v>
      </c>
      <c r="S139" s="21">
        <v>2.8556867342972803E-2</v>
      </c>
      <c r="T139" s="18">
        <f t="shared" si="19"/>
        <v>2.8679962124398495E-2</v>
      </c>
      <c r="U139" s="23">
        <v>3.2868443652150026E-2</v>
      </c>
      <c r="V139" s="23">
        <f t="shared" si="20"/>
        <v>3.3029044259138551E-2</v>
      </c>
      <c r="W139" s="22">
        <f t="shared" si="23"/>
        <v>2.7166122879735966E-3</v>
      </c>
      <c r="X139" s="23">
        <v>3.2008144705647945E-2</v>
      </c>
      <c r="Y139" s="23">
        <f t="shared" si="24"/>
        <v>3.2161617651441654E-2</v>
      </c>
      <c r="Z139" s="22">
        <f t="shared" si="25"/>
        <v>2.6464449797796163E-3</v>
      </c>
      <c r="AA139" s="33"/>
      <c r="AB139" s="50">
        <f t="shared" si="21"/>
        <v>126</v>
      </c>
      <c r="AC139" s="48">
        <f t="shared" si="16"/>
        <v>0.74401525938790103</v>
      </c>
      <c r="AE139" s="48">
        <f t="shared" si="22"/>
        <v>0.9976321087705996</v>
      </c>
      <c r="AF139" s="48">
        <f t="shared" si="26"/>
        <v>0.7440152593879007</v>
      </c>
      <c r="AH139" s="48">
        <f t="shared" si="27"/>
        <v>0</v>
      </c>
    </row>
    <row r="140" spans="4:34" ht="13.9" customHeight="1">
      <c r="D140" s="8"/>
      <c r="E140" s="9"/>
      <c r="F140" s="18"/>
      <c r="G140" s="18"/>
      <c r="H140" s="18"/>
      <c r="J140" s="40"/>
      <c r="K140" s="40"/>
      <c r="L140" s="40"/>
      <c r="M140" s="38"/>
      <c r="O140" s="12">
        <f t="shared" si="17"/>
        <v>10.583333333333334</v>
      </c>
      <c r="P140" s="13">
        <v>127</v>
      </c>
      <c r="Q140" s="21">
        <v>2.8563447947595355E-2</v>
      </c>
      <c r="R140" s="18">
        <f t="shared" si="18"/>
        <v>2.8741905175191818E-2</v>
      </c>
      <c r="S140" s="21">
        <v>2.855783653568289E-2</v>
      </c>
      <c r="T140" s="18">
        <f t="shared" si="19"/>
        <v>2.862027990827487E-2</v>
      </c>
      <c r="U140" s="23">
        <v>3.2869708126328723E-2</v>
      </c>
      <c r="V140" s="23">
        <f t="shared" si="20"/>
        <v>3.2970400968723945E-2</v>
      </c>
      <c r="W140" s="22">
        <f t="shared" si="23"/>
        <v>2.7116119671686256E-3</v>
      </c>
      <c r="X140" s="23">
        <v>3.2009353064900381E-2</v>
      </c>
      <c r="Y140" s="23">
        <f t="shared" si="24"/>
        <v>3.2102773436536003E-2</v>
      </c>
      <c r="Z140" s="22">
        <f t="shared" si="25"/>
        <v>2.6414208417941953E-3</v>
      </c>
      <c r="AA140" s="33"/>
      <c r="AB140" s="50">
        <f t="shared" si="21"/>
        <v>127</v>
      </c>
      <c r="AC140" s="48">
        <f t="shared" si="16"/>
        <v>0.74225705131391706</v>
      </c>
      <c r="AE140" s="48">
        <f t="shared" si="22"/>
        <v>0.99763686557258213</v>
      </c>
      <c r="AF140" s="48">
        <f t="shared" si="26"/>
        <v>0.74225705131391695</v>
      </c>
      <c r="AH140" s="48">
        <f t="shared" si="27"/>
        <v>0</v>
      </c>
    </row>
    <row r="141" spans="4:34" ht="13.9" customHeight="1">
      <c r="D141" s="8"/>
      <c r="E141" s="9"/>
      <c r="F141" s="18"/>
      <c r="G141" s="18"/>
      <c r="H141" s="18"/>
      <c r="J141" s="40"/>
      <c r="K141" s="40"/>
      <c r="L141" s="40"/>
      <c r="M141" s="38"/>
      <c r="O141" s="12">
        <f t="shared" si="17"/>
        <v>10.666666666666666</v>
      </c>
      <c r="P141" s="13">
        <v>128</v>
      </c>
      <c r="Q141" s="21">
        <v>2.8564842024697112E-2</v>
      </c>
      <c r="R141" s="18">
        <f t="shared" si="18"/>
        <v>2.8688488158049363E-2</v>
      </c>
      <c r="S141" s="21">
        <v>2.8558324359839293E-2</v>
      </c>
      <c r="T141" s="18">
        <f t="shared" si="19"/>
        <v>2.8563990462847855E-2</v>
      </c>
      <c r="U141" s="23">
        <v>3.2870494751116697E-2</v>
      </c>
      <c r="V141" s="23">
        <f t="shared" si="20"/>
        <v>3.291491728711593E-2</v>
      </c>
      <c r="W141" s="22">
        <f t="shared" si="23"/>
        <v>2.7068683252697845E-3</v>
      </c>
      <c r="X141" s="23">
        <v>3.2010082878779933E-2</v>
      </c>
      <c r="Y141" s="23">
        <f t="shared" si="24"/>
        <v>3.2047133179280873E-2</v>
      </c>
      <c r="Z141" s="22">
        <f t="shared" si="25"/>
        <v>2.6366572799043642E-3</v>
      </c>
      <c r="AA141" s="33"/>
      <c r="AB141" s="50">
        <f t="shared" si="21"/>
        <v>128</v>
      </c>
      <c r="AC141" s="48">
        <f t="shared" ref="AC141:AC204" si="28">1/(1+Q141)^(P141/12)</f>
        <v>0.74050636544727488</v>
      </c>
      <c r="AE141" s="48">
        <f t="shared" si="22"/>
        <v>0.99764140217523978</v>
      </c>
      <c r="AF141" s="48">
        <f t="shared" si="26"/>
        <v>0.74050636544727499</v>
      </c>
      <c r="AH141" s="48">
        <f t="shared" si="27"/>
        <v>0</v>
      </c>
    </row>
    <row r="142" spans="4:34" ht="13.9" customHeight="1">
      <c r="D142" s="8"/>
      <c r="E142" s="9"/>
      <c r="F142" s="18"/>
      <c r="G142" s="18"/>
      <c r="H142" s="18"/>
      <c r="J142" s="40"/>
      <c r="K142" s="40"/>
      <c r="L142" s="40"/>
      <c r="M142" s="38"/>
      <c r="O142" s="12">
        <f t="shared" ref="O142:O205" si="29">P142/12</f>
        <v>10.75</v>
      </c>
      <c r="P142" s="13">
        <v>129</v>
      </c>
      <c r="Q142" s="21">
        <v>2.856580046469448E-2</v>
      </c>
      <c r="R142" s="18">
        <f t="shared" ref="R142:R205" si="30">(1+Q143)^P143/(1+Q142)^P142-1</f>
        <v>2.8637790627362048E-2</v>
      </c>
      <c r="S142" s="21">
        <v>2.8558368282998403E-2</v>
      </c>
      <c r="T142" s="18">
        <f t="shared" ref="T142:T205" si="31">(1+S143)^P143/(1+S142)^P142-1</f>
        <v>2.8511069940550415E-2</v>
      </c>
      <c r="U142" s="23">
        <v>3.2870839104513161E-2</v>
      </c>
      <c r="V142" s="23">
        <f t="shared" ref="V142:V205" si="32">(1+U143)^P143/(1+U142)^P142-1</f>
        <v>3.2862576588557513E-2</v>
      </c>
      <c r="W142" s="22">
        <f t="shared" si="23"/>
        <v>2.7023800361059003E-3</v>
      </c>
      <c r="X142" s="23">
        <v>3.201037008529628E-2</v>
      </c>
      <c r="Y142" s="23">
        <f t="shared" si="24"/>
        <v>3.1994678894064155E-2</v>
      </c>
      <c r="Z142" s="22">
        <f t="shared" si="25"/>
        <v>2.632152856068215E-3</v>
      </c>
      <c r="AA142" s="33"/>
      <c r="AB142" s="50">
        <f t="shared" ref="AB142:AB205" si="33">+P142</f>
        <v>129</v>
      </c>
      <c r="AC142" s="48">
        <f t="shared" si="28"/>
        <v>0.73876300548536389</v>
      </c>
      <c r="AE142" s="48">
        <f t="shared" ref="AE142:AE205" si="34">1/(1+R141)^(1/12)</f>
        <v>0.9976457191413094</v>
      </c>
      <c r="AF142" s="48">
        <f t="shared" si="26"/>
        <v>0.73876300548536389</v>
      </c>
      <c r="AH142" s="48">
        <f t="shared" si="27"/>
        <v>0</v>
      </c>
    </row>
    <row r="143" spans="4:34" ht="13.9" customHeight="1">
      <c r="D143" s="8"/>
      <c r="E143" s="9"/>
      <c r="F143" s="18"/>
      <c r="G143" s="18"/>
      <c r="H143" s="18"/>
      <c r="J143" s="40"/>
      <c r="K143" s="40"/>
      <c r="L143" s="40"/>
      <c r="M143" s="38"/>
      <c r="O143" s="12">
        <f t="shared" si="29"/>
        <v>10.833333333333334</v>
      </c>
      <c r="P143" s="13">
        <v>130</v>
      </c>
      <c r="Q143" s="21">
        <v>2.856635421594711E-2</v>
      </c>
      <c r="R143" s="18">
        <f t="shared" si="30"/>
        <v>2.8589811201063853E-2</v>
      </c>
      <c r="S143" s="21">
        <v>2.8558004441293638E-2</v>
      </c>
      <c r="T143" s="18">
        <f t="shared" si="31"/>
        <v>2.8461494861397263E-2</v>
      </c>
      <c r="U143" s="23">
        <v>3.2870775546445907E-2</v>
      </c>
      <c r="V143" s="23">
        <f t="shared" si="32"/>
        <v>3.2813362517004396E-2</v>
      </c>
      <c r="W143" s="22">
        <f t="shared" ref="W143:W206" si="35">(1+V142)^(1/12)-1</f>
        <v>2.6981457923911378E-3</v>
      </c>
      <c r="X143" s="23">
        <v>3.2010249382914635E-2</v>
      </c>
      <c r="Y143" s="23">
        <f t="shared" ref="Y143:Y206" si="36">(1+X144)^P144/(1+X143)^P143-1</f>
        <v>3.1945392883252488E-2</v>
      </c>
      <c r="Z143" s="22">
        <f t="shared" ref="Z143:Z206" si="37">(1+Y142)^(1/12)-1</f>
        <v>2.6279061525664726E-3</v>
      </c>
      <c r="AA143" s="33"/>
      <c r="AB143" s="50">
        <f t="shared" si="33"/>
        <v>130</v>
      </c>
      <c r="AC143" s="48">
        <f t="shared" si="28"/>
        <v>0.7370267768987272</v>
      </c>
      <c r="AE143" s="48">
        <f t="shared" si="34"/>
        <v>0.99764981655315066</v>
      </c>
      <c r="AF143" s="48">
        <f t="shared" ref="AF143:AF206" si="38">+AF142*AE143</f>
        <v>0.73702677689872753</v>
      </c>
      <c r="AH143" s="48">
        <f t="shared" ref="AH143:AH206" si="39">+AF143-AC143</f>
        <v>0</v>
      </c>
    </row>
    <row r="144" spans="4:34" ht="13.9" customHeight="1">
      <c r="D144" s="8"/>
      <c r="E144" s="9"/>
      <c r="F144" s="18"/>
      <c r="G144" s="18"/>
      <c r="H144" s="18"/>
      <c r="J144" s="40"/>
      <c r="K144" s="40"/>
      <c r="L144" s="40"/>
      <c r="M144" s="38"/>
      <c r="O144" s="12">
        <f t="shared" si="29"/>
        <v>10.916666666666666</v>
      </c>
      <c r="P144" s="13">
        <v>131</v>
      </c>
      <c r="Q144" s="21">
        <v>2.8566533274875905E-2</v>
      </c>
      <c r="R144" s="18">
        <f t="shared" si="30"/>
        <v>2.8544548598346209E-2</v>
      </c>
      <c r="S144" s="21">
        <v>2.8557267692641997E-2</v>
      </c>
      <c r="T144" s="18">
        <f t="shared" si="31"/>
        <v>2.8415242119053108E-2</v>
      </c>
      <c r="U144" s="23">
        <v>3.2870337266957428E-2</v>
      </c>
      <c r="V144" s="23">
        <f t="shared" si="32"/>
        <v>3.2767258991780901E-2</v>
      </c>
      <c r="W144" s="22">
        <f t="shared" si="35"/>
        <v>2.6941643062832199E-3</v>
      </c>
      <c r="X144" s="23">
        <v>3.2009754279692215E-2</v>
      </c>
      <c r="Y144" s="23">
        <f t="shared" si="36"/>
        <v>3.1899257743458254E-2</v>
      </c>
      <c r="Z144" s="22">
        <f t="shared" si="37"/>
        <v>2.623915772534513E-3</v>
      </c>
      <c r="AA144" s="33"/>
      <c r="AB144" s="50">
        <f t="shared" si="33"/>
        <v>131</v>
      </c>
      <c r="AC144" s="48">
        <f t="shared" si="28"/>
        <v>0.73529748690907515</v>
      </c>
      <c r="AE144" s="48">
        <f t="shared" si="34"/>
        <v>0.99765369448728902</v>
      </c>
      <c r="AF144" s="48">
        <f t="shared" si="38"/>
        <v>0.73529748690907448</v>
      </c>
      <c r="AH144" s="48">
        <f t="shared" si="39"/>
        <v>0</v>
      </c>
    </row>
    <row r="145" spans="4:34" ht="13.9" customHeight="1">
      <c r="D145" s="8"/>
      <c r="E145" s="9"/>
      <c r="F145" s="18"/>
      <c r="G145" s="18"/>
      <c r="H145" s="18"/>
      <c r="J145" s="40"/>
      <c r="K145" s="40"/>
      <c r="L145" s="40"/>
      <c r="M145" s="38"/>
      <c r="O145" s="12">
        <f t="shared" si="29"/>
        <v>11</v>
      </c>
      <c r="P145" s="13">
        <v>132</v>
      </c>
      <c r="Q145" s="21">
        <v>2.8566366722529768E-2</v>
      </c>
      <c r="R145" s="18">
        <f t="shared" si="30"/>
        <v>2.8501995836383909E-2</v>
      </c>
      <c r="S145" s="21">
        <v>2.8556191667598041E-2</v>
      </c>
      <c r="T145" s="18">
        <f t="shared" si="31"/>
        <v>2.8372288985968996E-2</v>
      </c>
      <c r="U145" s="23">
        <v>3.2869556332260075E-2</v>
      </c>
      <c r="V145" s="23">
        <f t="shared" si="32"/>
        <v>3.2724250213620243E-2</v>
      </c>
      <c r="W145" s="22">
        <f t="shared" si="35"/>
        <v>2.6904343098810291E-3</v>
      </c>
      <c r="X145" s="23">
        <v>3.2008917140243565E-2</v>
      </c>
      <c r="Y145" s="23">
        <f t="shared" si="36"/>
        <v>3.1856256370757174E-2</v>
      </c>
      <c r="Z145" s="22">
        <f t="shared" si="37"/>
        <v>2.6201803405143664E-3</v>
      </c>
      <c r="AA145" s="33"/>
      <c r="AB145" s="50">
        <f t="shared" si="33"/>
        <v>132</v>
      </c>
      <c r="AC145" s="48">
        <f t="shared" si="28"/>
        <v>0.73357494446753024</v>
      </c>
      <c r="AE145" s="48">
        <f t="shared" si="34"/>
        <v>0.9976573530139683</v>
      </c>
      <c r="AF145" s="48">
        <f t="shared" si="38"/>
        <v>0.73357494446753024</v>
      </c>
      <c r="AH145" s="48">
        <f t="shared" si="39"/>
        <v>0</v>
      </c>
    </row>
    <row r="146" spans="4:34" ht="13.9" customHeight="1">
      <c r="D146" s="8"/>
      <c r="E146" s="9"/>
      <c r="F146" s="18"/>
      <c r="G146" s="18"/>
      <c r="H146" s="18"/>
      <c r="J146" s="40"/>
      <c r="K146" s="40"/>
      <c r="L146" s="40"/>
      <c r="M146" s="38"/>
      <c r="O146" s="12">
        <f t="shared" si="29"/>
        <v>11.083333333333334</v>
      </c>
      <c r="P146" s="13">
        <v>133</v>
      </c>
      <c r="Q146" s="21">
        <v>2.8565882715873014E-2</v>
      </c>
      <c r="R146" s="18">
        <f t="shared" si="30"/>
        <v>2.8462128610511561E-2</v>
      </c>
      <c r="S146" s="21">
        <v>2.8554808817969679E-2</v>
      </c>
      <c r="T146" s="18">
        <f t="shared" si="31"/>
        <v>2.8332613119113281E-2</v>
      </c>
      <c r="U146" s="23">
        <v>3.28684637287735E-2</v>
      </c>
      <c r="V146" s="23">
        <f t="shared" si="32"/>
        <v>3.2684320670573364E-2</v>
      </c>
      <c r="W146" s="22">
        <f t="shared" si="35"/>
        <v>2.6869545557532959E-3</v>
      </c>
      <c r="X146" s="23">
        <v>3.2007769230642635E-2</v>
      </c>
      <c r="Y146" s="23">
        <f t="shared" si="36"/>
        <v>3.1816371967193335E-2</v>
      </c>
      <c r="Z146" s="22">
        <f t="shared" si="37"/>
        <v>2.616698502921011E-3</v>
      </c>
      <c r="AA146" s="33"/>
      <c r="AB146" s="50">
        <f t="shared" si="33"/>
        <v>133</v>
      </c>
      <c r="AC146" s="48">
        <f t="shared" si="28"/>
        <v>0.7318589605775766</v>
      </c>
      <c r="AE146" s="48">
        <f t="shared" si="34"/>
        <v>0.99766079266625085</v>
      </c>
      <c r="AF146" s="48">
        <f t="shared" si="38"/>
        <v>0.73185896057757716</v>
      </c>
      <c r="AH146" s="48">
        <f t="shared" si="39"/>
        <v>0</v>
      </c>
    </row>
    <row r="147" spans="4:34" ht="13.9" customHeight="1">
      <c r="D147" s="8"/>
      <c r="E147" s="9"/>
      <c r="F147" s="18"/>
      <c r="G147" s="18"/>
      <c r="H147" s="18"/>
      <c r="J147" s="40"/>
      <c r="K147" s="40"/>
      <c r="L147" s="40"/>
      <c r="M147" s="38"/>
      <c r="O147" s="12">
        <f t="shared" si="29"/>
        <v>11.166666666666666</v>
      </c>
      <c r="P147" s="13">
        <v>134</v>
      </c>
      <c r="Q147" s="21">
        <v>2.8565108392741401E-2</v>
      </c>
      <c r="R147" s="18">
        <f t="shared" si="30"/>
        <v>2.8424940151223765E-2</v>
      </c>
      <c r="S147" s="21">
        <v>2.8553150463318078E-2</v>
      </c>
      <c r="T147" s="18">
        <f t="shared" si="31"/>
        <v>2.8296192565247846E-2</v>
      </c>
      <c r="U147" s="23">
        <v>3.2867089405247851E-2</v>
      </c>
      <c r="V147" s="23">
        <f t="shared" si="32"/>
        <v>3.2647455143140158E-2</v>
      </c>
      <c r="W147" s="22">
        <f t="shared" si="35"/>
        <v>2.683723817455963E-3</v>
      </c>
      <c r="X147" s="23">
        <v>3.2006340761377317E-2</v>
      </c>
      <c r="Y147" s="23">
        <f t="shared" si="36"/>
        <v>3.1779588045577567E-2</v>
      </c>
      <c r="Z147" s="22">
        <f t="shared" si="37"/>
        <v>2.6134689286114732E-3</v>
      </c>
      <c r="AA147" s="33"/>
      <c r="AB147" s="50">
        <f t="shared" si="33"/>
        <v>134</v>
      </c>
      <c r="AC147" s="48">
        <f t="shared" si="28"/>
        <v>0.73014934930124453</v>
      </c>
      <c r="AE147" s="48">
        <f t="shared" si="34"/>
        <v>0.99766401537943428</v>
      </c>
      <c r="AF147" s="48">
        <f t="shared" si="38"/>
        <v>0.73014934930124475</v>
      </c>
      <c r="AH147" s="48">
        <f t="shared" si="39"/>
        <v>0</v>
      </c>
    </row>
    <row r="148" spans="4:34" ht="13.9" customHeight="1">
      <c r="D148" s="8"/>
      <c r="E148" s="9"/>
      <c r="F148" s="18"/>
      <c r="G148" s="18"/>
      <c r="H148" s="18"/>
      <c r="J148" s="40"/>
      <c r="K148" s="40"/>
      <c r="L148" s="40"/>
      <c r="M148" s="38"/>
      <c r="O148" s="12">
        <f t="shared" si="29"/>
        <v>11.25</v>
      </c>
      <c r="P148" s="13">
        <v>135</v>
      </c>
      <c r="Q148" s="21">
        <v>2.8564070039242218E-2</v>
      </c>
      <c r="R148" s="18">
        <f t="shared" si="30"/>
        <v>2.8390429619891355E-2</v>
      </c>
      <c r="S148" s="21">
        <v>2.855124683544541E-2</v>
      </c>
      <c r="T148" s="18">
        <f t="shared" si="31"/>
        <v>2.8263005766099081E-2</v>
      </c>
      <c r="U148" s="23">
        <v>3.2865462313066418E-2</v>
      </c>
      <c r="V148" s="23">
        <f t="shared" si="32"/>
        <v>3.2613638710800918E-2</v>
      </c>
      <c r="W148" s="22">
        <f t="shared" si="35"/>
        <v>2.6807408899847118E-3</v>
      </c>
      <c r="X148" s="23">
        <v>3.200466092844434E-2</v>
      </c>
      <c r="Y148" s="23">
        <f t="shared" si="36"/>
        <v>3.1745888435734892E-2</v>
      </c>
      <c r="Z148" s="22">
        <f t="shared" si="37"/>
        <v>2.610490309315372E-3</v>
      </c>
      <c r="AA148" s="33"/>
      <c r="AB148" s="50">
        <f t="shared" si="33"/>
        <v>135</v>
      </c>
      <c r="AC148" s="48">
        <f t="shared" si="28"/>
        <v>0.7284459266941693</v>
      </c>
      <c r="AE148" s="48">
        <f t="shared" si="34"/>
        <v>0.99766702167343446</v>
      </c>
      <c r="AF148" s="48">
        <f t="shared" si="38"/>
        <v>0.72844592669416897</v>
      </c>
      <c r="AH148" s="48">
        <f t="shared" si="39"/>
        <v>0</v>
      </c>
    </row>
    <row r="149" spans="4:34" ht="13.9" customHeight="1">
      <c r="D149" s="8"/>
      <c r="E149" s="9"/>
      <c r="F149" s="18"/>
      <c r="G149" s="18"/>
      <c r="H149" s="18"/>
      <c r="J149" s="40"/>
      <c r="K149" s="40"/>
      <c r="L149" s="40"/>
      <c r="M149" s="38"/>
      <c r="O149" s="12">
        <f t="shared" si="29"/>
        <v>11.333333333333334</v>
      </c>
      <c r="P149" s="13">
        <v>136</v>
      </c>
      <c r="Q149" s="21">
        <v>2.856279316446253E-2</v>
      </c>
      <c r="R149" s="18">
        <f t="shared" si="30"/>
        <v>2.8358596307408002E-2</v>
      </c>
      <c r="S149" s="21">
        <v>2.8549127120973683E-2</v>
      </c>
      <c r="T149" s="18">
        <f t="shared" si="31"/>
        <v>2.8233031563192235E-2</v>
      </c>
      <c r="U149" s="23">
        <v>3.2863610444830327E-2</v>
      </c>
      <c r="V149" s="23">
        <f t="shared" si="32"/>
        <v>3.2582856756354417E-2</v>
      </c>
      <c r="W149" s="22">
        <f t="shared" si="35"/>
        <v>2.6780045903411764E-3</v>
      </c>
      <c r="X149" s="23">
        <v>3.2002757952688476E-2</v>
      </c>
      <c r="Y149" s="23">
        <f t="shared" si="36"/>
        <v>3.1715257289357313E-2</v>
      </c>
      <c r="Z149" s="22">
        <f t="shared" si="37"/>
        <v>2.607761360181815E-3</v>
      </c>
      <c r="AA149" s="33"/>
      <c r="AB149" s="50">
        <f t="shared" si="33"/>
        <v>136</v>
      </c>
      <c r="AC149" s="48">
        <f t="shared" si="28"/>
        <v>0.72674851043891786</v>
      </c>
      <c r="AE149" s="48">
        <f t="shared" si="34"/>
        <v>0.9976698115906093</v>
      </c>
      <c r="AF149" s="48">
        <f t="shared" si="38"/>
        <v>0.7267485104389183</v>
      </c>
      <c r="AH149" s="48">
        <f t="shared" si="39"/>
        <v>0</v>
      </c>
    </row>
    <row r="150" spans="4:34" ht="13.9" customHeight="1">
      <c r="D150" s="8"/>
      <c r="E150" s="9"/>
      <c r="F150" s="18"/>
      <c r="G150" s="18"/>
      <c r="H150" s="18"/>
      <c r="J150" s="40"/>
      <c r="K150" s="40"/>
      <c r="L150" s="40"/>
      <c r="M150" s="38"/>
      <c r="O150" s="12">
        <f t="shared" si="29"/>
        <v>11.416666666666666</v>
      </c>
      <c r="P150" s="13">
        <v>137</v>
      </c>
      <c r="Q150" s="21">
        <v>2.8561302529564792E-2</v>
      </c>
      <c r="R150" s="18">
        <f t="shared" si="30"/>
        <v>2.8329439638993925E-2</v>
      </c>
      <c r="S150" s="21">
        <v>2.8546819502107912E-2</v>
      </c>
      <c r="T150" s="18">
        <f t="shared" si="31"/>
        <v>2.820624920313608E-2</v>
      </c>
      <c r="U150" s="23">
        <v>3.2861560871296547E-2</v>
      </c>
      <c r="V150" s="23">
        <f t="shared" si="32"/>
        <v>3.2555094972209098E-2</v>
      </c>
      <c r="W150" s="22">
        <f t="shared" si="35"/>
        <v>2.6755137579195232E-3</v>
      </c>
      <c r="X150" s="23">
        <v>3.2000659117468855E-2</v>
      </c>
      <c r="Y150" s="23">
        <f t="shared" si="36"/>
        <v>3.1687679085601772E-2</v>
      </c>
      <c r="Z150" s="22">
        <f t="shared" si="37"/>
        <v>2.6052808202103872E-3</v>
      </c>
      <c r="AA150" s="33"/>
      <c r="AB150" s="50">
        <f t="shared" si="33"/>
        <v>137</v>
      </c>
      <c r="AC150" s="48">
        <f t="shared" si="28"/>
        <v>0.72505691982447684</v>
      </c>
      <c r="AE150" s="48">
        <f t="shared" si="34"/>
        <v>0.99767238516468448</v>
      </c>
      <c r="AF150" s="48">
        <f t="shared" si="38"/>
        <v>0.72505691982447718</v>
      </c>
      <c r="AH150" s="48">
        <f t="shared" si="39"/>
        <v>0</v>
      </c>
    </row>
    <row r="151" spans="4:34" ht="13.9" customHeight="1">
      <c r="D151" s="8"/>
      <c r="E151" s="9"/>
      <c r="F151" s="18"/>
      <c r="G151" s="18"/>
      <c r="H151" s="18"/>
      <c r="J151" s="40"/>
      <c r="K151" s="40"/>
      <c r="L151" s="40"/>
      <c r="M151" s="38"/>
      <c r="O151" s="12">
        <f t="shared" si="29"/>
        <v>11.5</v>
      </c>
      <c r="P151" s="13">
        <v>138</v>
      </c>
      <c r="Q151" s="21">
        <v>2.8559622175659882E-2</v>
      </c>
      <c r="R151" s="18">
        <f t="shared" si="30"/>
        <v>2.8302953441936562E-2</v>
      </c>
      <c r="S151" s="21">
        <v>2.8544351195679107E-2</v>
      </c>
      <c r="T151" s="18">
        <f t="shared" si="31"/>
        <v>2.8182638341882837E-2</v>
      </c>
      <c r="U151" s="23">
        <v>3.2859339776766916E-2</v>
      </c>
      <c r="V151" s="23">
        <f t="shared" si="32"/>
        <v>3.2530339365208549E-2</v>
      </c>
      <c r="W151" s="22">
        <f t="shared" si="35"/>
        <v>2.673267255050682E-3</v>
      </c>
      <c r="X151" s="23">
        <v>3.1998390804737209E-2</v>
      </c>
      <c r="Y151" s="23">
        <f t="shared" si="36"/>
        <v>3.1663138636262911E-2</v>
      </c>
      <c r="Z151" s="22">
        <f t="shared" si="37"/>
        <v>2.6030474527440894E-3</v>
      </c>
      <c r="AA151" s="33"/>
      <c r="AB151" s="50">
        <f t="shared" si="33"/>
        <v>138</v>
      </c>
      <c r="AC151" s="48">
        <f t="shared" si="28"/>
        <v>0.72337097572598597</v>
      </c>
      <c r="AE151" s="48">
        <f t="shared" si="34"/>
        <v>0.99767474242036114</v>
      </c>
      <c r="AF151" s="48">
        <f t="shared" si="38"/>
        <v>0.72337097572598574</v>
      </c>
      <c r="AH151" s="48">
        <f t="shared" si="39"/>
        <v>0</v>
      </c>
    </row>
    <row r="152" spans="4:34" ht="13.9" customHeight="1">
      <c r="D152" s="8"/>
      <c r="E152" s="9"/>
      <c r="F152" s="18"/>
      <c r="G152" s="18"/>
      <c r="H152" s="18"/>
      <c r="J152" s="40"/>
      <c r="K152" s="40"/>
      <c r="L152" s="40"/>
      <c r="M152" s="38"/>
      <c r="O152" s="12">
        <f t="shared" si="29"/>
        <v>11.583333333333334</v>
      </c>
      <c r="P152" s="13">
        <v>139</v>
      </c>
      <c r="Q152" s="21">
        <v>2.8557775409232544E-2</v>
      </c>
      <c r="R152" s="18">
        <f t="shared" si="30"/>
        <v>2.8279114469239142E-2</v>
      </c>
      <c r="S152" s="21">
        <v>2.8541748490545471E-2</v>
      </c>
      <c r="T152" s="18">
        <f t="shared" si="31"/>
        <v>2.8162179049827429E-2</v>
      </c>
      <c r="U152" s="23">
        <v>3.2856972492993908E-2</v>
      </c>
      <c r="V152" s="23">
        <f t="shared" si="32"/>
        <v>3.2508576262119115E-2</v>
      </c>
      <c r="W152" s="22">
        <f t="shared" si="35"/>
        <v>2.6712639674266736E-3</v>
      </c>
      <c r="X152" s="23">
        <v>3.1995978529608227E-2</v>
      </c>
      <c r="Y152" s="23">
        <f t="shared" si="36"/>
        <v>3.1641621090914729E-2</v>
      </c>
      <c r="Z152" s="22">
        <f t="shared" si="37"/>
        <v>2.6010600459254185E-3</v>
      </c>
      <c r="AA152" s="33"/>
      <c r="AB152" s="50">
        <f t="shared" si="33"/>
        <v>139</v>
      </c>
      <c r="AC152" s="48">
        <f t="shared" si="28"/>
        <v>0.7216905009202691</v>
      </c>
      <c r="AE152" s="48">
        <f t="shared" si="34"/>
        <v>0.99767688383677522</v>
      </c>
      <c r="AF152" s="48">
        <f t="shared" si="38"/>
        <v>0.72169050092026898</v>
      </c>
      <c r="AH152" s="48">
        <f t="shared" si="39"/>
        <v>0</v>
      </c>
    </row>
    <row r="153" spans="4:34" ht="13.9" customHeight="1">
      <c r="D153" s="8"/>
      <c r="E153" s="9"/>
      <c r="F153" s="18"/>
      <c r="G153" s="18"/>
      <c r="H153" s="18"/>
      <c r="J153" s="40"/>
      <c r="K153" s="40"/>
      <c r="L153" s="40"/>
      <c r="M153" s="38"/>
      <c r="O153" s="12">
        <f t="shared" si="29"/>
        <v>11.666666666666666</v>
      </c>
      <c r="P153" s="13">
        <v>140</v>
      </c>
      <c r="Q153" s="21">
        <v>2.8555784706196352E-2</v>
      </c>
      <c r="R153" s="18">
        <f t="shared" si="30"/>
        <v>2.8257916828215546E-2</v>
      </c>
      <c r="S153" s="21">
        <v>2.8539036783438387E-2</v>
      </c>
      <c r="T153" s="18">
        <f t="shared" si="31"/>
        <v>2.8144851815997018E-2</v>
      </c>
      <c r="U153" s="23">
        <v>3.2854483531682854E-2</v>
      </c>
      <c r="V153" s="23">
        <f t="shared" si="32"/>
        <v>3.248979231456306E-2</v>
      </c>
      <c r="W153" s="22">
        <f t="shared" si="35"/>
        <v>2.6695028045775615E-3</v>
      </c>
      <c r="X153" s="23">
        <v>3.1993446973494377E-2</v>
      </c>
      <c r="Y153" s="23">
        <f t="shared" si="36"/>
        <v>3.1623111941805337E-2</v>
      </c>
      <c r="Z153" s="22">
        <f t="shared" si="37"/>
        <v>2.5993174131475616E-3</v>
      </c>
      <c r="AA153" s="33"/>
      <c r="AB153" s="50">
        <f t="shared" si="33"/>
        <v>140</v>
      </c>
      <c r="AC153" s="48">
        <f t="shared" si="28"/>
        <v>0.72001532106692223</v>
      </c>
      <c r="AE153" s="48">
        <f t="shared" si="34"/>
        <v>0.99767881127545632</v>
      </c>
      <c r="AF153" s="48">
        <f t="shared" si="38"/>
        <v>0.72001532106692256</v>
      </c>
      <c r="AH153" s="48">
        <f t="shared" si="39"/>
        <v>0</v>
      </c>
    </row>
    <row r="154" spans="4:34" ht="13.9" customHeight="1">
      <c r="D154" s="8"/>
      <c r="E154" s="9"/>
      <c r="F154" s="18"/>
      <c r="G154" s="18"/>
      <c r="H154" s="18"/>
      <c r="J154" s="40"/>
      <c r="K154" s="40"/>
      <c r="L154" s="40"/>
      <c r="M154" s="38"/>
      <c r="O154" s="12">
        <f t="shared" si="29"/>
        <v>11.75</v>
      </c>
      <c r="P154" s="13">
        <v>141</v>
      </c>
      <c r="Q154" s="21">
        <v>2.8553671864272046E-2</v>
      </c>
      <c r="R154" s="18">
        <f t="shared" si="30"/>
        <v>2.8239360518973466E-2</v>
      </c>
      <c r="S154" s="21">
        <v>2.8536240613324715E-2</v>
      </c>
      <c r="T154" s="18">
        <f t="shared" si="31"/>
        <v>2.8130637552749915E-2</v>
      </c>
      <c r="U154" s="23">
        <v>3.2851896615654352E-2</v>
      </c>
      <c r="V154" s="23">
        <f t="shared" si="32"/>
        <v>3.2473974504257486E-2</v>
      </c>
      <c r="W154" s="22">
        <f t="shared" si="35"/>
        <v>2.6679827003033285E-3</v>
      </c>
      <c r="X154" s="23">
        <v>3.1990820015875387E-2</v>
      </c>
      <c r="Y154" s="23">
        <f t="shared" si="36"/>
        <v>3.1607597029123857E-2</v>
      </c>
      <c r="Z154" s="22">
        <f t="shared" si="37"/>
        <v>2.5978183934878274E-3</v>
      </c>
      <c r="AA154" s="33"/>
      <c r="AB154" s="50">
        <f t="shared" si="33"/>
        <v>141</v>
      </c>
      <c r="AC154" s="48">
        <f t="shared" si="28"/>
        <v>0.71834526367174245</v>
      </c>
      <c r="AE154" s="48">
        <f t="shared" si="34"/>
        <v>0.99768052519673456</v>
      </c>
      <c r="AF154" s="48">
        <f t="shared" si="38"/>
        <v>0.71834526367174278</v>
      </c>
      <c r="AH154" s="48">
        <f t="shared" si="39"/>
        <v>0</v>
      </c>
    </row>
    <row r="155" spans="4:34" ht="13.9" customHeight="1">
      <c r="D155" s="8"/>
      <c r="E155" s="9"/>
      <c r="F155" s="18"/>
      <c r="G155" s="18"/>
      <c r="H155" s="18"/>
      <c r="J155" s="40"/>
      <c r="K155" s="40"/>
      <c r="L155" s="40"/>
      <c r="M155" s="38"/>
      <c r="O155" s="12">
        <f t="shared" si="29"/>
        <v>11.833333333333334</v>
      </c>
      <c r="P155" s="13">
        <v>142</v>
      </c>
      <c r="Q155" s="21">
        <v>2.855145806820647E-2</v>
      </c>
      <c r="R155" s="18">
        <f t="shared" si="30"/>
        <v>2.8223445702844518E-2</v>
      </c>
      <c r="S155" s="21">
        <v>2.8533383694360426E-2</v>
      </c>
      <c r="T155" s="18">
        <f t="shared" si="31"/>
        <v>2.811951759976683E-2</v>
      </c>
      <c r="U155" s="23">
        <v>3.2849234708736574E-2</v>
      </c>
      <c r="V155" s="23">
        <f t="shared" si="32"/>
        <v>3.2461110148035877E-2</v>
      </c>
      <c r="W155" s="22">
        <f t="shared" si="35"/>
        <v>2.6667026131268479E-3</v>
      </c>
      <c r="X155" s="23">
        <v>3.1988120764771422E-2</v>
      </c>
      <c r="Y155" s="23">
        <f t="shared" si="36"/>
        <v>3.1595062545584973E-2</v>
      </c>
      <c r="Z155" s="22">
        <f t="shared" si="37"/>
        <v>2.5965618521655021E-3</v>
      </c>
      <c r="AA155" s="33"/>
      <c r="AB155" s="50">
        <f t="shared" si="33"/>
        <v>142</v>
      </c>
      <c r="AC155" s="48">
        <f t="shared" si="28"/>
        <v>0.71668015773034466</v>
      </c>
      <c r="AE155" s="48">
        <f t="shared" si="34"/>
        <v>0.99768202558629471</v>
      </c>
      <c r="AF155" s="48">
        <f t="shared" si="38"/>
        <v>0.71668015773034532</v>
      </c>
      <c r="AH155" s="48">
        <f t="shared" si="39"/>
        <v>0</v>
      </c>
    </row>
    <row r="156" spans="4:34" ht="13.9" customHeight="1">
      <c r="D156" s="8"/>
      <c r="E156" s="9"/>
      <c r="F156" s="18"/>
      <c r="G156" s="18"/>
      <c r="H156" s="18"/>
      <c r="J156" s="40"/>
      <c r="K156" s="40"/>
      <c r="L156" s="40"/>
      <c r="M156" s="38"/>
      <c r="O156" s="12">
        <f t="shared" si="29"/>
        <v>11.916666666666666</v>
      </c>
      <c r="P156" s="13">
        <v>143</v>
      </c>
      <c r="Q156" s="21">
        <v>2.8549163912169107E-2</v>
      </c>
      <c r="R156" s="18">
        <f t="shared" si="30"/>
        <v>2.8210172707908043E-2</v>
      </c>
      <c r="S156" s="21">
        <v>2.8530488947499544E-2</v>
      </c>
      <c r="T156" s="18">
        <f t="shared" si="31"/>
        <v>2.8111473728850145E-2</v>
      </c>
      <c r="U156" s="23">
        <v>3.2846520044445437E-2</v>
      </c>
      <c r="V156" s="23">
        <f t="shared" si="32"/>
        <v>3.2451186902787921E-2</v>
      </c>
      <c r="W156" s="22">
        <f t="shared" si="35"/>
        <v>2.6656615267319772E-3</v>
      </c>
      <c r="X156" s="23">
        <v>3.1985371585977473E-2</v>
      </c>
      <c r="Y156" s="23">
        <f t="shared" si="36"/>
        <v>3.1585495041582146E-2</v>
      </c>
      <c r="Z156" s="22">
        <f t="shared" si="37"/>
        <v>2.5955466809477468E-3</v>
      </c>
      <c r="AA156" s="33"/>
      <c r="AB156" s="50">
        <f t="shared" si="33"/>
        <v>143</v>
      </c>
      <c r="AC156" s="48">
        <f t="shared" si="28"/>
        <v>0.71501983370907063</v>
      </c>
      <c r="AE156" s="48">
        <f t="shared" si="34"/>
        <v>0.99768331241856667</v>
      </c>
      <c r="AF156" s="48">
        <f t="shared" si="38"/>
        <v>0.71501983370907174</v>
      </c>
      <c r="AH156" s="48">
        <f t="shared" si="39"/>
        <v>1.1102230246251565E-15</v>
      </c>
    </row>
    <row r="157" spans="4:34" ht="13.9" customHeight="1">
      <c r="D157" s="8"/>
      <c r="E157" s="9"/>
      <c r="F157" s="18"/>
      <c r="G157" s="18"/>
      <c r="H157" s="18"/>
      <c r="J157" s="40"/>
      <c r="K157" s="40"/>
      <c r="L157" s="40"/>
      <c r="M157" s="38"/>
      <c r="O157" s="12">
        <f t="shared" si="29"/>
        <v>12</v>
      </c>
      <c r="P157" s="13">
        <v>144</v>
      </c>
      <c r="Q157" s="21">
        <v>2.8546809421258201E-2</v>
      </c>
      <c r="R157" s="18">
        <f t="shared" si="30"/>
        <v>2.8199536367337075E-2</v>
      </c>
      <c r="S157" s="21">
        <v>2.8527578530828546E-2</v>
      </c>
      <c r="T157" s="18">
        <f t="shared" si="31"/>
        <v>2.8106488147199515E-2</v>
      </c>
      <c r="U157" s="23">
        <v>3.2843774153512362E-2</v>
      </c>
      <c r="V157" s="23">
        <f t="shared" si="32"/>
        <v>3.2444192770274771E-2</v>
      </c>
      <c r="W157" s="22">
        <f t="shared" si="35"/>
        <v>2.6648584503905504E-3</v>
      </c>
      <c r="X157" s="23">
        <v>3.1982594131124475E-2</v>
      </c>
      <c r="Y157" s="23">
        <f t="shared" si="36"/>
        <v>3.1578881429804584E-2</v>
      </c>
      <c r="Z157" s="22">
        <f t="shared" si="37"/>
        <v>2.5947717985972396E-3</v>
      </c>
      <c r="AA157" s="33"/>
      <c r="AB157" s="50">
        <f t="shared" si="33"/>
        <v>144</v>
      </c>
      <c r="AC157" s="48">
        <f t="shared" si="28"/>
        <v>0.7133641235260898</v>
      </c>
      <c r="AE157" s="48">
        <f t="shared" si="34"/>
        <v>0.99768438565627926</v>
      </c>
      <c r="AF157" s="48">
        <f t="shared" si="38"/>
        <v>0.71336412352609024</v>
      </c>
      <c r="AH157" s="48">
        <f t="shared" si="39"/>
        <v>0</v>
      </c>
    </row>
    <row r="158" spans="4:34" ht="13.9" customHeight="1">
      <c r="D158" s="8"/>
      <c r="E158" s="9"/>
      <c r="F158" s="18"/>
      <c r="G158" s="18"/>
      <c r="H158" s="18"/>
      <c r="J158" s="40"/>
      <c r="K158" s="40"/>
      <c r="L158" s="40"/>
      <c r="M158" s="38"/>
      <c r="O158" s="12">
        <f t="shared" si="29"/>
        <v>12.083333333333334</v>
      </c>
      <c r="P158" s="13">
        <v>145</v>
      </c>
      <c r="Q158" s="21">
        <v>2.8544414033062404E-2</v>
      </c>
      <c r="R158" s="18">
        <f t="shared" si="30"/>
        <v>2.8191514681642271E-2</v>
      </c>
      <c r="S158" s="21">
        <v>2.8524673868677297E-2</v>
      </c>
      <c r="T158" s="18">
        <f t="shared" si="31"/>
        <v>2.8104543502386781E-2</v>
      </c>
      <c r="U158" s="23">
        <v>3.2841017890312907E-2</v>
      </c>
      <c r="V158" s="23">
        <f t="shared" si="32"/>
        <v>3.2440116102149918E-2</v>
      </c>
      <c r="W158" s="22">
        <f t="shared" si="35"/>
        <v>2.6642924193802653E-3</v>
      </c>
      <c r="X158" s="23">
        <v>3.1979809364617306E-2</v>
      </c>
      <c r="Y158" s="23">
        <f t="shared" si="36"/>
        <v>3.1575208989757186E-2</v>
      </c>
      <c r="Z158" s="22">
        <f t="shared" si="37"/>
        <v>2.5942361512767409E-3</v>
      </c>
      <c r="AA158" s="33"/>
      <c r="AB158" s="50">
        <f t="shared" si="33"/>
        <v>145</v>
      </c>
      <c r="AC158" s="48">
        <f t="shared" si="28"/>
        <v>0.71171286085958618</v>
      </c>
      <c r="AE158" s="48">
        <f t="shared" si="34"/>
        <v>0.99768524570826167</v>
      </c>
      <c r="AF158" s="48">
        <f t="shared" si="38"/>
        <v>0.71171286085958607</v>
      </c>
      <c r="AH158" s="48">
        <f t="shared" si="39"/>
        <v>0</v>
      </c>
    </row>
    <row r="159" spans="4:34" ht="13.9" customHeight="1">
      <c r="D159" s="8"/>
      <c r="E159" s="9"/>
      <c r="F159" s="18"/>
      <c r="G159" s="18"/>
      <c r="H159" s="18"/>
      <c r="J159" s="40"/>
      <c r="K159" s="40"/>
      <c r="L159" s="40"/>
      <c r="M159" s="38"/>
      <c r="O159" s="12">
        <f t="shared" si="29"/>
        <v>12.166666666666666</v>
      </c>
      <c r="P159" s="13">
        <v>146</v>
      </c>
      <c r="Q159" s="21">
        <v>2.8541996502299938E-2</v>
      </c>
      <c r="R159" s="18">
        <f t="shared" si="30"/>
        <v>2.8186102827144843E-2</v>
      </c>
      <c r="S159" s="21">
        <v>2.8521795679575579E-2</v>
      </c>
      <c r="T159" s="18">
        <f t="shared" si="31"/>
        <v>2.8105622885530757E-2</v>
      </c>
      <c r="U159" s="23">
        <v>3.283827145825069E-2</v>
      </c>
      <c r="V159" s="23">
        <f t="shared" si="32"/>
        <v>3.2438945604641223E-2</v>
      </c>
      <c r="W159" s="22">
        <f t="shared" si="35"/>
        <v>2.6639624954170049E-3</v>
      </c>
      <c r="X159" s="23">
        <v>3.1977037589504986E-2</v>
      </c>
      <c r="Y159" s="23">
        <f t="shared" si="36"/>
        <v>3.1574465372963711E-2</v>
      </c>
      <c r="Z159" s="22">
        <f t="shared" si="37"/>
        <v>2.5939387129438884E-3</v>
      </c>
      <c r="AA159" s="33"/>
      <c r="AB159" s="50">
        <f t="shared" si="33"/>
        <v>146</v>
      </c>
      <c r="AC159" s="48">
        <f t="shared" si="28"/>
        <v>0.71006588210441979</v>
      </c>
      <c r="AE159" s="48">
        <f t="shared" si="34"/>
        <v>0.99768589434624499</v>
      </c>
      <c r="AF159" s="48">
        <f t="shared" si="38"/>
        <v>0.71006588210442079</v>
      </c>
      <c r="AH159" s="48">
        <f t="shared" si="39"/>
        <v>9.9920072216264089E-16</v>
      </c>
    </row>
    <row r="160" spans="4:34" ht="13.9" customHeight="1">
      <c r="D160" s="8"/>
      <c r="E160" s="9"/>
      <c r="F160" s="18"/>
      <c r="G160" s="18"/>
      <c r="H160" s="18"/>
      <c r="J160" s="40"/>
      <c r="K160" s="40"/>
      <c r="L160" s="40"/>
      <c r="M160" s="38"/>
      <c r="O160" s="12">
        <f t="shared" si="29"/>
        <v>12.25</v>
      </c>
      <c r="P160" s="13">
        <v>147</v>
      </c>
      <c r="Q160" s="21">
        <v>2.8539575040782195E-2</v>
      </c>
      <c r="R160" s="18">
        <f t="shared" si="30"/>
        <v>2.8183301834251662E-2</v>
      </c>
      <c r="S160" s="21">
        <v>2.8518964003098279E-2</v>
      </c>
      <c r="T160" s="18">
        <f t="shared" si="31"/>
        <v>2.8109709836038332E-2</v>
      </c>
      <c r="U160" s="23">
        <v>3.2835554434143432E-2</v>
      </c>
      <c r="V160" s="23">
        <f t="shared" si="32"/>
        <v>3.2440670343295119E-2</v>
      </c>
      <c r="W160" s="22">
        <f t="shared" si="35"/>
        <v>2.6638677670594024E-3</v>
      </c>
      <c r="X160" s="23">
        <v>3.1974298472335461E-2</v>
      </c>
      <c r="Y160" s="23">
        <f t="shared" si="36"/>
        <v>3.1576638606947816E-2</v>
      </c>
      <c r="Z160" s="22">
        <f t="shared" si="37"/>
        <v>2.5938784858006159E-3</v>
      </c>
      <c r="AA160" s="33"/>
      <c r="AB160" s="50">
        <f t="shared" si="33"/>
        <v>147</v>
      </c>
      <c r="AC160" s="48">
        <f t="shared" si="28"/>
        <v>0.70842302536309198</v>
      </c>
      <c r="AE160" s="48">
        <f t="shared" si="34"/>
        <v>0.99768633195491763</v>
      </c>
      <c r="AF160" s="48">
        <f t="shared" si="38"/>
        <v>0.70842302536309254</v>
      </c>
      <c r="AH160" s="48">
        <f t="shared" si="39"/>
        <v>0</v>
      </c>
    </row>
    <row r="161" spans="4:34" ht="13.9" customHeight="1">
      <c r="D161" s="8"/>
      <c r="E161" s="9"/>
      <c r="F161" s="18"/>
      <c r="G161" s="18"/>
      <c r="H161" s="18"/>
      <c r="J161" s="40"/>
      <c r="K161" s="40"/>
      <c r="L161" s="40"/>
      <c r="M161" s="38"/>
      <c r="O161" s="12">
        <f t="shared" si="29"/>
        <v>12.333333333333334</v>
      </c>
      <c r="P161" s="13">
        <v>148</v>
      </c>
      <c r="Q161" s="21">
        <v>2.8537167375187522E-2</v>
      </c>
      <c r="R161" s="18">
        <f t="shared" si="30"/>
        <v>2.8183112926399856E-2</v>
      </c>
      <c r="S161" s="21">
        <v>2.8516198225661205E-2</v>
      </c>
      <c r="T161" s="18">
        <f t="shared" si="31"/>
        <v>2.8116788344650923E-2</v>
      </c>
      <c r="U161" s="23">
        <v>3.2832885791657773E-2</v>
      </c>
      <c r="V161" s="23">
        <f t="shared" si="32"/>
        <v>3.2445279748033684E-2</v>
      </c>
      <c r="W161" s="22">
        <f t="shared" si="35"/>
        <v>2.664007350116071E-3</v>
      </c>
      <c r="X161" s="23">
        <v>3.1971611067037387E-2</v>
      </c>
      <c r="Y161" s="23">
        <f t="shared" si="36"/>
        <v>3.1581717100552131E-2</v>
      </c>
      <c r="Z161" s="22">
        <f t="shared" si="37"/>
        <v>2.5940545006415405E-3</v>
      </c>
      <c r="AA161" s="33"/>
      <c r="AB161" s="50">
        <f t="shared" si="33"/>
        <v>148</v>
      </c>
      <c r="AC161" s="48">
        <f t="shared" si="28"/>
        <v>0.70678413009936314</v>
      </c>
      <c r="AE161" s="48">
        <f t="shared" si="34"/>
        <v>0.99768655844734955</v>
      </c>
      <c r="AF161" s="48">
        <f t="shared" si="38"/>
        <v>0.70678413009936325</v>
      </c>
      <c r="AH161" s="48">
        <f t="shared" si="39"/>
        <v>0</v>
      </c>
    </row>
    <row r="162" spans="4:34" ht="13.9" customHeight="1">
      <c r="D162" s="8"/>
      <c r="E162" s="9"/>
      <c r="F162" s="18"/>
      <c r="G162" s="18"/>
      <c r="H162" s="18"/>
      <c r="J162" s="40"/>
      <c r="K162" s="40"/>
      <c r="L162" s="40"/>
      <c r="M162" s="38"/>
      <c r="O162" s="12">
        <f t="shared" si="29"/>
        <v>12.416666666666666</v>
      </c>
      <c r="P162" s="13">
        <v>149</v>
      </c>
      <c r="Q162" s="21">
        <v>2.8534790764503493E-2</v>
      </c>
      <c r="R162" s="18">
        <f t="shared" si="30"/>
        <v>2.8185537525356352E-2</v>
      </c>
      <c r="S162" s="21">
        <v>2.8513517105305253E-2</v>
      </c>
      <c r="T162" s="18">
        <f t="shared" si="31"/>
        <v>2.8126842857675527E-2</v>
      </c>
      <c r="U162" s="23">
        <v>3.2830283923840575E-2</v>
      </c>
      <c r="V162" s="23">
        <f t="shared" si="32"/>
        <v>3.2452763617210723E-2</v>
      </c>
      <c r="W162" s="22">
        <f t="shared" si="35"/>
        <v>2.664380388078591E-3</v>
      </c>
      <c r="X162" s="23">
        <v>3.1968993837880655E-2</v>
      </c>
      <c r="Y162" s="23">
        <f t="shared" si="36"/>
        <v>3.1589689647488983E-2</v>
      </c>
      <c r="Z162" s="22">
        <f t="shared" si="37"/>
        <v>2.5944658173107094E-3</v>
      </c>
      <c r="AA162" s="33"/>
      <c r="AB162" s="50">
        <f t="shared" si="33"/>
        <v>149</v>
      </c>
      <c r="AC162" s="48">
        <f t="shared" si="28"/>
        <v>0.70514903712044219</v>
      </c>
      <c r="AE162" s="48">
        <f t="shared" si="34"/>
        <v>0.99768657372274205</v>
      </c>
      <c r="AF162" s="48">
        <f t="shared" si="38"/>
        <v>0.70514903712044252</v>
      </c>
      <c r="AH162" s="48">
        <f t="shared" si="39"/>
        <v>0</v>
      </c>
    </row>
    <row r="163" spans="4:34" ht="13.9" customHeight="1">
      <c r="D163" s="8"/>
      <c r="E163" s="9"/>
      <c r="F163" s="18"/>
      <c r="G163" s="18"/>
      <c r="H163" s="18"/>
      <c r="J163" s="40"/>
      <c r="K163" s="40"/>
      <c r="L163" s="40"/>
      <c r="M163" s="38"/>
      <c r="O163" s="12">
        <f t="shared" si="29"/>
        <v>12.5</v>
      </c>
      <c r="P163" s="13">
        <v>150</v>
      </c>
      <c r="Q163" s="21">
        <v>2.8532462016810145E-2</v>
      </c>
      <c r="R163" s="18">
        <f t="shared" si="30"/>
        <v>2.8190571658103236E-2</v>
      </c>
      <c r="S163" s="21">
        <v>2.8510938795524909E-2</v>
      </c>
      <c r="T163" s="18">
        <f t="shared" si="31"/>
        <v>2.8139858280724628E-2</v>
      </c>
      <c r="U163" s="23">
        <v>3.2827766664780933E-2</v>
      </c>
      <c r="V163" s="23">
        <f t="shared" si="32"/>
        <v>3.2463112123067406E-2</v>
      </c>
      <c r="W163" s="22">
        <f t="shared" si="35"/>
        <v>2.6649860524712299E-3</v>
      </c>
      <c r="X163" s="23">
        <v>3.1966464681547624E-2</v>
      </c>
      <c r="Y163" s="23">
        <f t="shared" si="36"/>
        <v>3.1600545431998528E-2</v>
      </c>
      <c r="Z163" s="22">
        <f t="shared" si="37"/>
        <v>2.5951115250131274E-3</v>
      </c>
      <c r="AA163" s="33"/>
      <c r="AB163" s="50">
        <f t="shared" si="33"/>
        <v>150</v>
      </c>
      <c r="AC163" s="48">
        <f t="shared" si="28"/>
        <v>0.7035175885593633</v>
      </c>
      <c r="AE163" s="48">
        <f t="shared" si="34"/>
        <v>0.99768637766600332</v>
      </c>
      <c r="AF163" s="48">
        <f t="shared" si="38"/>
        <v>0.70351758855936442</v>
      </c>
      <c r="AH163" s="48">
        <f t="shared" si="39"/>
        <v>1.1102230246251565E-15</v>
      </c>
    </row>
    <row r="164" spans="4:34" ht="13.9" customHeight="1">
      <c r="D164" s="8"/>
      <c r="E164" s="9"/>
      <c r="F164" s="18"/>
      <c r="G164" s="18"/>
      <c r="H164" s="18"/>
      <c r="J164" s="40"/>
      <c r="K164" s="40"/>
      <c r="L164" s="40"/>
      <c r="M164" s="38"/>
      <c r="O164" s="12">
        <f t="shared" si="29"/>
        <v>12.583333333333334</v>
      </c>
      <c r="P164" s="13">
        <v>151</v>
      </c>
      <c r="Q164" s="21">
        <v>2.8530197468346064E-2</v>
      </c>
      <c r="R164" s="18">
        <f t="shared" si="30"/>
        <v>2.8198194757050432E-2</v>
      </c>
      <c r="S164" s="21">
        <v>2.8508480868179031E-2</v>
      </c>
      <c r="T164" s="18">
        <f t="shared" si="31"/>
        <v>2.8155819982210062E-2</v>
      </c>
      <c r="U164" s="23">
        <v>3.2825351310452167E-2</v>
      </c>
      <c r="V164" s="23">
        <f t="shared" si="32"/>
        <v>3.2476315815725521E-2</v>
      </c>
      <c r="W164" s="22">
        <f t="shared" si="35"/>
        <v>2.6658235433134614E-3</v>
      </c>
      <c r="X164" s="23">
        <v>3.1964040948370576E-2</v>
      </c>
      <c r="Y164" s="23">
        <f t="shared" si="36"/>
        <v>3.1614274032323753E-2</v>
      </c>
      <c r="Z164" s="22">
        <f t="shared" si="37"/>
        <v>2.5959907427950402E-3</v>
      </c>
      <c r="AA164" s="33"/>
      <c r="AB164" s="50">
        <f t="shared" si="33"/>
        <v>151</v>
      </c>
      <c r="AC164" s="48">
        <f t="shared" si="28"/>
        <v>0.70188962817603073</v>
      </c>
      <c r="AE164" s="48">
        <f t="shared" si="34"/>
        <v>0.99768597060001485</v>
      </c>
      <c r="AF164" s="48">
        <f t="shared" si="38"/>
        <v>0.7018896281760314</v>
      </c>
      <c r="AH164" s="48">
        <f t="shared" si="39"/>
        <v>0</v>
      </c>
    </row>
    <row r="165" spans="4:34" ht="13.9" customHeight="1">
      <c r="D165" s="8"/>
      <c r="E165" s="9"/>
      <c r="F165" s="18"/>
      <c r="G165" s="18"/>
      <c r="H165" s="18"/>
      <c r="J165" s="40"/>
      <c r="K165" s="40"/>
      <c r="L165" s="40"/>
      <c r="M165" s="38"/>
      <c r="O165" s="12">
        <f t="shared" si="29"/>
        <v>12.666666666666666</v>
      </c>
      <c r="P165" s="13">
        <v>152</v>
      </c>
      <c r="Q165" s="21">
        <v>2.8528012889699195E-2</v>
      </c>
      <c r="R165" s="18">
        <f t="shared" si="30"/>
        <v>2.8208403254195158E-2</v>
      </c>
      <c r="S165" s="21">
        <v>2.850616033552722E-2</v>
      </c>
      <c r="T165" s="18">
        <f t="shared" si="31"/>
        <v>2.817471379732317E-2</v>
      </c>
      <c r="U165" s="23">
        <v>3.282305463876245E-2</v>
      </c>
      <c r="V165" s="23">
        <f t="shared" si="32"/>
        <v>3.2492365628113751E-2</v>
      </c>
      <c r="W165" s="22">
        <f t="shared" si="35"/>
        <v>2.666892089461248E-3</v>
      </c>
      <c r="X165" s="23">
        <v>3.1961739462757599E-2</v>
      </c>
      <c r="Y165" s="23">
        <f t="shared" si="36"/>
        <v>3.1630865426033994E-2</v>
      </c>
      <c r="Z165" s="22">
        <f t="shared" si="37"/>
        <v>2.597102619847913E-3</v>
      </c>
      <c r="AA165" s="33"/>
      <c r="AB165" s="50">
        <f t="shared" si="33"/>
        <v>152</v>
      </c>
      <c r="AC165" s="48">
        <f t="shared" si="28"/>
        <v>0.7002650022899588</v>
      </c>
      <c r="AE165" s="48">
        <f t="shared" si="34"/>
        <v>0.99768535419123672</v>
      </c>
      <c r="AF165" s="48">
        <f t="shared" si="38"/>
        <v>0.70026500228995936</v>
      </c>
      <c r="AH165" s="48">
        <f t="shared" si="39"/>
        <v>0</v>
      </c>
    </row>
    <row r="166" spans="4:34" ht="13.9" customHeight="1">
      <c r="D166" s="8"/>
      <c r="E166" s="9"/>
      <c r="F166" s="18"/>
      <c r="G166" s="18"/>
      <c r="H166" s="18"/>
      <c r="J166" s="40"/>
      <c r="K166" s="40"/>
      <c r="L166" s="40"/>
      <c r="M166" s="38"/>
      <c r="O166" s="12">
        <f t="shared" si="29"/>
        <v>12.75</v>
      </c>
      <c r="P166" s="13">
        <v>153</v>
      </c>
      <c r="Q166" s="21">
        <v>2.8525923615322579E-2</v>
      </c>
      <c r="R166" s="18">
        <f t="shared" si="30"/>
        <v>2.8221199398157149E-2</v>
      </c>
      <c r="S166" s="21">
        <v>2.8503993671432415E-2</v>
      </c>
      <c r="T166" s="18">
        <f t="shared" si="31"/>
        <v>2.8196526031150526E-2</v>
      </c>
      <c r="U166" s="23">
        <v>3.2820892928855372E-2</v>
      </c>
      <c r="V166" s="23">
        <f t="shared" si="32"/>
        <v>3.2511252880682129E-2</v>
      </c>
      <c r="W166" s="22">
        <f t="shared" si="35"/>
        <v>2.668190949025373E-3</v>
      </c>
      <c r="X166" s="23">
        <v>3.1959576542857526E-2</v>
      </c>
      <c r="Y166" s="23">
        <f t="shared" si="36"/>
        <v>3.1650309993614067E-2</v>
      </c>
      <c r="Z166" s="22">
        <f t="shared" si="37"/>
        <v>2.5984463359589594E-3</v>
      </c>
      <c r="AA166" s="33"/>
      <c r="AB166" s="50">
        <f t="shared" si="33"/>
        <v>153</v>
      </c>
      <c r="AC166" s="48">
        <f t="shared" si="28"/>
        <v>0.69864355879802409</v>
      </c>
      <c r="AE166" s="48">
        <f t="shared" si="34"/>
        <v>0.99768452873321956</v>
      </c>
      <c r="AF166" s="48">
        <f t="shared" si="38"/>
        <v>0.69864355879802498</v>
      </c>
      <c r="AH166" s="48">
        <f t="shared" si="39"/>
        <v>8.8817841970012523E-16</v>
      </c>
    </row>
    <row r="167" spans="4:34" ht="13.9" customHeight="1">
      <c r="D167" s="8"/>
      <c r="E167" s="9"/>
      <c r="F167" s="18"/>
      <c r="G167" s="18"/>
      <c r="H167" s="18"/>
      <c r="J167" s="40"/>
      <c r="K167" s="40"/>
      <c r="L167" s="40"/>
      <c r="M167" s="38"/>
      <c r="O167" s="12">
        <f t="shared" si="29"/>
        <v>12.833333333333334</v>
      </c>
      <c r="P167" s="13">
        <v>154</v>
      </c>
      <c r="Q167" s="21">
        <v>2.8523944595364004E-2</v>
      </c>
      <c r="R167" s="18">
        <f t="shared" si="30"/>
        <v>2.8236585661093772E-2</v>
      </c>
      <c r="S167" s="21">
        <v>2.8501996831762799E-2</v>
      </c>
      <c r="T167" s="18">
        <f t="shared" si="31"/>
        <v>2.8221243462897672E-2</v>
      </c>
      <c r="U167" s="23">
        <v>3.2818881979692627E-2</v>
      </c>
      <c r="V167" s="23">
        <f t="shared" si="32"/>
        <v>3.253296928559779E-2</v>
      </c>
      <c r="W167" s="22">
        <f t="shared" si="35"/>
        <v>2.6697194097691224E-3</v>
      </c>
      <c r="X167" s="23">
        <v>3.1957568019485239E-2</v>
      </c>
      <c r="Y167" s="23">
        <f t="shared" si="36"/>
        <v>3.1672598523617035E-2</v>
      </c>
      <c r="Z167" s="22">
        <f t="shared" si="37"/>
        <v>2.600021101821115E-3</v>
      </c>
      <c r="AA167" s="33"/>
      <c r="AB167" s="50">
        <f t="shared" si="33"/>
        <v>154</v>
      </c>
      <c r="AC167" s="48">
        <f t="shared" si="28"/>
        <v>0.69702514683776085</v>
      </c>
      <c r="AE167" s="48">
        <f t="shared" si="34"/>
        <v>0.9976834940508893</v>
      </c>
      <c r="AF167" s="48">
        <f t="shared" si="38"/>
        <v>0.69702514683776151</v>
      </c>
      <c r="AH167" s="48">
        <f t="shared" si="39"/>
        <v>0</v>
      </c>
    </row>
    <row r="168" spans="4:34" ht="13.9" customHeight="1">
      <c r="D168" s="8"/>
      <c r="E168" s="9"/>
      <c r="F168" s="18"/>
      <c r="G168" s="18"/>
      <c r="H168" s="18"/>
      <c r="J168" s="40"/>
      <c r="K168" s="40"/>
      <c r="L168" s="40"/>
      <c r="M168" s="38"/>
      <c r="O168" s="12">
        <f t="shared" si="29"/>
        <v>12.916666666666666</v>
      </c>
      <c r="P168" s="13">
        <v>155</v>
      </c>
      <c r="Q168" s="21">
        <v>2.8522090409394574E-2</v>
      </c>
      <c r="R168" s="18">
        <f t="shared" si="30"/>
        <v>2.8254564745516131E-2</v>
      </c>
      <c r="S168" s="21">
        <v>2.8500185274036305E-2</v>
      </c>
      <c r="T168" s="18">
        <f t="shared" si="31"/>
        <v>2.8248853348710412E-2</v>
      </c>
      <c r="U168" s="23">
        <v>3.2817037127949034E-2</v>
      </c>
      <c r="V168" s="23">
        <f t="shared" si="32"/>
        <v>3.2557506952037407E-2</v>
      </c>
      <c r="W168" s="22">
        <f t="shared" si="35"/>
        <v>2.6714767894637781E-3</v>
      </c>
      <c r="X168" s="23">
        <v>3.1955729254352416E-2</v>
      </c>
      <c r="Y168" s="23">
        <f t="shared" si="36"/>
        <v>3.1697722216763813E-2</v>
      </c>
      <c r="Z168" s="22">
        <f t="shared" si="37"/>
        <v>2.6018261594684677E-3</v>
      </c>
      <c r="AA168" s="33"/>
      <c r="AB168" s="50">
        <f t="shared" si="33"/>
        <v>155</v>
      </c>
      <c r="AC168" s="48">
        <f t="shared" si="28"/>
        <v>0.69540961677079083</v>
      </c>
      <c r="AE168" s="48">
        <f t="shared" si="34"/>
        <v>0.99768224995281718</v>
      </c>
      <c r="AF168" s="48">
        <f t="shared" si="38"/>
        <v>0.69540961677079072</v>
      </c>
      <c r="AH168" s="48">
        <f t="shared" si="39"/>
        <v>0</v>
      </c>
    </row>
    <row r="169" spans="4:34" ht="13.9" customHeight="1">
      <c r="D169" s="8"/>
      <c r="E169" s="9"/>
      <c r="F169" s="18"/>
      <c r="G169" s="18"/>
      <c r="H169" s="18"/>
      <c r="J169" s="40"/>
      <c r="K169" s="40"/>
      <c r="L169" s="40"/>
      <c r="M169" s="38"/>
      <c r="O169" s="12">
        <f t="shared" si="29"/>
        <v>13</v>
      </c>
      <c r="P169" s="13">
        <v>156</v>
      </c>
      <c r="Q169" s="21">
        <v>2.8520375279654564E-2</v>
      </c>
      <c r="R169" s="18">
        <f t="shared" si="30"/>
        <v>2.8275134058007634E-2</v>
      </c>
      <c r="S169" s="21">
        <v>2.8498573976330599E-2</v>
      </c>
      <c r="T169" s="18">
        <f t="shared" si="31"/>
        <v>2.8279343426165671E-2</v>
      </c>
      <c r="U169" s="23">
        <v>3.2815373265255632E-2</v>
      </c>
      <c r="V169" s="23">
        <f t="shared" si="32"/>
        <v>3.2584858389935301E-2</v>
      </c>
      <c r="W169" s="22">
        <f t="shared" si="35"/>
        <v>2.6734624363309312E-3</v>
      </c>
      <c r="X169" s="23">
        <v>3.1954075157626161E-2</v>
      </c>
      <c r="Y169" s="23">
        <f t="shared" si="36"/>
        <v>3.1725672690250395E-2</v>
      </c>
      <c r="Z169" s="22">
        <f t="shared" si="37"/>
        <v>2.6038607826230908E-3</v>
      </c>
      <c r="AA169" s="33"/>
      <c r="AB169" s="50">
        <f t="shared" si="33"/>
        <v>156</v>
      </c>
      <c r="AC169" s="48">
        <f t="shared" si="28"/>
        <v>0.69379682016635014</v>
      </c>
      <c r="AE169" s="48">
        <f t="shared" si="34"/>
        <v>0.9976807962306744</v>
      </c>
      <c r="AF169" s="48">
        <f t="shared" si="38"/>
        <v>0.69379682016635058</v>
      </c>
      <c r="AH169" s="48">
        <f t="shared" si="39"/>
        <v>0</v>
      </c>
    </row>
    <row r="170" spans="4:34" ht="13.9" customHeight="1">
      <c r="D170" s="8"/>
      <c r="E170" s="9"/>
      <c r="F170" s="18"/>
      <c r="G170" s="18"/>
      <c r="H170" s="18"/>
      <c r="J170" s="40"/>
      <c r="K170" s="40"/>
      <c r="L170" s="40"/>
      <c r="M170" s="38"/>
      <c r="O170" s="12">
        <f t="shared" si="29"/>
        <v>13.083333333333334</v>
      </c>
      <c r="P170" s="13">
        <v>157</v>
      </c>
      <c r="Q170" s="21">
        <v>2.8518813048585834E-2</v>
      </c>
      <c r="R170" s="18">
        <f t="shared" si="30"/>
        <v>2.8298274643020704E-2</v>
      </c>
      <c r="S170" s="21">
        <v>2.8497177455504064E-2</v>
      </c>
      <c r="T170" s="18">
        <f t="shared" si="31"/>
        <v>2.8312701916934024E-2</v>
      </c>
      <c r="U170" s="23">
        <v>3.2813904854811948E-2</v>
      </c>
      <c r="V170" s="23">
        <f t="shared" si="32"/>
        <v>3.2615016515426865E-2</v>
      </c>
      <c r="W170" s="22">
        <f t="shared" si="35"/>
        <v>2.6756757293602274E-3</v>
      </c>
      <c r="X170" s="23">
        <v>3.1952620204847459E-2</v>
      </c>
      <c r="Y170" s="23">
        <f t="shared" si="36"/>
        <v>3.1756441982656369E-2</v>
      </c>
      <c r="Z170" s="22">
        <f t="shared" si="37"/>
        <v>2.6061242770609727E-3</v>
      </c>
      <c r="AA170" s="33"/>
      <c r="AB170" s="50">
        <f t="shared" si="33"/>
        <v>157</v>
      </c>
      <c r="AC170" s="48">
        <f t="shared" si="28"/>
        <v>0.69218661009530624</v>
      </c>
      <c r="AE170" s="48">
        <f t="shared" si="34"/>
        <v>0.99767913310606116</v>
      </c>
      <c r="AF170" s="48">
        <f t="shared" si="38"/>
        <v>0.69218661009530646</v>
      </c>
      <c r="AH170" s="48">
        <f t="shared" si="39"/>
        <v>0</v>
      </c>
    </row>
    <row r="171" spans="4:34" ht="13.9" customHeight="1">
      <c r="D171" s="8"/>
      <c r="E171" s="9"/>
      <c r="F171" s="18"/>
      <c r="G171" s="18"/>
      <c r="H171" s="18"/>
      <c r="J171" s="40"/>
      <c r="K171" s="40"/>
      <c r="L171" s="40"/>
      <c r="M171" s="38"/>
      <c r="O171" s="12">
        <f t="shared" si="29"/>
        <v>13.166666666666666</v>
      </c>
      <c r="P171" s="13">
        <v>158</v>
      </c>
      <c r="Q171" s="21">
        <v>2.8517417087170926E-2</v>
      </c>
      <c r="R171" s="18">
        <f t="shared" si="30"/>
        <v>2.8323984373316291E-2</v>
      </c>
      <c r="S171" s="21">
        <v>2.8496009784744647E-2</v>
      </c>
      <c r="T171" s="18">
        <f t="shared" si="31"/>
        <v>2.8348917530689688E-2</v>
      </c>
      <c r="U171" s="23">
        <v>3.2812645947403629E-2</v>
      </c>
      <c r="V171" s="23">
        <f t="shared" si="32"/>
        <v>3.2647974654684386E-2</v>
      </c>
      <c r="W171" s="22">
        <f t="shared" si="35"/>
        <v>2.6781160787603397E-3</v>
      </c>
      <c r="X171" s="23">
        <v>3.1951378453242141E-2</v>
      </c>
      <c r="Y171" s="23">
        <f t="shared" si="36"/>
        <v>3.1790022557640851E-2</v>
      </c>
      <c r="Z171" s="22">
        <f t="shared" si="37"/>
        <v>2.608615981021245E-3</v>
      </c>
      <c r="AA171" s="33"/>
      <c r="AB171" s="50">
        <f t="shared" si="33"/>
        <v>158</v>
      </c>
      <c r="AC171" s="48">
        <f t="shared" si="28"/>
        <v>0.69057884203959585</v>
      </c>
      <c r="AE171" s="48">
        <f t="shared" si="34"/>
        <v>0.9976772621251816</v>
      </c>
      <c r="AF171" s="48">
        <f t="shared" si="38"/>
        <v>0.69057884203959596</v>
      </c>
      <c r="AH171" s="48">
        <f t="shared" si="39"/>
        <v>0</v>
      </c>
    </row>
    <row r="172" spans="4:34" ht="13.9" customHeight="1">
      <c r="D172" s="8"/>
      <c r="E172" s="9"/>
      <c r="F172" s="18"/>
      <c r="G172" s="18"/>
      <c r="H172" s="18"/>
      <c r="J172" s="40"/>
      <c r="K172" s="40"/>
      <c r="L172" s="40"/>
      <c r="M172" s="38"/>
      <c r="O172" s="12">
        <f t="shared" si="29"/>
        <v>13.25</v>
      </c>
      <c r="P172" s="13">
        <v>159</v>
      </c>
      <c r="Q172" s="21">
        <v>2.8516200415528825E-2</v>
      </c>
      <c r="R172" s="18">
        <f t="shared" si="30"/>
        <v>2.8352266900979917E-2</v>
      </c>
      <c r="S172" s="21">
        <v>2.8495084610485444E-2</v>
      </c>
      <c r="T172" s="18">
        <f t="shared" si="31"/>
        <v>2.8387979468951219E-2</v>
      </c>
      <c r="U172" s="23">
        <v>3.2811610196843199E-2</v>
      </c>
      <c r="V172" s="23">
        <f t="shared" si="32"/>
        <v>3.2683726549514569E-2</v>
      </c>
      <c r="W172" s="22">
        <f t="shared" si="35"/>
        <v>2.6807829262815996E-3</v>
      </c>
      <c r="X172" s="23">
        <v>3.1950363557441186E-2</v>
      </c>
      <c r="Y172" s="23">
        <f t="shared" si="36"/>
        <v>3.1826407309240246E-2</v>
      </c>
      <c r="Z172" s="22">
        <f t="shared" si="37"/>
        <v>2.6113352655190436E-3</v>
      </c>
      <c r="AA172" s="33"/>
      <c r="AB172" s="50">
        <f t="shared" si="33"/>
        <v>159</v>
      </c>
      <c r="AC172" s="48">
        <f t="shared" si="28"/>
        <v>0.68897337293596184</v>
      </c>
      <c r="AE172" s="48">
        <f t="shared" si="34"/>
        <v>0.99767518347522555</v>
      </c>
      <c r="AF172" s="48">
        <f t="shared" si="38"/>
        <v>0.68897337293596272</v>
      </c>
      <c r="AH172" s="48">
        <f t="shared" si="39"/>
        <v>8.8817841970012523E-16</v>
      </c>
    </row>
    <row r="173" spans="4:34" ht="13.9" customHeight="1">
      <c r="D173" s="8"/>
      <c r="E173" s="9"/>
      <c r="F173" s="18"/>
      <c r="G173" s="18"/>
      <c r="H173" s="18"/>
      <c r="J173" s="40"/>
      <c r="K173" s="40"/>
      <c r="L173" s="40"/>
      <c r="M173" s="38"/>
      <c r="O173" s="12">
        <f t="shared" si="29"/>
        <v>13.333333333333334</v>
      </c>
      <c r="P173" s="13">
        <v>160</v>
      </c>
      <c r="Q173" s="21">
        <v>2.8515175749911137E-2</v>
      </c>
      <c r="R173" s="18">
        <f t="shared" si="30"/>
        <v>2.8383126134232883E-2</v>
      </c>
      <c r="S173" s="21">
        <v>2.8494415168710985E-2</v>
      </c>
      <c r="T173" s="18">
        <f t="shared" si="31"/>
        <v>2.84298774280487E-2</v>
      </c>
      <c r="U173" s="23">
        <v>3.2810810874869256E-2</v>
      </c>
      <c r="V173" s="23">
        <f t="shared" si="32"/>
        <v>3.2722266360718066E-2</v>
      </c>
      <c r="W173" s="22">
        <f t="shared" si="35"/>
        <v>2.683675745676517E-3</v>
      </c>
      <c r="X173" s="23">
        <v>3.1949588784647487E-2</v>
      </c>
      <c r="Y173" s="23">
        <f t="shared" si="36"/>
        <v>3.1865589565466923E-2</v>
      </c>
      <c r="Z173" s="22">
        <f t="shared" si="37"/>
        <v>2.6142815347853787E-3</v>
      </c>
      <c r="AA173" s="33"/>
      <c r="AB173" s="50">
        <f t="shared" si="33"/>
        <v>160</v>
      </c>
      <c r="AC173" s="48">
        <f t="shared" si="28"/>
        <v>0.68737006084869523</v>
      </c>
      <c r="AE173" s="48">
        <f t="shared" si="34"/>
        <v>0.99767289687780703</v>
      </c>
      <c r="AF173" s="48">
        <f t="shared" si="38"/>
        <v>0.68737006084869567</v>
      </c>
      <c r="AH173" s="48">
        <f t="shared" si="39"/>
        <v>0</v>
      </c>
    </row>
    <row r="174" spans="4:34" ht="13.9" customHeight="1">
      <c r="D174" s="8"/>
      <c r="E174" s="9"/>
      <c r="F174" s="18"/>
      <c r="G174" s="18"/>
      <c r="H174" s="18"/>
      <c r="J174" s="40"/>
      <c r="K174" s="40"/>
      <c r="L174" s="40"/>
      <c r="M174" s="38"/>
      <c r="O174" s="12">
        <f t="shared" si="29"/>
        <v>13.416666666666666</v>
      </c>
      <c r="P174" s="13">
        <v>161</v>
      </c>
      <c r="Q174" s="21">
        <v>2.8514355513634237E-2</v>
      </c>
      <c r="R174" s="18">
        <f t="shared" si="30"/>
        <v>2.841656624241784E-2</v>
      </c>
      <c r="S174" s="21">
        <v>2.8494014300679771E-2</v>
      </c>
      <c r="T174" s="18">
        <f t="shared" si="31"/>
        <v>2.8474601603210026E-2</v>
      </c>
      <c r="U174" s="23">
        <v>3.2810260885513198E-2</v>
      </c>
      <c r="V174" s="23">
        <f t="shared" si="32"/>
        <v>3.2763588674131761E-2</v>
      </c>
      <c r="W174" s="22">
        <f t="shared" si="35"/>
        <v>2.6867940429819992E-3</v>
      </c>
      <c r="X174" s="23">
        <v>3.1949067029263478E-2</v>
      </c>
      <c r="Y174" s="23">
        <f t="shared" si="36"/>
        <v>3.1907563093599212E-2</v>
      </c>
      <c r="Z174" s="22">
        <f t="shared" si="37"/>
        <v>2.6174542265675615E-3</v>
      </c>
      <c r="AA174" s="33"/>
      <c r="AB174" s="50">
        <f t="shared" si="33"/>
        <v>161</v>
      </c>
      <c r="AC174" s="48">
        <f t="shared" si="28"/>
        <v>0.68576876495412264</v>
      </c>
      <c r="AE174" s="48">
        <f t="shared" si="34"/>
        <v>0.99767040203555613</v>
      </c>
      <c r="AF174" s="48">
        <f t="shared" si="38"/>
        <v>0.68576876495412287</v>
      </c>
      <c r="AH174" s="48">
        <f t="shared" si="39"/>
        <v>0</v>
      </c>
    </row>
    <row r="175" spans="4:34" ht="13.9" customHeight="1">
      <c r="D175" s="8"/>
      <c r="E175" s="9"/>
      <c r="F175" s="18"/>
      <c r="G175" s="18"/>
      <c r="H175" s="18"/>
      <c r="J175" s="40"/>
      <c r="K175" s="40"/>
      <c r="L175" s="40"/>
      <c r="M175" s="38"/>
      <c r="O175" s="12">
        <f t="shared" si="29"/>
        <v>13.5</v>
      </c>
      <c r="P175" s="13">
        <v>162</v>
      </c>
      <c r="Q175" s="21">
        <v>2.8513751847636604E-2</v>
      </c>
      <c r="R175" s="18">
        <f t="shared" si="30"/>
        <v>2.8452586197030838E-2</v>
      </c>
      <c r="S175" s="21">
        <v>2.849389446808992E-2</v>
      </c>
      <c r="T175" s="18">
        <f t="shared" si="31"/>
        <v>2.8522142691655983E-2</v>
      </c>
      <c r="U175" s="23">
        <v>3.2809972778973462E-2</v>
      </c>
      <c r="V175" s="23">
        <f t="shared" si="32"/>
        <v>3.2807688504572052E-2</v>
      </c>
      <c r="W175" s="22">
        <f t="shared" si="35"/>
        <v>2.6901373570131781E-3</v>
      </c>
      <c r="X175" s="23">
        <v>3.19488108270094E-2</v>
      </c>
      <c r="Y175" s="23">
        <f t="shared" si="36"/>
        <v>3.1952322104120912E-2</v>
      </c>
      <c r="Z175" s="22">
        <f t="shared" si="37"/>
        <v>2.6208528125666319E-3</v>
      </c>
      <c r="AA175" s="33"/>
      <c r="AB175" s="50">
        <f t="shared" si="33"/>
        <v>162</v>
      </c>
      <c r="AC175" s="48">
        <f t="shared" si="28"/>
        <v>0.68416934552530118</v>
      </c>
      <c r="AE175" s="48">
        <f t="shared" si="34"/>
        <v>0.99766769863172755</v>
      </c>
      <c r="AF175" s="48">
        <f t="shared" si="38"/>
        <v>0.68416934552530184</v>
      </c>
      <c r="AH175" s="48">
        <f t="shared" si="39"/>
        <v>0</v>
      </c>
    </row>
    <row r="176" spans="4:34" ht="13.9" customHeight="1">
      <c r="D176" s="8"/>
      <c r="E176" s="9"/>
      <c r="F176" s="18"/>
      <c r="G176" s="18"/>
      <c r="H176" s="18"/>
      <c r="J176" s="40"/>
      <c r="K176" s="40"/>
      <c r="L176" s="40"/>
      <c r="M176" s="38"/>
      <c r="O176" s="12">
        <f t="shared" si="29"/>
        <v>13.583333333333334</v>
      </c>
      <c r="P176" s="13">
        <v>163</v>
      </c>
      <c r="Q176" s="21">
        <v>2.8513376587156358E-2</v>
      </c>
      <c r="R176" s="18">
        <f t="shared" si="30"/>
        <v>2.8491168836086267E-2</v>
      </c>
      <c r="S176" s="21">
        <v>2.8494067767709685E-2</v>
      </c>
      <c r="T176" s="18">
        <f t="shared" si="31"/>
        <v>2.8572491896678542E-2</v>
      </c>
      <c r="U176" s="23">
        <v>3.2809958765004588E-2</v>
      </c>
      <c r="V176" s="23">
        <f t="shared" si="32"/>
        <v>3.2854561300251328E-2</v>
      </c>
      <c r="W176" s="22">
        <f t="shared" si="35"/>
        <v>2.6937052596889277E-3</v>
      </c>
      <c r="X176" s="23">
        <v>3.1948832368550395E-2</v>
      </c>
      <c r="Y176" s="23">
        <f t="shared" si="36"/>
        <v>3.1999861255546991E-2</v>
      </c>
      <c r="Z176" s="22">
        <f t="shared" si="37"/>
        <v>2.6244767987628759E-3</v>
      </c>
      <c r="AA176" s="33"/>
      <c r="AB176" s="50">
        <f t="shared" si="33"/>
        <v>163</v>
      </c>
      <c r="AC176" s="48">
        <f t="shared" si="28"/>
        <v>0.68257166421910109</v>
      </c>
      <c r="AE176" s="48">
        <f t="shared" si="34"/>
        <v>0.99766478677150683</v>
      </c>
      <c r="AF176" s="48">
        <f t="shared" si="38"/>
        <v>0.68257166421910165</v>
      </c>
      <c r="AH176" s="48">
        <f t="shared" si="39"/>
        <v>0</v>
      </c>
    </row>
    <row r="177" spans="4:34" ht="13.9" customHeight="1">
      <c r="D177" s="8"/>
      <c r="E177" s="9"/>
      <c r="F177" s="18"/>
      <c r="G177" s="18"/>
      <c r="H177" s="18"/>
      <c r="J177" s="40"/>
      <c r="K177" s="40"/>
      <c r="L177" s="40"/>
      <c r="M177" s="38"/>
      <c r="O177" s="12">
        <f t="shared" si="29"/>
        <v>13.666666666666666</v>
      </c>
      <c r="P177" s="13">
        <v>164</v>
      </c>
      <c r="Q177" s="21">
        <v>2.8513241172587023E-2</v>
      </c>
      <c r="R177" s="18">
        <f t="shared" si="30"/>
        <v>2.8532313658012898E-2</v>
      </c>
      <c r="S177" s="21">
        <v>2.8494545945498606E-2</v>
      </c>
      <c r="T177" s="18">
        <f t="shared" si="31"/>
        <v>2.8625640931176699E-2</v>
      </c>
      <c r="U177" s="23">
        <v>3.2810230725846434E-2</v>
      </c>
      <c r="V177" s="23">
        <f t="shared" si="32"/>
        <v>3.2904202948856875E-2</v>
      </c>
      <c r="W177" s="22">
        <f t="shared" si="35"/>
        <v>2.6974973563931304E-3</v>
      </c>
      <c r="X177" s="23">
        <v>3.1949143512654432E-2</v>
      </c>
      <c r="Y177" s="23">
        <f t="shared" si="36"/>
        <v>3.2050175659089408E-2</v>
      </c>
      <c r="Z177" s="22">
        <f t="shared" si="37"/>
        <v>2.6283257258121751E-3</v>
      </c>
      <c r="AA177" s="33"/>
      <c r="AB177" s="50">
        <f t="shared" si="33"/>
        <v>164</v>
      </c>
      <c r="AC177" s="48">
        <f t="shared" si="28"/>
        <v>0.68097558496284594</v>
      </c>
      <c r="AE177" s="48">
        <f t="shared" si="34"/>
        <v>0.99766166786592092</v>
      </c>
      <c r="AF177" s="48">
        <f t="shared" si="38"/>
        <v>0.68097558496284627</v>
      </c>
      <c r="AH177" s="48">
        <f t="shared" si="39"/>
        <v>0</v>
      </c>
    </row>
    <row r="178" spans="4:34" ht="13.9" customHeight="1">
      <c r="D178" s="8"/>
      <c r="E178" s="9"/>
      <c r="F178" s="18"/>
      <c r="G178" s="18"/>
      <c r="H178" s="18"/>
      <c r="J178" s="40"/>
      <c r="K178" s="40"/>
      <c r="L178" s="40"/>
      <c r="M178" s="38"/>
      <c r="O178" s="12">
        <f t="shared" si="29"/>
        <v>13.75</v>
      </c>
      <c r="P178" s="13">
        <v>165</v>
      </c>
      <c r="Q178" s="21">
        <v>2.8513356762342568E-2</v>
      </c>
      <c r="R178" s="18">
        <f t="shared" si="30"/>
        <v>2.8576025907439684E-2</v>
      </c>
      <c r="S178" s="21">
        <v>2.8495340410238823E-2</v>
      </c>
      <c r="T178" s="18">
        <f t="shared" si="31"/>
        <v>2.8681582020908536E-2</v>
      </c>
      <c r="U178" s="23">
        <v>3.2810800228719517E-2</v>
      </c>
      <c r="V178" s="23">
        <f t="shared" si="32"/>
        <v>3.295660978101167E-2</v>
      </c>
      <c r="W178" s="22">
        <f t="shared" si="35"/>
        <v>2.7015132864691704E-3</v>
      </c>
      <c r="X178" s="23">
        <v>3.1949755798902801E-2</v>
      </c>
      <c r="Y178" s="23">
        <f t="shared" si="36"/>
        <v>3.210326088273785E-2</v>
      </c>
      <c r="Z178" s="22">
        <f t="shared" si="37"/>
        <v>2.6323991694277016E-3</v>
      </c>
      <c r="AA178" s="33"/>
      <c r="AB178" s="50">
        <f t="shared" si="33"/>
        <v>165</v>
      </c>
      <c r="AC178" s="48">
        <f t="shared" si="28"/>
        <v>0.67938097302341127</v>
      </c>
      <c r="AE178" s="48">
        <f t="shared" si="34"/>
        <v>0.99765834198076053</v>
      </c>
      <c r="AF178" s="48">
        <f t="shared" si="38"/>
        <v>0.67938097302341172</v>
      </c>
      <c r="AH178" s="48">
        <f t="shared" si="39"/>
        <v>0</v>
      </c>
    </row>
    <row r="179" spans="4:34" ht="13.9" customHeight="1">
      <c r="D179" s="8"/>
      <c r="E179" s="9"/>
      <c r="F179" s="18"/>
      <c r="G179" s="18"/>
      <c r="H179" s="18"/>
      <c r="J179" s="40"/>
      <c r="K179" s="40"/>
      <c r="L179" s="40"/>
      <c r="M179" s="38"/>
      <c r="O179" s="12">
        <f t="shared" si="29"/>
        <v>13.833333333333334</v>
      </c>
      <c r="P179" s="13">
        <v>166</v>
      </c>
      <c r="Q179" s="21">
        <v>2.851373427588122E-2</v>
      </c>
      <c r="R179" s="18">
        <f t="shared" si="30"/>
        <v>2.8622311116738741E-2</v>
      </c>
      <c r="S179" s="21">
        <v>2.8496462246695442E-2</v>
      </c>
      <c r="T179" s="18">
        <f t="shared" si="31"/>
        <v>2.8740307908844409E-2</v>
      </c>
      <c r="U179" s="23">
        <v>3.2811678537892686E-2</v>
      </c>
      <c r="V179" s="23">
        <f t="shared" si="32"/>
        <v>3.3011778575790407E-2</v>
      </c>
      <c r="W179" s="22">
        <f t="shared" si="35"/>
        <v>2.7057527235021528E-3</v>
      </c>
      <c r="X179" s="23">
        <v>3.195068045996674E-2</v>
      </c>
      <c r="Y179" s="23">
        <f t="shared" si="36"/>
        <v>3.2159112956835711E-2</v>
      </c>
      <c r="Z179" s="22">
        <f t="shared" si="37"/>
        <v>2.6366967407132069E-3</v>
      </c>
      <c r="AA179" s="33"/>
      <c r="AB179" s="50">
        <f t="shared" si="33"/>
        <v>166</v>
      </c>
      <c r="AC179" s="48">
        <f t="shared" si="28"/>
        <v>0.67778769468901701</v>
      </c>
      <c r="AE179" s="48">
        <f t="shared" si="34"/>
        <v>0.99765480871902668</v>
      </c>
      <c r="AF179" s="48">
        <f t="shared" si="38"/>
        <v>0.67778769468901801</v>
      </c>
      <c r="AH179" s="48">
        <f t="shared" si="39"/>
        <v>9.9920072216264089E-16</v>
      </c>
    </row>
    <row r="180" spans="4:34" ht="13.9" customHeight="1">
      <c r="D180" s="8"/>
      <c r="E180" s="9"/>
      <c r="F180" s="18"/>
      <c r="G180" s="18"/>
      <c r="H180" s="18"/>
      <c r="J180" s="40"/>
      <c r="K180" s="40"/>
      <c r="L180" s="40"/>
      <c r="M180" s="38"/>
      <c r="O180" s="12">
        <f t="shared" si="29"/>
        <v>13.916666666666666</v>
      </c>
      <c r="P180" s="13">
        <v>167</v>
      </c>
      <c r="Q180" s="21">
        <v>2.8514384402495097E-2</v>
      </c>
      <c r="R180" s="18">
        <f t="shared" si="30"/>
        <v>2.8671175113318847E-2</v>
      </c>
      <c r="S180" s="21">
        <v>2.849792222833103E-2</v>
      </c>
      <c r="T180" s="18">
        <f t="shared" si="31"/>
        <v>2.8801811858537363E-2</v>
      </c>
      <c r="U180" s="23">
        <v>3.2812876626350462E-2</v>
      </c>
      <c r="V180" s="23">
        <f t="shared" si="32"/>
        <v>3.3069706565686419E-2</v>
      </c>
      <c r="W180" s="22">
        <f t="shared" si="35"/>
        <v>2.7102153757641023E-3</v>
      </c>
      <c r="X180" s="23">
        <v>3.195192843347705E-2</v>
      </c>
      <c r="Y180" s="23">
        <f t="shared" si="36"/>
        <v>3.221772837815351E-2</v>
      </c>
      <c r="Z180" s="22">
        <f t="shared" si="37"/>
        <v>2.6412180866159929E-3</v>
      </c>
      <c r="AA180" s="33"/>
      <c r="AB180" s="50">
        <f t="shared" si="33"/>
        <v>167</v>
      </c>
      <c r="AC180" s="48">
        <f t="shared" si="28"/>
        <v>0.67619561725481248</v>
      </c>
      <c r="AE180" s="48">
        <f t="shared" si="34"/>
        <v>0.99765106766221912</v>
      </c>
      <c r="AF180" s="48">
        <f t="shared" si="38"/>
        <v>0.67619561725481303</v>
      </c>
      <c r="AH180" s="48">
        <f t="shared" si="39"/>
        <v>0</v>
      </c>
    </row>
    <row r="181" spans="4:34" ht="13.9" customHeight="1">
      <c r="D181" s="8"/>
      <c r="E181" s="9"/>
      <c r="F181" s="18"/>
      <c r="G181" s="18"/>
      <c r="H181" s="18"/>
      <c r="J181" s="40"/>
      <c r="K181" s="40"/>
      <c r="L181" s="40"/>
      <c r="M181" s="38"/>
      <c r="O181" s="12">
        <f t="shared" si="29"/>
        <v>14</v>
      </c>
      <c r="P181" s="13">
        <v>168</v>
      </c>
      <c r="Q181" s="21">
        <v>2.851531760983006E-2</v>
      </c>
      <c r="R181" s="18">
        <f t="shared" si="30"/>
        <v>2.8722618622259333E-2</v>
      </c>
      <c r="S181" s="21">
        <v>2.849973082958801E-2</v>
      </c>
      <c r="T181" s="18">
        <f t="shared" si="31"/>
        <v>2.8866087658013129E-2</v>
      </c>
      <c r="U181" s="23">
        <v>3.281440518707468E-2</v>
      </c>
      <c r="V181" s="23">
        <f t="shared" si="32"/>
        <v>3.3130391441683171E-2</v>
      </c>
      <c r="W181" s="22">
        <f t="shared" si="35"/>
        <v>2.7149009866151985E-3</v>
      </c>
      <c r="X181" s="23">
        <v>3.195351037349603E-2</v>
      </c>
      <c r="Y181" s="23">
        <f t="shared" si="36"/>
        <v>3.2279104114747659E-2</v>
      </c>
      <c r="Z181" s="22">
        <f t="shared" si="37"/>
        <v>2.6459628902557597E-3</v>
      </c>
      <c r="AA181" s="33"/>
      <c r="AB181" s="50">
        <f t="shared" si="33"/>
        <v>168</v>
      </c>
      <c r="AC181" s="48">
        <f t="shared" si="28"/>
        <v>0.67460460900852648</v>
      </c>
      <c r="AE181" s="48">
        <f t="shared" si="34"/>
        <v>0.99764711836976239</v>
      </c>
      <c r="AF181" s="48">
        <f t="shared" si="38"/>
        <v>0.67460460900852703</v>
      </c>
      <c r="AH181" s="48">
        <f t="shared" si="39"/>
        <v>0</v>
      </c>
    </row>
    <row r="182" spans="4:34" ht="13.9" customHeight="1">
      <c r="D182" s="8"/>
      <c r="E182" s="9"/>
      <c r="F182" s="18"/>
      <c r="G182" s="18"/>
      <c r="H182" s="18"/>
      <c r="J182" s="40"/>
      <c r="K182" s="40"/>
      <c r="L182" s="40"/>
      <c r="M182" s="38"/>
      <c r="O182" s="12">
        <f t="shared" si="29"/>
        <v>14.083333333333334</v>
      </c>
      <c r="P182" s="13">
        <v>169</v>
      </c>
      <c r="Q182" s="21">
        <v>2.851654412017135E-2</v>
      </c>
      <c r="R182" s="18">
        <f t="shared" si="30"/>
        <v>2.8776626459718013E-2</v>
      </c>
      <c r="S182" s="21">
        <v>2.8501898237758283E-2</v>
      </c>
      <c r="T182" s="18">
        <f t="shared" si="31"/>
        <v>2.8933129623838871E-2</v>
      </c>
      <c r="U182" s="23">
        <v>3.2816274643955756E-2</v>
      </c>
      <c r="V182" s="23">
        <f t="shared" si="32"/>
        <v>3.3193831357807513E-2</v>
      </c>
      <c r="W182" s="22">
        <f t="shared" si="35"/>
        <v>2.7198093349105612E-3</v>
      </c>
      <c r="X182" s="23">
        <v>3.1955436661611492E-2</v>
      </c>
      <c r="Y182" s="23">
        <f t="shared" si="36"/>
        <v>3.2343237611256459E-2</v>
      </c>
      <c r="Z182" s="22">
        <f t="shared" si="37"/>
        <v>2.6509308713171809E-3</v>
      </c>
      <c r="AA182" s="33"/>
      <c r="AB182" s="50">
        <f t="shared" si="33"/>
        <v>169</v>
      </c>
      <c r="AC182" s="48">
        <f t="shared" si="28"/>
        <v>0.67301453951085821</v>
      </c>
      <c r="AE182" s="48">
        <f t="shared" si="34"/>
        <v>0.99764296081521608</v>
      </c>
      <c r="AF182" s="48">
        <f t="shared" si="38"/>
        <v>0.6730145395108581</v>
      </c>
      <c r="AH182" s="48">
        <f t="shared" si="39"/>
        <v>0</v>
      </c>
    </row>
    <row r="183" spans="4:34" ht="13.9" customHeight="1">
      <c r="D183" s="8"/>
      <c r="E183" s="9"/>
      <c r="F183" s="18"/>
      <c r="G183" s="18"/>
      <c r="H183" s="18"/>
      <c r="J183" s="40"/>
      <c r="K183" s="40"/>
      <c r="L183" s="40"/>
      <c r="M183" s="38"/>
      <c r="O183" s="12">
        <f t="shared" si="29"/>
        <v>14.166666666666666</v>
      </c>
      <c r="P183" s="13">
        <v>170</v>
      </c>
      <c r="Q183" s="21">
        <v>2.851807382402316E-2</v>
      </c>
      <c r="R183" s="18">
        <f t="shared" si="30"/>
        <v>2.8833199941258991E-2</v>
      </c>
      <c r="S183" s="21">
        <v>2.8504434364460263E-2</v>
      </c>
      <c r="T183" s="18">
        <f t="shared" si="31"/>
        <v>2.9002932604729637E-2</v>
      </c>
      <c r="U183" s="23">
        <v>3.2818495162347361E-2</v>
      </c>
      <c r="V183" s="23">
        <f t="shared" si="32"/>
        <v>3.3260024936841992E-2</v>
      </c>
      <c r="W183" s="22">
        <f t="shared" si="35"/>
        <v>2.7249402353657359E-3</v>
      </c>
      <c r="X183" s="23">
        <v>3.1957717417670617E-2</v>
      </c>
      <c r="Y183" s="23">
        <f t="shared" si="36"/>
        <v>3.2410126793299687E-2</v>
      </c>
      <c r="Z183" s="22">
        <f t="shared" si="37"/>
        <v>2.6561217864746745E-3</v>
      </c>
      <c r="AA183" s="33"/>
      <c r="AB183" s="50">
        <f t="shared" si="33"/>
        <v>170</v>
      </c>
      <c r="AC183" s="48">
        <f t="shared" si="28"/>
        <v>0.67142528045981953</v>
      </c>
      <c r="AE183" s="48">
        <f t="shared" si="34"/>
        <v>0.99763859625946161</v>
      </c>
      <c r="AF183" s="48">
        <f t="shared" si="38"/>
        <v>0.67142528045982042</v>
      </c>
      <c r="AH183" s="48">
        <f t="shared" si="39"/>
        <v>8.8817841970012523E-16</v>
      </c>
    </row>
    <row r="184" spans="4:34" ht="13.9" customHeight="1">
      <c r="D184" s="8"/>
      <c r="E184" s="9"/>
      <c r="F184" s="18"/>
      <c r="G184" s="18"/>
      <c r="H184" s="18"/>
      <c r="J184" s="40"/>
      <c r="K184" s="40"/>
      <c r="L184" s="40"/>
      <c r="M184" s="38"/>
      <c r="O184" s="12">
        <f t="shared" si="29"/>
        <v>14.25</v>
      </c>
      <c r="P184" s="13">
        <v>171</v>
      </c>
      <c r="Q184" s="21">
        <v>2.8519916386209099E-2</v>
      </c>
      <c r="R184" s="18">
        <f t="shared" si="30"/>
        <v>2.8892346097835642E-2</v>
      </c>
      <c r="S184" s="21">
        <v>2.8507348856733339E-2</v>
      </c>
      <c r="T184" s="18">
        <f t="shared" si="31"/>
        <v>2.9075491985987023E-2</v>
      </c>
      <c r="U184" s="23">
        <v>3.2821076659283577E-2</v>
      </c>
      <c r="V184" s="23">
        <f t="shared" si="32"/>
        <v>3.3328971275506936E-2</v>
      </c>
      <c r="W184" s="22">
        <f t="shared" si="35"/>
        <v>2.7302935390118854E-3</v>
      </c>
      <c r="X184" s="23">
        <v>3.1960362510163876E-2</v>
      </c>
      <c r="Y184" s="23">
        <f t="shared" si="36"/>
        <v>3.2479770072773251E-2</v>
      </c>
      <c r="Z184" s="22">
        <f t="shared" si="37"/>
        <v>2.6615354297452321E-3</v>
      </c>
      <c r="AA184" s="33"/>
      <c r="AB184" s="50">
        <f t="shared" si="33"/>
        <v>171</v>
      </c>
      <c r="AC184" s="48">
        <f t="shared" si="28"/>
        <v>0.6698367047844801</v>
      </c>
      <c r="AE184" s="48">
        <f t="shared" si="34"/>
        <v>0.99763402463152351</v>
      </c>
      <c r="AF184" s="48">
        <f t="shared" si="38"/>
        <v>0.6698367047844801</v>
      </c>
      <c r="AH184" s="48">
        <f t="shared" si="39"/>
        <v>0</v>
      </c>
    </row>
    <row r="185" spans="4:34" ht="13.9" customHeight="1">
      <c r="D185" s="8"/>
      <c r="E185" s="9"/>
      <c r="F185" s="18"/>
      <c r="G185" s="18"/>
      <c r="H185" s="18"/>
      <c r="J185" s="40"/>
      <c r="K185" s="40"/>
      <c r="L185" s="40"/>
      <c r="M185" s="38"/>
      <c r="O185" s="12">
        <f t="shared" si="29"/>
        <v>14.333333333333334</v>
      </c>
      <c r="P185" s="13">
        <v>172</v>
      </c>
      <c r="Q185" s="21">
        <v>2.8522081285574874E-2</v>
      </c>
      <c r="R185" s="18">
        <f t="shared" si="30"/>
        <v>2.8954072282900478E-2</v>
      </c>
      <c r="S185" s="21">
        <v>2.851065110777351E-2</v>
      </c>
      <c r="T185" s="18">
        <f t="shared" si="31"/>
        <v>2.9150803693311245E-2</v>
      </c>
      <c r="U185" s="23">
        <v>3.2824028813371209E-2</v>
      </c>
      <c r="V185" s="23">
        <f t="shared" si="32"/>
        <v>3.3400669949296358E-2</v>
      </c>
      <c r="W185" s="22">
        <f t="shared" si="35"/>
        <v>2.7358691336083485E-3</v>
      </c>
      <c r="X185" s="23">
        <v>3.1963381566277871E-2</v>
      </c>
      <c r="Y185" s="23">
        <f t="shared" si="36"/>
        <v>3.2552166353057244E-2</v>
      </c>
      <c r="Z185" s="22">
        <f t="shared" si="37"/>
        <v>2.6671716329089712E-3</v>
      </c>
      <c r="AA185" s="33"/>
      <c r="AB185" s="50">
        <f t="shared" si="33"/>
        <v>172</v>
      </c>
      <c r="AC185" s="48">
        <f t="shared" si="28"/>
        <v>0.66824868633557299</v>
      </c>
      <c r="AE185" s="48">
        <f t="shared" si="34"/>
        <v>0.99762924540031361</v>
      </c>
      <c r="AF185" s="48">
        <f t="shared" si="38"/>
        <v>0.66824868633557355</v>
      </c>
      <c r="AH185" s="48">
        <f t="shared" si="39"/>
        <v>0</v>
      </c>
    </row>
    <row r="186" spans="4:34" ht="13.9" customHeight="1">
      <c r="D186" s="8"/>
      <c r="E186" s="9"/>
      <c r="F186" s="18"/>
      <c r="G186" s="18"/>
      <c r="H186" s="18"/>
      <c r="J186" s="40"/>
      <c r="K186" s="40"/>
      <c r="L186" s="40"/>
      <c r="M186" s="38"/>
      <c r="O186" s="12">
        <f t="shared" si="29"/>
        <v>14.416666666666666</v>
      </c>
      <c r="P186" s="13">
        <v>173</v>
      </c>
      <c r="Q186" s="21">
        <v>2.8524577822143238E-2</v>
      </c>
      <c r="R186" s="18">
        <f t="shared" si="30"/>
        <v>2.9018386178428335E-2</v>
      </c>
      <c r="S186" s="21">
        <v>2.8514350267317745E-2</v>
      </c>
      <c r="T186" s="18">
        <f t="shared" si="31"/>
        <v>2.9228864197127669E-2</v>
      </c>
      <c r="U186" s="23">
        <v>3.2827361074365902E-2</v>
      </c>
      <c r="V186" s="23">
        <f t="shared" si="32"/>
        <v>3.3475121018406995E-2</v>
      </c>
      <c r="W186" s="22">
        <f t="shared" si="35"/>
        <v>2.7416669440250008E-3</v>
      </c>
      <c r="X186" s="23">
        <v>3.196678398163022E-2</v>
      </c>
      <c r="Y186" s="23">
        <f t="shared" si="36"/>
        <v>3.2627315033947779E-2</v>
      </c>
      <c r="Z186" s="22">
        <f t="shared" si="37"/>
        <v>2.6730302659248029E-3</v>
      </c>
      <c r="AA186" s="33"/>
      <c r="AB186" s="50">
        <f t="shared" si="33"/>
        <v>173</v>
      </c>
      <c r="AC186" s="48">
        <f t="shared" si="28"/>
        <v>0.66666109987202105</v>
      </c>
      <c r="AE186" s="48">
        <f t="shared" si="34"/>
        <v>0.99762425801050569</v>
      </c>
      <c r="AF186" s="48">
        <f t="shared" si="38"/>
        <v>0.66666109987202171</v>
      </c>
      <c r="AH186" s="48">
        <f t="shared" si="39"/>
        <v>0</v>
      </c>
    </row>
    <row r="187" spans="4:34" ht="13.9" customHeight="1">
      <c r="D187" s="8"/>
      <c r="E187" s="9"/>
      <c r="F187" s="18"/>
      <c r="G187" s="18"/>
      <c r="H187" s="18"/>
      <c r="J187" s="40"/>
      <c r="K187" s="40"/>
      <c r="L187" s="40"/>
      <c r="M187" s="38"/>
      <c r="O187" s="12">
        <f t="shared" si="29"/>
        <v>14.5</v>
      </c>
      <c r="P187" s="13">
        <v>174</v>
      </c>
      <c r="Q187" s="21">
        <v>2.8527415124057987E-2</v>
      </c>
      <c r="R187" s="18">
        <f t="shared" si="30"/>
        <v>2.9085290461349889E-2</v>
      </c>
      <c r="S187" s="21">
        <v>2.8518455251696606E-2</v>
      </c>
      <c r="T187" s="18">
        <f t="shared" si="31"/>
        <v>2.9309670516766362E-2</v>
      </c>
      <c r="U187" s="23">
        <v>3.2831082672453826E-2</v>
      </c>
      <c r="V187" s="23">
        <f t="shared" si="32"/>
        <v>3.35523250328158E-2</v>
      </c>
      <c r="W187" s="22">
        <f t="shared" si="35"/>
        <v>2.7476869327121012E-3</v>
      </c>
      <c r="X187" s="23">
        <v>3.1970578929696458E-2</v>
      </c>
      <c r="Y187" s="23">
        <f t="shared" si="36"/>
        <v>3.2705216016926775E-2</v>
      </c>
      <c r="Z187" s="22">
        <f t="shared" si="37"/>
        <v>2.6791112373198978E-3</v>
      </c>
      <c r="AA187" s="33"/>
      <c r="AB187" s="50">
        <f t="shared" si="33"/>
        <v>174</v>
      </c>
      <c r="AC187" s="48">
        <f t="shared" si="28"/>
        <v>0.66507382104759694</v>
      </c>
      <c r="AE187" s="48">
        <f t="shared" si="34"/>
        <v>0.9976190618820725</v>
      </c>
      <c r="AF187" s="48">
        <f t="shared" si="38"/>
        <v>0.66507382104759694</v>
      </c>
      <c r="AH187" s="48">
        <f t="shared" si="39"/>
        <v>0</v>
      </c>
    </row>
    <row r="188" spans="4:34" ht="13.9" customHeight="1">
      <c r="D188" s="8"/>
      <c r="E188" s="9"/>
      <c r="F188" s="18"/>
      <c r="G188" s="18"/>
      <c r="H188" s="18"/>
      <c r="J188" s="40"/>
      <c r="K188" s="40"/>
      <c r="L188" s="40"/>
      <c r="M188" s="38"/>
      <c r="O188" s="12">
        <f t="shared" si="29"/>
        <v>14.583333333333334</v>
      </c>
      <c r="P188" s="13">
        <v>175</v>
      </c>
      <c r="Q188" s="21">
        <v>2.8530602123827853E-2</v>
      </c>
      <c r="R188" s="18">
        <f t="shared" si="30"/>
        <v>2.9154772118570316E-2</v>
      </c>
      <c r="S188" s="21">
        <v>2.8522974753565355E-2</v>
      </c>
      <c r="T188" s="18">
        <f t="shared" si="31"/>
        <v>2.9393220224978034E-2</v>
      </c>
      <c r="U188" s="23">
        <v>3.283520262724271E-2</v>
      </c>
      <c r="V188" s="23">
        <f t="shared" si="32"/>
        <v>3.363228303824517E-2</v>
      </c>
      <c r="W188" s="22">
        <f t="shared" si="35"/>
        <v>2.7539291000988619E-3</v>
      </c>
      <c r="X188" s="23">
        <v>3.197477537094473E-2</v>
      </c>
      <c r="Y188" s="23">
        <f t="shared" si="36"/>
        <v>3.2785869711143167E-2</v>
      </c>
      <c r="Z188" s="22">
        <f t="shared" si="37"/>
        <v>2.6854144946044656E-3</v>
      </c>
      <c r="AA188" s="33"/>
      <c r="AB188" s="50">
        <f t="shared" si="33"/>
        <v>175</v>
      </c>
      <c r="AC188" s="48">
        <f t="shared" si="28"/>
        <v>0.66348672668463005</v>
      </c>
      <c r="AE188" s="48">
        <f t="shared" si="34"/>
        <v>0.99761365684118186</v>
      </c>
      <c r="AF188" s="48">
        <f t="shared" si="38"/>
        <v>0.66348672668463093</v>
      </c>
      <c r="AH188" s="48">
        <f t="shared" si="39"/>
        <v>8.8817841970012523E-16</v>
      </c>
    </row>
    <row r="189" spans="4:34" ht="13.9" customHeight="1">
      <c r="D189" s="8"/>
      <c r="E189" s="9"/>
      <c r="F189" s="18"/>
      <c r="G189" s="18"/>
      <c r="H189" s="18"/>
      <c r="J189" s="40"/>
      <c r="K189" s="40"/>
      <c r="L189" s="40"/>
      <c r="M189" s="38"/>
      <c r="O189" s="12">
        <f t="shared" si="29"/>
        <v>14.666666666666666</v>
      </c>
      <c r="P189" s="13">
        <v>176</v>
      </c>
      <c r="Q189" s="21">
        <v>2.8534147474714722E-2</v>
      </c>
      <c r="R189" s="18">
        <f t="shared" si="30"/>
        <v>2.9226834483383257E-2</v>
      </c>
      <c r="S189" s="21">
        <v>2.8527917251329749E-2</v>
      </c>
      <c r="T189" s="18">
        <f t="shared" si="31"/>
        <v>2.947951145234029E-2</v>
      </c>
      <c r="U189" s="23">
        <v>3.283972975648064E-2</v>
      </c>
      <c r="V189" s="23">
        <f t="shared" si="32"/>
        <v>3.3714996581610146E-2</v>
      </c>
      <c r="W189" s="22">
        <f t="shared" si="35"/>
        <v>2.7603934850626288E-3</v>
      </c>
      <c r="X189" s="23">
        <v>3.1979382061692041E-2</v>
      </c>
      <c r="Y189" s="23">
        <f t="shared" si="36"/>
        <v>3.2869277037674172E-2</v>
      </c>
      <c r="Z189" s="22">
        <f t="shared" si="37"/>
        <v>2.6919400247451541E-3</v>
      </c>
      <c r="AA189" s="33"/>
      <c r="AB189" s="50">
        <f t="shared" si="33"/>
        <v>176</v>
      </c>
      <c r="AC189" s="48">
        <f t="shared" si="28"/>
        <v>0.66189969561666029</v>
      </c>
      <c r="AE189" s="48">
        <f t="shared" si="34"/>
        <v>0.99760804398318448</v>
      </c>
      <c r="AF189" s="48">
        <f t="shared" si="38"/>
        <v>0.6618996956166604</v>
      </c>
      <c r="AH189" s="48">
        <f t="shared" si="39"/>
        <v>0</v>
      </c>
    </row>
    <row r="190" spans="4:34" ht="13.9" customHeight="1">
      <c r="D190" s="8"/>
      <c r="E190" s="9"/>
      <c r="F190" s="18"/>
      <c r="G190" s="18"/>
      <c r="H190" s="18"/>
      <c r="J190" s="40"/>
      <c r="K190" s="40"/>
      <c r="L190" s="40"/>
      <c r="M190" s="38"/>
      <c r="O190" s="12">
        <f t="shared" si="29"/>
        <v>14.75</v>
      </c>
      <c r="P190" s="13">
        <v>177</v>
      </c>
      <c r="Q190" s="21">
        <v>2.853805965086309E-2</v>
      </c>
      <c r="R190" s="18">
        <f t="shared" si="30"/>
        <v>2.9301486578631186E-2</v>
      </c>
      <c r="S190" s="21">
        <v>2.8533291018276286E-2</v>
      </c>
      <c r="T190" s="18">
        <f t="shared" si="31"/>
        <v>2.9568542891790006E-2</v>
      </c>
      <c r="U190" s="23">
        <v>3.2844672684509968E-2</v>
      </c>
      <c r="V190" s="23">
        <f t="shared" si="32"/>
        <v>3.3800467716872395E-2</v>
      </c>
      <c r="W190" s="22">
        <f t="shared" si="35"/>
        <v>2.7670801653549848E-3</v>
      </c>
      <c r="X190" s="23">
        <v>3.1984407562685169E-2</v>
      </c>
      <c r="Y190" s="23">
        <f t="shared" si="36"/>
        <v>3.2955439436683553E-2</v>
      </c>
      <c r="Z190" s="22">
        <f t="shared" si="37"/>
        <v>2.6986878544943416E-3</v>
      </c>
      <c r="AA190" s="33"/>
      <c r="AB190" s="50">
        <f t="shared" si="33"/>
        <v>177</v>
      </c>
      <c r="AC190" s="48">
        <f t="shared" si="28"/>
        <v>0.66031260780611389</v>
      </c>
      <c r="AE190" s="48">
        <f t="shared" si="34"/>
        <v>0.997602223084469</v>
      </c>
      <c r="AF190" s="48">
        <f t="shared" si="38"/>
        <v>0.66031260780611378</v>
      </c>
      <c r="AH190" s="48">
        <f t="shared" si="39"/>
        <v>0</v>
      </c>
    </row>
    <row r="191" spans="4:34" ht="13.9" customHeight="1">
      <c r="D191" s="8"/>
      <c r="E191" s="9"/>
      <c r="F191" s="18"/>
      <c r="G191" s="18"/>
      <c r="H191" s="18"/>
      <c r="J191" s="40"/>
      <c r="K191" s="40"/>
      <c r="L191" s="40"/>
      <c r="M191" s="38"/>
      <c r="O191" s="12">
        <f t="shared" si="29"/>
        <v>14.833333333333334</v>
      </c>
      <c r="P191" s="13">
        <v>178</v>
      </c>
      <c r="Q191" s="21">
        <v>2.8542346984198108E-2</v>
      </c>
      <c r="R191" s="18">
        <f t="shared" si="30"/>
        <v>2.9378737785520803E-2</v>
      </c>
      <c r="S191" s="21">
        <v>2.8539104131420912E-2</v>
      </c>
      <c r="T191" s="18">
        <f t="shared" si="31"/>
        <v>2.9660313803498761E-2</v>
      </c>
      <c r="U191" s="23">
        <v>3.2850039850468526E-2</v>
      </c>
      <c r="V191" s="23">
        <f t="shared" si="32"/>
        <v>3.3888699010999446E-2</v>
      </c>
      <c r="W191" s="22">
        <f t="shared" si="35"/>
        <v>2.7739892580589398E-3</v>
      </c>
      <c r="X191" s="23">
        <v>3.1989860247431112E-2</v>
      </c>
      <c r="Y191" s="23">
        <f t="shared" si="36"/>
        <v>3.3044358871797463E-2</v>
      </c>
      <c r="Z191" s="22">
        <f t="shared" si="37"/>
        <v>2.7056580509552397E-3</v>
      </c>
      <c r="AA191" s="33"/>
      <c r="AB191" s="50">
        <f t="shared" si="33"/>
        <v>178</v>
      </c>
      <c r="AC191" s="48">
        <f t="shared" si="28"/>
        <v>0.65872534404344418</v>
      </c>
      <c r="AE191" s="48">
        <f t="shared" si="34"/>
        <v>0.99759619346366435</v>
      </c>
      <c r="AF191" s="48">
        <f t="shared" si="38"/>
        <v>0.65872534404344463</v>
      </c>
      <c r="AH191" s="48">
        <f t="shared" si="39"/>
        <v>0</v>
      </c>
    </row>
    <row r="192" spans="4:34" ht="13.9" customHeight="1">
      <c r="D192" s="8"/>
      <c r="E192" s="9"/>
      <c r="F192" s="18"/>
      <c r="G192" s="18"/>
      <c r="H192" s="18"/>
      <c r="J192" s="40"/>
      <c r="K192" s="40"/>
      <c r="L192" s="40"/>
      <c r="M192" s="38"/>
      <c r="O192" s="12">
        <f t="shared" si="29"/>
        <v>14.916666666666666</v>
      </c>
      <c r="P192" s="13">
        <v>179</v>
      </c>
      <c r="Q192" s="21">
        <v>2.8547017670317754E-2</v>
      </c>
      <c r="R192" s="18">
        <f t="shared" si="30"/>
        <v>2.9458597850747337E-2</v>
      </c>
      <c r="S192" s="21">
        <v>2.8545364480087265E-2</v>
      </c>
      <c r="T192" s="18">
        <f t="shared" si="31"/>
        <v>2.9754824019554205E-2</v>
      </c>
      <c r="U192" s="23">
        <v>3.2855839516248375E-2</v>
      </c>
      <c r="V192" s="23">
        <f t="shared" si="32"/>
        <v>3.3979693550062917E-2</v>
      </c>
      <c r="W192" s="22">
        <f t="shared" si="35"/>
        <v>2.7811209200518938E-3</v>
      </c>
      <c r="X192" s="23">
        <v>3.1995748310272631E-2</v>
      </c>
      <c r="Y192" s="23">
        <f t="shared" si="36"/>
        <v>3.3136037836670074E-2</v>
      </c>
      <c r="Z192" s="22">
        <f t="shared" si="37"/>
        <v>2.7128507219169595E-3</v>
      </c>
      <c r="AA192" s="33"/>
      <c r="AB192" s="50">
        <f t="shared" si="33"/>
        <v>179</v>
      </c>
      <c r="AC192" s="48">
        <f t="shared" si="28"/>
        <v>0.65713778593457928</v>
      </c>
      <c r="AE192" s="48">
        <f t="shared" si="34"/>
        <v>0.99758995441238063</v>
      </c>
      <c r="AF192" s="48">
        <f t="shared" si="38"/>
        <v>0.65713778593457972</v>
      </c>
      <c r="AH192" s="48">
        <f t="shared" si="39"/>
        <v>0</v>
      </c>
    </row>
    <row r="193" spans="4:34" ht="13.9" customHeight="1">
      <c r="D193" s="8"/>
      <c r="E193" s="9"/>
      <c r="F193" s="18"/>
      <c r="G193" s="18"/>
      <c r="H193" s="18"/>
      <c r="J193" s="40"/>
      <c r="K193" s="40"/>
      <c r="L193" s="40"/>
      <c r="M193" s="38"/>
      <c r="O193" s="12">
        <f t="shared" si="29"/>
        <v>15</v>
      </c>
      <c r="P193" s="13">
        <v>180</v>
      </c>
      <c r="Q193" s="21">
        <v>2.8552079774227357E-2</v>
      </c>
      <c r="R193" s="18">
        <f t="shared" si="30"/>
        <v>2.954008244120554E-2</v>
      </c>
      <c r="S193" s="21">
        <v>2.855207977422447E-2</v>
      </c>
      <c r="T193" s="18">
        <f t="shared" si="31"/>
        <v>2.9850814626469768E-2</v>
      </c>
      <c r="U193" s="23">
        <v>3.2862079774222952E-2</v>
      </c>
      <c r="V193" s="23">
        <f t="shared" si="32"/>
        <v>3.4072259847472752E-2</v>
      </c>
      <c r="W193" s="22">
        <f t="shared" si="35"/>
        <v>2.78847534847948E-3</v>
      </c>
      <c r="X193" s="23">
        <v>3.2002079774230641E-2</v>
      </c>
      <c r="Y193" s="23">
        <f t="shared" si="36"/>
        <v>3.3229271627622126E-2</v>
      </c>
      <c r="Z193" s="22">
        <f t="shared" si="37"/>
        <v>2.7202660163685444E-3</v>
      </c>
      <c r="AA193" s="33"/>
      <c r="AB193" s="50">
        <f t="shared" si="33"/>
        <v>180</v>
      </c>
      <c r="AC193" s="48">
        <f t="shared" si="28"/>
        <v>0.65554981588847705</v>
      </c>
      <c r="AE193" s="48">
        <f t="shared" si="34"/>
        <v>0.99758350519466166</v>
      </c>
      <c r="AF193" s="48">
        <f t="shared" si="38"/>
        <v>0.65554981588847727</v>
      </c>
      <c r="AH193" s="48">
        <f t="shared" si="39"/>
        <v>0</v>
      </c>
    </row>
    <row r="194" spans="4:34" ht="13.9" customHeight="1">
      <c r="D194" s="8"/>
      <c r="E194" s="9"/>
      <c r="F194" s="18"/>
      <c r="G194" s="18"/>
      <c r="H194" s="18"/>
      <c r="J194" s="40"/>
      <c r="K194" s="40"/>
      <c r="L194" s="40"/>
      <c r="M194" s="38"/>
      <c r="O194" s="12">
        <f t="shared" si="29"/>
        <v>15.083333333333334</v>
      </c>
      <c r="P194" s="13">
        <v>181</v>
      </c>
      <c r="Q194" s="21">
        <v>2.8557535746956075E-2</v>
      </c>
      <c r="R194" s="18">
        <f t="shared" si="30"/>
        <v>2.9619221572976473E-2</v>
      </c>
      <c r="S194" s="21">
        <v>2.855925060362341E-2</v>
      </c>
      <c r="T194" s="18">
        <f t="shared" si="31"/>
        <v>2.9943258885621882E-2</v>
      </c>
      <c r="U194" s="23">
        <v>3.2868761959688353E-2</v>
      </c>
      <c r="V194" s="23">
        <f t="shared" si="32"/>
        <v>3.4161627521138049E-2</v>
      </c>
      <c r="W194" s="22">
        <f t="shared" si="35"/>
        <v>2.7959562020105633E-3</v>
      </c>
      <c r="X194" s="23">
        <v>3.2008855833943972E-2</v>
      </c>
      <c r="Y194" s="23">
        <f t="shared" si="36"/>
        <v>3.3319239457202832E-2</v>
      </c>
      <c r="Z194" s="22">
        <f t="shared" si="37"/>
        <v>2.727806451644943E-3</v>
      </c>
      <c r="AA194" s="33"/>
      <c r="AB194" s="50">
        <f t="shared" si="33"/>
        <v>181</v>
      </c>
      <c r="AC194" s="48">
        <f t="shared" si="28"/>
        <v>0.65396136974425734</v>
      </c>
      <c r="AE194" s="48">
        <f t="shared" si="34"/>
        <v>0.99757692534461861</v>
      </c>
      <c r="AF194" s="48">
        <f t="shared" si="38"/>
        <v>0.653961369744258</v>
      </c>
      <c r="AH194" s="48">
        <f t="shared" si="39"/>
        <v>0</v>
      </c>
    </row>
    <row r="195" spans="4:34" ht="13.9" customHeight="1">
      <c r="D195" s="8"/>
      <c r="E195" s="9"/>
      <c r="F195" s="18"/>
      <c r="G195" s="18"/>
      <c r="H195" s="18"/>
      <c r="J195" s="40"/>
      <c r="K195" s="40"/>
      <c r="L195" s="40"/>
      <c r="M195" s="38"/>
      <c r="O195" s="12">
        <f t="shared" si="29"/>
        <v>15.166666666666666</v>
      </c>
      <c r="P195" s="13">
        <v>182</v>
      </c>
      <c r="Q195" s="21">
        <v>2.8563366193493422E-2</v>
      </c>
      <c r="R195" s="18">
        <f t="shared" si="30"/>
        <v>2.9695024151539906E-2</v>
      </c>
      <c r="S195" s="21">
        <v>2.856684996120129E-2</v>
      </c>
      <c r="T195" s="18">
        <f t="shared" si="31"/>
        <v>3.0030924927256342E-2</v>
      </c>
      <c r="U195" s="23">
        <v>3.2875861198818246E-2</v>
      </c>
      <c r="V195" s="23">
        <f t="shared" si="32"/>
        <v>3.4246621946244726E-2</v>
      </c>
      <c r="W195" s="22">
        <f t="shared" si="35"/>
        <v>2.8031779726449546E-3</v>
      </c>
      <c r="X195" s="23">
        <v>3.2016051201901874E-2</v>
      </c>
      <c r="Y195" s="23">
        <f t="shared" si="36"/>
        <v>3.3404755435658018E-2</v>
      </c>
      <c r="Z195" s="22">
        <f t="shared" si="37"/>
        <v>2.735082155656654E-3</v>
      </c>
      <c r="AA195" s="33"/>
      <c r="AB195" s="50">
        <f t="shared" si="33"/>
        <v>182</v>
      </c>
      <c r="AC195" s="48">
        <f t="shared" si="28"/>
        <v>0.65237259376599122</v>
      </c>
      <c r="AE195" s="48">
        <f t="shared" si="34"/>
        <v>0.99757053542950569</v>
      </c>
      <c r="AF195" s="48">
        <f t="shared" si="38"/>
        <v>0.65237259376599244</v>
      </c>
      <c r="AH195" s="48">
        <f t="shared" si="39"/>
        <v>1.2212453270876722E-15</v>
      </c>
    </row>
    <row r="196" spans="4:34" ht="13.9" customHeight="1">
      <c r="D196" s="8"/>
      <c r="E196" s="9"/>
      <c r="F196" s="18"/>
      <c r="G196" s="18"/>
      <c r="H196" s="18"/>
      <c r="J196" s="40"/>
      <c r="K196" s="40"/>
      <c r="L196" s="40"/>
      <c r="M196" s="38"/>
      <c r="O196" s="12">
        <f t="shared" si="29"/>
        <v>15.25</v>
      </c>
      <c r="P196" s="13">
        <v>183</v>
      </c>
      <c r="Q196" s="21">
        <v>2.8569546735949691E-2</v>
      </c>
      <c r="R196" s="18">
        <f t="shared" si="30"/>
        <v>2.9767492559272357E-2</v>
      </c>
      <c r="S196" s="21">
        <v>2.8574844713377789E-2</v>
      </c>
      <c r="T196" s="18">
        <f t="shared" si="31"/>
        <v>3.0113841838736111E-2</v>
      </c>
      <c r="U196" s="23">
        <v>3.2883346755792298E-2</v>
      </c>
      <c r="V196" s="23">
        <f t="shared" si="32"/>
        <v>3.4327264455508377E-2</v>
      </c>
      <c r="W196" s="22">
        <f t="shared" si="35"/>
        <v>2.810045811842965E-3</v>
      </c>
      <c r="X196" s="23">
        <v>3.2023634676404233E-2</v>
      </c>
      <c r="Y196" s="23">
        <f t="shared" si="36"/>
        <v>3.3485842414216149E-2</v>
      </c>
      <c r="Z196" s="22">
        <f t="shared" si="37"/>
        <v>2.7419972999154218E-3</v>
      </c>
      <c r="AA196" s="33"/>
      <c r="AB196" s="50">
        <f t="shared" si="33"/>
        <v>183</v>
      </c>
      <c r="AC196" s="48">
        <f t="shared" si="28"/>
        <v>0.65078368513353857</v>
      </c>
      <c r="AE196" s="48">
        <f t="shared" si="34"/>
        <v>0.99756441541592034</v>
      </c>
      <c r="AF196" s="48">
        <f t="shared" si="38"/>
        <v>0.6507836851335399</v>
      </c>
      <c r="AH196" s="48">
        <f t="shared" si="39"/>
        <v>1.3322676295501878E-15</v>
      </c>
    </row>
    <row r="197" spans="4:34" ht="13.9" customHeight="1">
      <c r="D197" s="8"/>
      <c r="E197" s="9"/>
      <c r="F197" s="18"/>
      <c r="G197" s="18"/>
      <c r="H197" s="18"/>
      <c r="J197" s="40"/>
      <c r="K197" s="40"/>
      <c r="L197" s="40"/>
      <c r="M197" s="38"/>
      <c r="O197" s="12">
        <f t="shared" si="29"/>
        <v>15.333333333333334</v>
      </c>
      <c r="P197" s="13">
        <v>184</v>
      </c>
      <c r="Q197" s="21">
        <v>2.857605354325754E-2</v>
      </c>
      <c r="R197" s="18">
        <f t="shared" si="30"/>
        <v>2.9836628780540053E-2</v>
      </c>
      <c r="S197" s="21">
        <v>2.8583202611009995E-2</v>
      </c>
      <c r="T197" s="18">
        <f t="shared" si="31"/>
        <v>3.0192037811108241E-2</v>
      </c>
      <c r="U197" s="23">
        <v>3.2891188684355033E-2</v>
      </c>
      <c r="V197" s="23">
        <f t="shared" si="32"/>
        <v>3.440357564699581E-2</v>
      </c>
      <c r="W197" s="22">
        <f t="shared" si="35"/>
        <v>2.8165615231181551E-3</v>
      </c>
      <c r="X197" s="23">
        <v>3.2031575863811668E-2</v>
      </c>
      <c r="Y197" s="23">
        <f t="shared" si="36"/>
        <v>3.3562522477686763E-2</v>
      </c>
      <c r="Z197" s="22">
        <f t="shared" si="37"/>
        <v>2.7485538140648025E-3</v>
      </c>
      <c r="AA197" s="33"/>
      <c r="AB197" s="50">
        <f t="shared" si="33"/>
        <v>184</v>
      </c>
      <c r="AC197" s="48">
        <f t="shared" si="28"/>
        <v>0.64919483909782039</v>
      </c>
      <c r="AE197" s="48">
        <f t="shared" si="34"/>
        <v>0.99755856504701301</v>
      </c>
      <c r="AF197" s="48">
        <f t="shared" si="38"/>
        <v>0.64919483909782116</v>
      </c>
      <c r="AH197" s="48">
        <f t="shared" si="39"/>
        <v>0</v>
      </c>
    </row>
    <row r="198" spans="4:34" ht="13.9" customHeight="1">
      <c r="D198" s="8"/>
      <c r="E198" s="9"/>
      <c r="F198" s="18"/>
      <c r="G198" s="18"/>
      <c r="H198" s="18"/>
      <c r="J198" s="40"/>
      <c r="K198" s="40"/>
      <c r="L198" s="40"/>
      <c r="M198" s="38"/>
      <c r="O198" s="12">
        <f t="shared" si="29"/>
        <v>15.416666666666666</v>
      </c>
      <c r="P198" s="13">
        <v>185</v>
      </c>
      <c r="Q198" s="21">
        <v>2.8582863313996842E-2</v>
      </c>
      <c r="R198" s="18">
        <f t="shared" si="30"/>
        <v>2.9902434409250223E-2</v>
      </c>
      <c r="S198" s="21">
        <v>2.8591892260142249E-2</v>
      </c>
      <c r="T198" s="18">
        <f t="shared" si="31"/>
        <v>3.0265540162358606E-2</v>
      </c>
      <c r="U198" s="23">
        <v>3.2899357802083973E-2</v>
      </c>
      <c r="V198" s="23">
        <f t="shared" si="32"/>
        <v>3.4475575402212799E-2</v>
      </c>
      <c r="W198" s="22">
        <f t="shared" si="35"/>
        <v>2.8227268460339072E-3</v>
      </c>
      <c r="X198" s="23">
        <v>3.2039845152127544E-2</v>
      </c>
      <c r="Y198" s="23">
        <f t="shared" si="36"/>
        <v>3.3634816964781988E-2</v>
      </c>
      <c r="Z198" s="22">
        <f t="shared" si="37"/>
        <v>2.7547535609915297E-3</v>
      </c>
      <c r="AA198" s="33"/>
      <c r="AB198" s="50">
        <f t="shared" si="33"/>
        <v>185</v>
      </c>
      <c r="AC198" s="48">
        <f t="shared" si="28"/>
        <v>0.64760624900498265</v>
      </c>
      <c r="AE198" s="48">
        <f t="shared" si="34"/>
        <v>0.99755298410097359</v>
      </c>
      <c r="AF198" s="48">
        <f t="shared" si="38"/>
        <v>0.64760624900498287</v>
      </c>
      <c r="AH198" s="48">
        <f t="shared" si="39"/>
        <v>0</v>
      </c>
    </row>
    <row r="199" spans="4:34" ht="13.9" customHeight="1">
      <c r="D199" s="8"/>
      <c r="E199" s="9"/>
      <c r="F199" s="18"/>
      <c r="G199" s="18"/>
      <c r="H199" s="18"/>
      <c r="J199" s="40"/>
      <c r="K199" s="40"/>
      <c r="L199" s="40"/>
      <c r="M199" s="38"/>
      <c r="O199" s="12">
        <f t="shared" si="29"/>
        <v>15.5</v>
      </c>
      <c r="P199" s="13">
        <v>186</v>
      </c>
      <c r="Q199" s="21">
        <v>2.8589953259820389E-2</v>
      </c>
      <c r="R199" s="18">
        <f t="shared" si="30"/>
        <v>2.9964919230578868E-2</v>
      </c>
      <c r="S199" s="21">
        <v>2.8600883093844676E-2</v>
      </c>
      <c r="T199" s="18">
        <f t="shared" si="31"/>
        <v>3.0334375361567689E-2</v>
      </c>
      <c r="U199" s="23">
        <v>3.2907825665601464E-2</v>
      </c>
      <c r="V199" s="23">
        <f t="shared" si="32"/>
        <v>3.4543282905867834E-2</v>
      </c>
      <c r="W199" s="22">
        <f t="shared" si="35"/>
        <v>2.8285434577524082E-3</v>
      </c>
      <c r="X199" s="23">
        <v>3.204841368555722E-2</v>
      </c>
      <c r="Y199" s="23">
        <f t="shared" si="36"/>
        <v>3.3702746487017432E-2</v>
      </c>
      <c r="Z199" s="22">
        <f t="shared" si="37"/>
        <v>2.7605983385645683E-3</v>
      </c>
      <c r="AA199" s="33"/>
      <c r="AB199" s="50">
        <f t="shared" si="33"/>
        <v>186</v>
      </c>
      <c r="AC199" s="48">
        <f t="shared" si="28"/>
        <v>0.6460181063203988</v>
      </c>
      <c r="AE199" s="48">
        <f t="shared" si="34"/>
        <v>0.99754767239040154</v>
      </c>
      <c r="AF199" s="48">
        <f t="shared" si="38"/>
        <v>0.64601810632039947</v>
      </c>
      <c r="AH199" s="48">
        <f t="shared" si="39"/>
        <v>0</v>
      </c>
    </row>
    <row r="200" spans="4:34" ht="13.9" customHeight="1">
      <c r="D200" s="8"/>
      <c r="E200" s="9"/>
      <c r="F200" s="18"/>
      <c r="G200" s="18"/>
      <c r="H200" s="18"/>
      <c r="J200" s="40"/>
      <c r="K200" s="40"/>
      <c r="L200" s="40"/>
      <c r="M200" s="38"/>
      <c r="O200" s="12">
        <f t="shared" si="29"/>
        <v>15.583333333333334</v>
      </c>
      <c r="P200" s="13">
        <v>187</v>
      </c>
      <c r="Q200" s="21">
        <v>2.8597301135248054E-2</v>
      </c>
      <c r="R200" s="18">
        <f t="shared" si="30"/>
        <v>3.0024118396275723E-2</v>
      </c>
      <c r="S200" s="21">
        <v>2.8610145345102422E-2</v>
      </c>
      <c r="T200" s="18">
        <f t="shared" si="31"/>
        <v>3.0398569051309332E-2</v>
      </c>
      <c r="U200" s="23">
        <v>3.2916564546700666E-2</v>
      </c>
      <c r="V200" s="23">
        <f t="shared" si="32"/>
        <v>3.4606716663367454E-2</v>
      </c>
      <c r="W200" s="22">
        <f t="shared" si="35"/>
        <v>2.8340129747157494E-3</v>
      </c>
      <c r="X200" s="23">
        <v>3.2057253339999869E-2</v>
      </c>
      <c r="Y200" s="23">
        <f t="shared" si="36"/>
        <v>3.3766330948434176E-2</v>
      </c>
      <c r="Z200" s="22">
        <f t="shared" si="37"/>
        <v>2.7660898812544854E-3</v>
      </c>
      <c r="AA200" s="33"/>
      <c r="AB200" s="50">
        <f t="shared" si="33"/>
        <v>187</v>
      </c>
      <c r="AC200" s="48">
        <f t="shared" si="28"/>
        <v>0.6444306002054524</v>
      </c>
      <c r="AE200" s="48">
        <f t="shared" si="34"/>
        <v>0.99754262906965752</v>
      </c>
      <c r="AF200" s="48">
        <f t="shared" si="38"/>
        <v>0.64443060020545284</v>
      </c>
      <c r="AH200" s="48">
        <f t="shared" si="39"/>
        <v>0</v>
      </c>
    </row>
    <row r="201" spans="4:34" ht="13.9" customHeight="1">
      <c r="D201" s="8"/>
      <c r="E201" s="9"/>
      <c r="F201" s="18"/>
      <c r="G201" s="18"/>
      <c r="H201" s="18"/>
      <c r="J201" s="40"/>
      <c r="K201" s="40"/>
      <c r="L201" s="40"/>
      <c r="M201" s="38"/>
      <c r="O201" s="12">
        <f t="shared" si="29"/>
        <v>15.666666666666666</v>
      </c>
      <c r="P201" s="13">
        <v>188</v>
      </c>
      <c r="Q201" s="21">
        <v>2.8604885357737642E-2</v>
      </c>
      <c r="R201" s="18">
        <f t="shared" si="30"/>
        <v>3.0080041023040849E-2</v>
      </c>
      <c r="S201" s="21">
        <v>2.86196500207061E-2</v>
      </c>
      <c r="T201" s="18">
        <f t="shared" si="31"/>
        <v>3.0458146071232983E-2</v>
      </c>
      <c r="U201" s="23">
        <v>3.2925547409339728E-2</v>
      </c>
      <c r="V201" s="23">
        <f t="shared" si="32"/>
        <v>3.4665894518902896E-2</v>
      </c>
      <c r="W201" s="22">
        <f t="shared" si="35"/>
        <v>2.8391369541389544E-3</v>
      </c>
      <c r="X201" s="23">
        <v>3.2066336699440701E-2</v>
      </c>
      <c r="Y201" s="23">
        <f t="shared" si="36"/>
        <v>3.3825589564233871E-2</v>
      </c>
      <c r="Z201" s="22">
        <f t="shared" si="37"/>
        <v>2.7712298618132181E-3</v>
      </c>
      <c r="AA201" s="33"/>
      <c r="AB201" s="50">
        <f t="shared" si="33"/>
        <v>188</v>
      </c>
      <c r="AC201" s="48">
        <f t="shared" si="28"/>
        <v>0.64284391620800296</v>
      </c>
      <c r="AE201" s="48">
        <f t="shared" si="34"/>
        <v>0.99753785124892613</v>
      </c>
      <c r="AF201" s="48">
        <f t="shared" si="38"/>
        <v>0.64284391620800319</v>
      </c>
      <c r="AH201" s="48">
        <f t="shared" si="39"/>
        <v>0</v>
      </c>
    </row>
    <row r="202" spans="4:34" ht="13.9" customHeight="1">
      <c r="D202" s="8"/>
      <c r="E202" s="9"/>
      <c r="F202" s="18"/>
      <c r="G202" s="18"/>
      <c r="H202" s="18"/>
      <c r="J202" s="40"/>
      <c r="K202" s="40"/>
      <c r="L202" s="40"/>
      <c r="M202" s="38"/>
      <c r="O202" s="12">
        <f t="shared" si="29"/>
        <v>15.75</v>
      </c>
      <c r="P202" s="13">
        <v>189</v>
      </c>
      <c r="Q202" s="21">
        <v>2.8612684852340697E-2</v>
      </c>
      <c r="R202" s="18">
        <f t="shared" si="30"/>
        <v>3.0132687311676509E-2</v>
      </c>
      <c r="S202" s="21">
        <v>2.8629368876113004E-2</v>
      </c>
      <c r="T202" s="18">
        <f t="shared" si="31"/>
        <v>3.0513130479284722E-2</v>
      </c>
      <c r="U202" s="23">
        <v>3.2934747887475746E-2</v>
      </c>
      <c r="V202" s="23">
        <f t="shared" si="32"/>
        <v>3.4720833673680396E-2</v>
      </c>
      <c r="W202" s="22">
        <f t="shared" si="35"/>
        <v>2.8439168955460836E-3</v>
      </c>
      <c r="X202" s="23">
        <v>3.2075637033205373E-2</v>
      </c>
      <c r="Y202" s="23">
        <f t="shared" si="36"/>
        <v>3.388054087940251E-2</v>
      </c>
      <c r="Z202" s="22">
        <f t="shared" si="37"/>
        <v>2.7760198928632462E-3</v>
      </c>
      <c r="AA202" s="33"/>
      <c r="AB202" s="50">
        <f t="shared" si="33"/>
        <v>189</v>
      </c>
      <c r="AC202" s="48">
        <f t="shared" si="28"/>
        <v>0.64125823763983492</v>
      </c>
      <c r="AE202" s="48">
        <f t="shared" si="34"/>
        <v>0.99753333814291745</v>
      </c>
      <c r="AF202" s="48">
        <f t="shared" si="38"/>
        <v>0.64125823763983536</v>
      </c>
      <c r="AH202" s="48">
        <f t="shared" si="39"/>
        <v>0</v>
      </c>
    </row>
    <row r="203" spans="4:34" ht="13.9" customHeight="1">
      <c r="D203" s="8"/>
      <c r="E203" s="9"/>
      <c r="F203" s="18"/>
      <c r="G203" s="18"/>
      <c r="H203" s="18"/>
      <c r="J203" s="40"/>
      <c r="K203" s="40"/>
      <c r="L203" s="40"/>
      <c r="M203" s="38"/>
      <c r="O203" s="12">
        <f t="shared" si="29"/>
        <v>15.833333333333334</v>
      </c>
      <c r="P203" s="13">
        <v>190</v>
      </c>
      <c r="Q203" s="21">
        <v>2.8620678991272186E-2</v>
      </c>
      <c r="R203" s="18">
        <f t="shared" si="30"/>
        <v>3.018205712193156E-2</v>
      </c>
      <c r="S203" s="21">
        <v>2.863927439122782E-2</v>
      </c>
      <c r="T203" s="18">
        <f t="shared" si="31"/>
        <v>3.056354557426566E-2</v>
      </c>
      <c r="U203" s="23">
        <v>3.2944140263705846E-2</v>
      </c>
      <c r="V203" s="23">
        <f t="shared" si="32"/>
        <v>3.477155070266269E-2</v>
      </c>
      <c r="W203" s="22">
        <f t="shared" si="35"/>
        <v>2.8483542423152208E-3</v>
      </c>
      <c r="X203" s="23">
        <v>3.208512827404264E-2</v>
      </c>
      <c r="Y203" s="23">
        <f t="shared" si="36"/>
        <v>3.3931202786871673E-2</v>
      </c>
      <c r="Z203" s="22">
        <f t="shared" si="37"/>
        <v>2.7804615284798828E-3</v>
      </c>
      <c r="AA203" s="33"/>
      <c r="AB203" s="50">
        <f t="shared" si="33"/>
        <v>190</v>
      </c>
      <c r="AC203" s="48">
        <f t="shared" si="28"/>
        <v>0.6396737460482711</v>
      </c>
      <c r="AE203" s="48">
        <f t="shared" si="34"/>
        <v>0.99752908968874088</v>
      </c>
      <c r="AF203" s="48">
        <f t="shared" si="38"/>
        <v>0.63967374604827121</v>
      </c>
      <c r="AH203" s="48">
        <f t="shared" si="39"/>
        <v>0</v>
      </c>
    </row>
    <row r="204" spans="4:34" ht="13.9" customHeight="1">
      <c r="D204" s="8"/>
      <c r="E204" s="9"/>
      <c r="F204" s="18"/>
      <c r="G204" s="18"/>
      <c r="H204" s="18"/>
      <c r="J204" s="40"/>
      <c r="K204" s="40"/>
      <c r="L204" s="40"/>
      <c r="M204" s="38"/>
      <c r="O204" s="12">
        <f t="shared" si="29"/>
        <v>15.916666666666666</v>
      </c>
      <c r="P204" s="13">
        <v>191</v>
      </c>
      <c r="Q204" s="21">
        <v>2.8628847580220551E-2</v>
      </c>
      <c r="R204" s="18">
        <f t="shared" si="30"/>
        <v>3.022814998081258E-2</v>
      </c>
      <c r="S204" s="21">
        <v>2.8649339747077729E-2</v>
      </c>
      <c r="T204" s="18">
        <f t="shared" si="31"/>
        <v>3.0609413916695249E-2</v>
      </c>
      <c r="U204" s="23">
        <v>3.2953699448677654E-2</v>
      </c>
      <c r="V204" s="23">
        <f t="shared" si="32"/>
        <v>3.4818061572042591E-2</v>
      </c>
      <c r="W204" s="22">
        <f t="shared" si="35"/>
        <v>2.8524503830977821E-3</v>
      </c>
      <c r="X204" s="23">
        <v>3.2094784997002579E-2</v>
      </c>
      <c r="Y204" s="23">
        <f t="shared" si="36"/>
        <v>3.3977592545322954E-2</v>
      </c>
      <c r="Z204" s="22">
        <f t="shared" si="37"/>
        <v>2.7845562657340395E-3</v>
      </c>
      <c r="AA204" s="33"/>
      <c r="AB204" s="50">
        <f t="shared" si="33"/>
        <v>191</v>
      </c>
      <c r="AC204" s="48">
        <f t="shared" si="28"/>
        <v>0.63809062123868043</v>
      </c>
      <c r="AE204" s="48">
        <f t="shared" si="34"/>
        <v>0.99752510585377241</v>
      </c>
      <c r="AF204" s="48">
        <f t="shared" si="38"/>
        <v>0.63809062123868088</v>
      </c>
      <c r="AH204" s="48">
        <f t="shared" si="39"/>
        <v>0</v>
      </c>
    </row>
    <row r="205" spans="4:34" ht="13.9" customHeight="1">
      <c r="D205" s="8"/>
      <c r="E205" s="9"/>
      <c r="F205" s="18"/>
      <c r="G205" s="18"/>
      <c r="H205" s="18"/>
      <c r="J205" s="40"/>
      <c r="K205" s="40"/>
      <c r="L205" s="40"/>
      <c r="M205" s="38"/>
      <c r="O205" s="12">
        <f t="shared" si="29"/>
        <v>16</v>
      </c>
      <c r="P205" s="13">
        <v>192</v>
      </c>
      <c r="Q205" s="21">
        <v>2.8637170845132509E-2</v>
      </c>
      <c r="R205" s="18">
        <f t="shared" si="30"/>
        <v>3.0270973569429538E-2</v>
      </c>
      <c r="S205" s="21">
        <v>2.8659538803337936E-2</v>
      </c>
      <c r="T205" s="18">
        <f t="shared" si="31"/>
        <v>3.06507573500443E-2</v>
      </c>
      <c r="U205" s="23">
        <v>3.2963400961245837E-2</v>
      </c>
      <c r="V205" s="23">
        <f t="shared" si="32"/>
        <v>3.4860381656294459E-2</v>
      </c>
      <c r="W205" s="22">
        <f t="shared" si="35"/>
        <v>2.8562066532951125E-3</v>
      </c>
      <c r="X205" s="23">
        <v>3.2104582399079096E-2</v>
      </c>
      <c r="Y205" s="23">
        <f t="shared" si="36"/>
        <v>3.4019726797294814E-2</v>
      </c>
      <c r="Z205" s="22">
        <f t="shared" si="37"/>
        <v>2.7883055462003536E-3</v>
      </c>
      <c r="AA205" s="33"/>
      <c r="AB205" s="50">
        <f t="shared" si="33"/>
        <v>192</v>
      </c>
      <c r="AC205" s="48">
        <f t="shared" ref="AC205:AC268" si="40">1/(1+Q205)^(P205/12)</f>
        <v>0.63650904129678143</v>
      </c>
      <c r="AE205" s="48">
        <f t="shared" si="34"/>
        <v>0.99752138663497558</v>
      </c>
      <c r="AF205" s="48">
        <f t="shared" si="38"/>
        <v>0.63650904129678199</v>
      </c>
      <c r="AH205" s="48">
        <f t="shared" si="39"/>
        <v>0</v>
      </c>
    </row>
    <row r="206" spans="4:34" ht="13.9" customHeight="1">
      <c r="D206" s="8"/>
      <c r="E206" s="9"/>
      <c r="F206" s="18"/>
      <c r="G206" s="18"/>
      <c r="H206" s="18"/>
      <c r="J206" s="40"/>
      <c r="K206" s="40"/>
      <c r="L206" s="40"/>
      <c r="M206" s="38"/>
      <c r="O206" s="12">
        <f t="shared" ref="O206:O269" si="41">P206/12</f>
        <v>16.083333333333332</v>
      </c>
      <c r="P206" s="13">
        <v>193</v>
      </c>
      <c r="Q206" s="21">
        <v>2.8645629463317723E-2</v>
      </c>
      <c r="R206" s="18">
        <f t="shared" ref="R206:R269" si="42">(1+Q207)^P207/(1+Q206)^P206-1</f>
        <v>3.0310560711344081E-2</v>
      </c>
      <c r="S206" s="21">
        <v>2.8669846076679217E-2</v>
      </c>
      <c r="T206" s="18">
        <f t="shared" ref="T206:T269" si="43">(1+S207)^P207/(1+S206)^P206-1</f>
        <v>3.0687597021095137E-2</v>
      </c>
      <c r="U206" s="23">
        <v>3.2973220909342738E-2</v>
      </c>
      <c r="V206" s="23">
        <f t="shared" ref="V206:V269" si="44">(1+U207)^P207/(1+U206)^P206-1</f>
        <v>3.4898525754088139E-2</v>
      </c>
      <c r="W206" s="22">
        <f t="shared" si="35"/>
        <v>2.8596243364962248E-3</v>
      </c>
      <c r="X206" s="23">
        <v>3.2114496279589178E-2</v>
      </c>
      <c r="Y206" s="23">
        <f t="shared" si="36"/>
        <v>3.4057621585850351E-2</v>
      </c>
      <c r="Z206" s="22">
        <f t="shared" si="37"/>
        <v>2.791710757487742E-3</v>
      </c>
      <c r="AA206" s="33"/>
      <c r="AB206" s="50">
        <f t="shared" ref="AB206:AB269" si="45">+P206</f>
        <v>193</v>
      </c>
      <c r="AC206" s="48">
        <f t="shared" si="40"/>
        <v>0.63492918217530347</v>
      </c>
      <c r="AE206" s="48">
        <f t="shared" ref="AE206:AE269" si="46">1/(1+R205)^(1/12)</f>
        <v>0.99751793137414169</v>
      </c>
      <c r="AF206" s="48">
        <f t="shared" si="38"/>
        <v>0.63492918217530414</v>
      </c>
      <c r="AH206" s="48">
        <f t="shared" si="39"/>
        <v>0</v>
      </c>
    </row>
    <row r="207" spans="4:34" ht="13.9" customHeight="1">
      <c r="D207" s="8"/>
      <c r="E207" s="9"/>
      <c r="F207" s="18"/>
      <c r="G207" s="18"/>
      <c r="H207" s="18"/>
      <c r="J207" s="40"/>
      <c r="K207" s="40"/>
      <c r="L207" s="40"/>
      <c r="M207" s="38"/>
      <c r="O207" s="12">
        <f t="shared" si="41"/>
        <v>16.166666666666668</v>
      </c>
      <c r="P207" s="13">
        <v>194</v>
      </c>
      <c r="Q207" s="21">
        <v>2.8654204681015871E-2</v>
      </c>
      <c r="R207" s="18">
        <f t="shared" si="42"/>
        <v>3.0346918531600986E-2</v>
      </c>
      <c r="S207" s="21">
        <v>2.8680236719901497E-2</v>
      </c>
      <c r="T207" s="18">
        <f t="shared" si="43"/>
        <v>3.0719953400849542E-2</v>
      </c>
      <c r="U207" s="23">
        <v>3.2983135971533351E-2</v>
      </c>
      <c r="V207" s="23">
        <f t="shared" si="44"/>
        <v>3.4932508105843807E-2</v>
      </c>
      <c r="W207" s="22">
        <f t="shared" ref="W207:W270" si="47">(1+V206)^(1/12)-1</f>
        <v>2.8627046658202815E-3</v>
      </c>
      <c r="X207" s="23">
        <v>3.2124503021254469E-2</v>
      </c>
      <c r="Y207" s="23">
        <f t="shared" ref="Y207:Y270" si="48">(1+X208)^P208/(1+X207)^P207-1</f>
        <v>3.4091292372304016E-2</v>
      </c>
      <c r="Z207" s="22">
        <f t="shared" ref="Z207:Z270" si="49">(1+Y206)^(1/12)-1</f>
        <v>2.7947732346482734E-3</v>
      </c>
      <c r="AA207" s="33"/>
      <c r="AB207" s="50">
        <f t="shared" si="45"/>
        <v>194</v>
      </c>
      <c r="AC207" s="48">
        <f t="shared" si="40"/>
        <v>0.63335121641718983</v>
      </c>
      <c r="AE207" s="48">
        <f t="shared" si="46"/>
        <v>0.99751473738739249</v>
      </c>
      <c r="AF207" s="48">
        <f t="shared" ref="AF207:AF270" si="50">+AF206*AE207</f>
        <v>0.63335121641719039</v>
      </c>
      <c r="AH207" s="48">
        <f t="shared" ref="AH207:AH270" si="51">+AF207-AC207</f>
        <v>0</v>
      </c>
    </row>
    <row r="208" spans="4:34" ht="13.9" customHeight="1">
      <c r="D208" s="8"/>
      <c r="E208" s="9"/>
      <c r="F208" s="18"/>
      <c r="G208" s="18"/>
      <c r="H208" s="18"/>
      <c r="J208" s="40"/>
      <c r="K208" s="40"/>
      <c r="L208" s="40"/>
      <c r="M208" s="38"/>
      <c r="O208" s="12">
        <f t="shared" si="41"/>
        <v>16.25</v>
      </c>
      <c r="P208" s="13">
        <v>195</v>
      </c>
      <c r="Q208" s="21">
        <v>2.8662878167039718E-2</v>
      </c>
      <c r="R208" s="18">
        <f t="shared" si="42"/>
        <v>3.0380045388013421E-2</v>
      </c>
      <c r="S208" s="21">
        <v>2.8690686501828822E-2</v>
      </c>
      <c r="T208" s="18">
        <f t="shared" si="43"/>
        <v>3.074784630321914E-2</v>
      </c>
      <c r="U208" s="23">
        <v>3.2993123379235545E-2</v>
      </c>
      <c r="V208" s="23">
        <f t="shared" si="44"/>
        <v>3.496234240856122E-2</v>
      </c>
      <c r="W208" s="22">
        <f t="shared" si="47"/>
        <v>2.86544882538875E-3</v>
      </c>
      <c r="X208" s="23">
        <v>3.2134579571966526E-2</v>
      </c>
      <c r="Y208" s="23">
        <f t="shared" si="48"/>
        <v>3.4120754052872959E-2</v>
      </c>
      <c r="Z208" s="22">
        <f t="shared" si="49"/>
        <v>2.7974942616699749E-3</v>
      </c>
      <c r="AA208" s="33"/>
      <c r="AB208" s="50">
        <f t="shared" si="45"/>
        <v>195</v>
      </c>
      <c r="AC208" s="48">
        <f t="shared" si="40"/>
        <v>0.63177531449651525</v>
      </c>
      <c r="AE208" s="48">
        <f t="shared" si="46"/>
        <v>0.99751180406727757</v>
      </c>
      <c r="AF208" s="48">
        <f t="shared" si="50"/>
        <v>0.63177531449651636</v>
      </c>
      <c r="AH208" s="48">
        <f t="shared" si="51"/>
        <v>1.1102230246251565E-15</v>
      </c>
    </row>
    <row r="209" spans="4:34" ht="13.9" customHeight="1">
      <c r="D209" s="8"/>
      <c r="E209" s="9"/>
      <c r="F209" s="18"/>
      <c r="G209" s="18"/>
      <c r="H209" s="18"/>
      <c r="J209" s="40"/>
      <c r="K209" s="40"/>
      <c r="L209" s="40"/>
      <c r="M209" s="38"/>
      <c r="O209" s="12">
        <f t="shared" si="41"/>
        <v>16.333333333333332</v>
      </c>
      <c r="P209" s="13">
        <v>196</v>
      </c>
      <c r="Q209" s="21">
        <v>2.8671631957161159E-2</v>
      </c>
      <c r="R209" s="18">
        <f t="shared" si="42"/>
        <v>3.0409939351196957E-2</v>
      </c>
      <c r="S209" s="21">
        <v>2.870117178792575E-2</v>
      </c>
      <c r="T209" s="18">
        <f t="shared" si="43"/>
        <v>3.0771294906063007E-2</v>
      </c>
      <c r="U209" s="23">
        <v>3.3003160899569117E-2</v>
      </c>
      <c r="V209" s="23">
        <f t="shared" si="44"/>
        <v>3.4988041832835215E-2</v>
      </c>
      <c r="W209" s="22">
        <f t="shared" si="47"/>
        <v>2.8678579515752922E-3</v>
      </c>
      <c r="X209" s="23">
        <v>3.2144703427202437E-2</v>
      </c>
      <c r="Y209" s="23">
        <f t="shared" si="48"/>
        <v>3.4146020975001079E-2</v>
      </c>
      <c r="Z209" s="22">
        <f t="shared" si="49"/>
        <v>2.7998750728781552E-3</v>
      </c>
      <c r="AA209" s="33"/>
      <c r="AB209" s="50">
        <f t="shared" si="45"/>
        <v>196</v>
      </c>
      <c r="AC209" s="48">
        <f t="shared" si="40"/>
        <v>0.63020164527691414</v>
      </c>
      <c r="AE209" s="48">
        <f t="shared" si="46"/>
        <v>0.99750913151639142</v>
      </c>
      <c r="AF209" s="48">
        <f t="shared" si="50"/>
        <v>0.63020164527691513</v>
      </c>
      <c r="AH209" s="48">
        <f t="shared" si="51"/>
        <v>9.9920072216264089E-16</v>
      </c>
    </row>
    <row r="210" spans="4:34" ht="13.9" customHeight="1">
      <c r="D210" s="8"/>
      <c r="E210" s="9"/>
      <c r="F210" s="18"/>
      <c r="G210" s="18"/>
      <c r="H210" s="18"/>
      <c r="J210" s="40"/>
      <c r="K210" s="40"/>
      <c r="L210" s="40"/>
      <c r="M210" s="38"/>
      <c r="O210" s="12">
        <f t="shared" si="41"/>
        <v>16.416666666666668</v>
      </c>
      <c r="P210" s="13">
        <v>197</v>
      </c>
      <c r="Q210" s="21">
        <v>2.8680448443174411E-2</v>
      </c>
      <c r="R210" s="18">
        <f t="shared" si="42"/>
        <v>3.0436598213271049E-2</v>
      </c>
      <c r="S210" s="21">
        <v>2.8711669521620076E-2</v>
      </c>
      <c r="T210" s="18">
        <f t="shared" si="43"/>
        <v>3.0790317769508802E-2</v>
      </c>
      <c r="U210" s="23">
        <v>3.3013226818821906E-2</v>
      </c>
      <c r="V210" s="23">
        <f t="shared" si="44"/>
        <v>3.5009619038079753E-2</v>
      </c>
      <c r="W210" s="22">
        <f t="shared" si="47"/>
        <v>2.8699331344261836E-3</v>
      </c>
      <c r="X210" s="23">
        <v>3.2154852613068607E-2</v>
      </c>
      <c r="Y210" s="23">
        <f t="shared" si="48"/>
        <v>3.4167106954486437E-2</v>
      </c>
      <c r="Z210" s="22">
        <f t="shared" si="49"/>
        <v>2.8019168543071959E-3</v>
      </c>
      <c r="AA210" s="33"/>
      <c r="AB210" s="50">
        <f t="shared" si="45"/>
        <v>197</v>
      </c>
      <c r="AC210" s="48">
        <f t="shared" si="40"/>
        <v>0.62863037603252814</v>
      </c>
      <c r="AE210" s="48">
        <f t="shared" si="46"/>
        <v>0.99750671986313966</v>
      </c>
      <c r="AF210" s="48">
        <f t="shared" si="50"/>
        <v>0.62863037603252947</v>
      </c>
      <c r="AH210" s="48">
        <f t="shared" si="51"/>
        <v>1.3322676295501878E-15</v>
      </c>
    </row>
    <row r="211" spans="4:34" ht="13.9" customHeight="1">
      <c r="D211" s="8"/>
      <c r="E211" s="9"/>
      <c r="F211" s="18"/>
      <c r="G211" s="18"/>
      <c r="H211" s="18"/>
      <c r="J211" s="40"/>
      <c r="K211" s="40"/>
      <c r="L211" s="40"/>
      <c r="M211" s="38"/>
      <c r="O211" s="12">
        <f t="shared" si="41"/>
        <v>16.5</v>
      </c>
      <c r="P211" s="13">
        <v>198</v>
      </c>
      <c r="Q211" s="21">
        <v>2.8689310362336462E-2</v>
      </c>
      <c r="R211" s="18">
        <f t="shared" si="42"/>
        <v>3.0460027881014984E-2</v>
      </c>
      <c r="S211" s="21">
        <v>2.8722157206295229E-2</v>
      </c>
      <c r="T211" s="18">
        <f t="shared" si="43"/>
        <v>3.0804932855119205E-2</v>
      </c>
      <c r="U211" s="23">
        <v>3.3023299926500327E-2</v>
      </c>
      <c r="V211" s="23">
        <f t="shared" si="44"/>
        <v>3.5027086188014644E-2</v>
      </c>
      <c r="W211" s="22">
        <f t="shared" si="47"/>
        <v>2.8716754189375138E-3</v>
      </c>
      <c r="X211" s="23">
        <v>3.2165005669951618E-2</v>
      </c>
      <c r="Y211" s="23">
        <f t="shared" si="48"/>
        <v>3.4184025290801667E-2</v>
      </c>
      <c r="Z211" s="22">
        <f t="shared" si="49"/>
        <v>2.8036207451354045E-3</v>
      </c>
      <c r="AA211" s="33"/>
      <c r="AB211" s="50">
        <f t="shared" si="45"/>
        <v>198</v>
      </c>
      <c r="AC211" s="48">
        <f t="shared" si="40"/>
        <v>0.62706167246873024</v>
      </c>
      <c r="AE211" s="48">
        <f t="shared" si="46"/>
        <v>0.9975045692610357</v>
      </c>
      <c r="AF211" s="48">
        <f t="shared" si="50"/>
        <v>0.62706167246873123</v>
      </c>
      <c r="AH211" s="48">
        <f t="shared" si="51"/>
        <v>9.9920072216264089E-16</v>
      </c>
    </row>
    <row r="212" spans="4:34" ht="13.9" customHeight="1">
      <c r="D212" s="8"/>
      <c r="E212" s="9"/>
      <c r="F212" s="18"/>
      <c r="G212" s="18"/>
      <c r="H212" s="18"/>
      <c r="J212" s="40"/>
      <c r="K212" s="40"/>
      <c r="L212" s="40"/>
      <c r="M212" s="38"/>
      <c r="O212" s="12">
        <f t="shared" si="41"/>
        <v>16.583333333333332</v>
      </c>
      <c r="P212" s="13">
        <v>199</v>
      </c>
      <c r="Q212" s="21">
        <v>2.8698200829234022E-2</v>
      </c>
      <c r="R212" s="18">
        <f t="shared" si="42"/>
        <v>3.0480259179215263E-2</v>
      </c>
      <c r="S212" s="21">
        <v>2.8732612887929276E-2</v>
      </c>
      <c r="T212" s="18">
        <f t="shared" si="43"/>
        <v>3.0815157544714422E-2</v>
      </c>
      <c r="U212" s="23">
        <v>3.3033359499946569E-2</v>
      </c>
      <c r="V212" s="23">
        <f t="shared" si="44"/>
        <v>3.5040454966477563E-2</v>
      </c>
      <c r="W212" s="22">
        <f t="shared" si="47"/>
        <v>2.8730858063470421E-3</v>
      </c>
      <c r="X212" s="23">
        <v>3.217514163674684E-2</v>
      </c>
      <c r="Y212" s="23">
        <f t="shared" si="48"/>
        <v>3.4196788783718013E-2</v>
      </c>
      <c r="Z212" s="22">
        <f t="shared" si="49"/>
        <v>2.8049878389695415E-3</v>
      </c>
      <c r="AA212" s="33"/>
      <c r="AB212" s="50">
        <f t="shared" si="45"/>
        <v>199</v>
      </c>
      <c r="AC212" s="48">
        <f t="shared" si="40"/>
        <v>0.62549569831849283</v>
      </c>
      <c r="AE212" s="48">
        <f t="shared" si="46"/>
        <v>0.99750267921164359</v>
      </c>
      <c r="AF212" s="48">
        <f t="shared" si="50"/>
        <v>0.6254956983184935</v>
      </c>
      <c r="AH212" s="48">
        <f t="shared" si="51"/>
        <v>0</v>
      </c>
    </row>
    <row r="213" spans="4:34" ht="13.9" customHeight="1">
      <c r="D213" s="8"/>
      <c r="E213" s="9"/>
      <c r="F213" s="18"/>
      <c r="G213" s="18"/>
      <c r="H213" s="18"/>
      <c r="J213" s="40"/>
      <c r="K213" s="40"/>
      <c r="L213" s="40"/>
      <c r="M213" s="38"/>
      <c r="O213" s="12">
        <f t="shared" si="41"/>
        <v>16.666666666666668</v>
      </c>
      <c r="P213" s="13">
        <v>200</v>
      </c>
      <c r="Q213" s="21">
        <v>2.8707103450566596E-2</v>
      </c>
      <c r="R213" s="18">
        <f t="shared" si="42"/>
        <v>3.0497297564040959E-2</v>
      </c>
      <c r="S213" s="21">
        <v>2.8743015138358752E-2</v>
      </c>
      <c r="T213" s="18">
        <f t="shared" si="43"/>
        <v>3.0821008658972637E-2</v>
      </c>
      <c r="U213" s="23">
        <v>3.3043385289502236E-2</v>
      </c>
      <c r="V213" s="23">
        <f t="shared" si="44"/>
        <v>3.504973659194488E-2</v>
      </c>
      <c r="W213" s="22">
        <f t="shared" si="47"/>
        <v>2.8741652554520325E-3</v>
      </c>
      <c r="X213" s="23">
        <v>3.2185240035650819E-2</v>
      </c>
      <c r="Y213" s="23">
        <f t="shared" si="48"/>
        <v>3.4205409748895521E-2</v>
      </c>
      <c r="Z213" s="22">
        <f t="shared" si="49"/>
        <v>2.806019185232822E-3</v>
      </c>
      <c r="AA213" s="33"/>
      <c r="AB213" s="50">
        <f t="shared" si="45"/>
        <v>200</v>
      </c>
      <c r="AC213" s="48">
        <f t="shared" si="40"/>
        <v>0.62393261409753831</v>
      </c>
      <c r="AE213" s="48">
        <f t="shared" si="46"/>
        <v>0.99750104720918853</v>
      </c>
      <c r="AF213" s="48">
        <f t="shared" si="50"/>
        <v>0.62393261409753997</v>
      </c>
      <c r="AH213" s="48">
        <f t="shared" si="51"/>
        <v>1.6653345369377348E-15</v>
      </c>
    </row>
    <row r="214" spans="4:34" ht="13.9" customHeight="1">
      <c r="D214" s="8"/>
      <c r="E214" s="9"/>
      <c r="F214" s="18"/>
      <c r="G214" s="18"/>
      <c r="H214" s="18"/>
      <c r="J214" s="40"/>
      <c r="K214" s="40"/>
      <c r="L214" s="40"/>
      <c r="M214" s="38"/>
      <c r="O214" s="12">
        <f t="shared" si="41"/>
        <v>16.75</v>
      </c>
      <c r="P214" s="13">
        <v>201</v>
      </c>
      <c r="Q214" s="21">
        <v>2.8716002186753187E-2</v>
      </c>
      <c r="R214" s="18">
        <f t="shared" si="42"/>
        <v>3.0511139868416803E-2</v>
      </c>
      <c r="S214" s="21">
        <v>2.8753343039141788E-2</v>
      </c>
      <c r="T214" s="18">
        <f t="shared" si="43"/>
        <v>3.0822502475054803E-2</v>
      </c>
      <c r="U214" s="23">
        <v>3.3053357504193803E-2</v>
      </c>
      <c r="V214" s="23">
        <f t="shared" si="44"/>
        <v>3.5054941833412068E-2</v>
      </c>
      <c r="W214" s="22">
        <f t="shared" si="47"/>
        <v>2.8749146838189521E-3</v>
      </c>
      <c r="X214" s="23">
        <v>3.2195280857490571E-2</v>
      </c>
      <c r="Y214" s="23">
        <f t="shared" si="48"/>
        <v>3.4209900033391749E-2</v>
      </c>
      <c r="Z214" s="22">
        <f t="shared" si="49"/>
        <v>2.8067157904658746E-3</v>
      </c>
      <c r="AA214" s="33"/>
      <c r="AB214" s="50">
        <f t="shared" si="45"/>
        <v>201</v>
      </c>
      <c r="AC214" s="48">
        <f t="shared" si="40"/>
        <v>0.62237257840972471</v>
      </c>
      <c r="AE214" s="48">
        <f t="shared" si="46"/>
        <v>0.99749967279708474</v>
      </c>
      <c r="AF214" s="48">
        <f t="shared" si="50"/>
        <v>0.62237257840972582</v>
      </c>
      <c r="AH214" s="48">
        <f t="shared" si="51"/>
        <v>1.1102230246251565E-15</v>
      </c>
    </row>
    <row r="215" spans="4:34" ht="13.9" customHeight="1">
      <c r="D215" s="8"/>
      <c r="E215" s="9"/>
      <c r="F215" s="18"/>
      <c r="G215" s="18"/>
      <c r="H215" s="18"/>
      <c r="J215" s="40"/>
      <c r="K215" s="40"/>
      <c r="L215" s="40"/>
      <c r="M215" s="38"/>
      <c r="O215" s="12">
        <f t="shared" si="41"/>
        <v>16.833333333333332</v>
      </c>
      <c r="P215" s="13">
        <v>202</v>
      </c>
      <c r="Q215" s="21">
        <v>2.8724881300414173E-2</v>
      </c>
      <c r="R215" s="18">
        <f t="shared" si="42"/>
        <v>3.0521782690404953E-2</v>
      </c>
      <c r="S215" s="21">
        <v>2.8763576165995675E-2</v>
      </c>
      <c r="T215" s="18">
        <f t="shared" si="43"/>
        <v>3.0819654745277481E-2</v>
      </c>
      <c r="U215" s="23">
        <v>3.3063256797927654E-2</v>
      </c>
      <c r="V215" s="23">
        <f t="shared" si="44"/>
        <v>3.5056081024267272E-2</v>
      </c>
      <c r="W215" s="22">
        <f t="shared" si="47"/>
        <v>2.8753349691021945E-3</v>
      </c>
      <c r="X215" s="23">
        <v>3.2205244547572676E-2</v>
      </c>
      <c r="Y215" s="23">
        <f t="shared" si="48"/>
        <v>3.4210271031160477E-2</v>
      </c>
      <c r="Z215" s="22">
        <f t="shared" si="49"/>
        <v>2.8070786196199293E-3</v>
      </c>
      <c r="AA215" s="33"/>
      <c r="AB215" s="50">
        <f t="shared" si="45"/>
        <v>202</v>
      </c>
      <c r="AC215" s="48">
        <f t="shared" si="40"/>
        <v>0.62081574839272691</v>
      </c>
      <c r="AE215" s="48">
        <f t="shared" si="46"/>
        <v>0.99749855621695926</v>
      </c>
      <c r="AF215" s="48">
        <f t="shared" si="50"/>
        <v>0.6208157483927278</v>
      </c>
      <c r="AH215" s="48">
        <f t="shared" si="51"/>
        <v>8.8817841970012523E-16</v>
      </c>
    </row>
    <row r="216" spans="4:34" ht="13.9" customHeight="1">
      <c r="D216" s="8"/>
      <c r="E216" s="9"/>
      <c r="F216" s="18"/>
      <c r="G216" s="18"/>
      <c r="H216" s="18"/>
      <c r="J216" s="40"/>
      <c r="K216" s="40"/>
      <c r="L216" s="40"/>
      <c r="M216" s="38"/>
      <c r="O216" s="12">
        <f t="shared" si="41"/>
        <v>16.916666666666668</v>
      </c>
      <c r="P216" s="13">
        <v>203</v>
      </c>
      <c r="Q216" s="21">
        <v>2.8733725347628081E-2</v>
      </c>
      <c r="R216" s="18">
        <f t="shared" si="42"/>
        <v>3.0529222400451195E-2</v>
      </c>
      <c r="S216" s="21">
        <v>2.8773694573793307E-2</v>
      </c>
      <c r="T216" s="18">
        <f t="shared" si="43"/>
        <v>3.0812480713906076E-2</v>
      </c>
      <c r="U216" s="23">
        <v>3.3073064256166518E-2</v>
      </c>
      <c r="V216" s="23">
        <f t="shared" si="44"/>
        <v>3.5053164077738952E-2</v>
      </c>
      <c r="W216" s="22">
        <f t="shared" si="47"/>
        <v>2.8754269501964913E-3</v>
      </c>
      <c r="X216" s="23">
        <v>3.2215111992032197E-2</v>
      </c>
      <c r="Y216" s="23">
        <f t="shared" si="48"/>
        <v>3.4206533698402319E-2</v>
      </c>
      <c r="Z216" s="22">
        <f t="shared" si="49"/>
        <v>2.8071085973455645E-3</v>
      </c>
      <c r="AA216" s="33"/>
      <c r="AB216" s="50">
        <f t="shared" si="45"/>
        <v>203</v>
      </c>
      <c r="AC216" s="48">
        <f t="shared" si="40"/>
        <v>0.61926227973749337</v>
      </c>
      <c r="AE216" s="48">
        <f t="shared" si="46"/>
        <v>0.99749769773196661</v>
      </c>
      <c r="AF216" s="48">
        <f t="shared" si="50"/>
        <v>0.61926227973749381</v>
      </c>
      <c r="AH216" s="48">
        <f t="shared" si="51"/>
        <v>0</v>
      </c>
    </row>
    <row r="217" spans="4:34" ht="13.9" customHeight="1">
      <c r="D217" s="8"/>
      <c r="E217" s="9"/>
      <c r="F217" s="18"/>
      <c r="G217" s="18"/>
      <c r="H217" s="18"/>
      <c r="J217" s="40"/>
      <c r="K217" s="40"/>
      <c r="L217" s="40"/>
      <c r="M217" s="38"/>
      <c r="O217" s="12">
        <f t="shared" si="41"/>
        <v>17</v>
      </c>
      <c r="P217" s="13">
        <v>204</v>
      </c>
      <c r="Q217" s="21">
        <v>2.8742519169483893E-2</v>
      </c>
      <c r="R217" s="18">
        <f t="shared" si="42"/>
        <v>3.0533463443870534E-2</v>
      </c>
      <c r="S217" s="21">
        <v>2.8783678782090316E-2</v>
      </c>
      <c r="T217" s="18">
        <f t="shared" si="43"/>
        <v>3.0800995135325637E-2</v>
      </c>
      <c r="U217" s="23">
        <v>3.3082761383079751E-2</v>
      </c>
      <c r="V217" s="23">
        <f t="shared" si="44"/>
        <v>3.5046200501272606E-2</v>
      </c>
      <c r="W217" s="22">
        <f t="shared" si="47"/>
        <v>2.8751914285158886E-3</v>
      </c>
      <c r="X217" s="23">
        <v>3.222486450466433E-2</v>
      </c>
      <c r="Y217" s="23">
        <f t="shared" si="48"/>
        <v>3.4198698568492336E-2</v>
      </c>
      <c r="Z217" s="22">
        <f t="shared" si="49"/>
        <v>2.8068066092674648E-3</v>
      </c>
      <c r="AA217" s="33"/>
      <c r="AB217" s="50">
        <f t="shared" si="45"/>
        <v>204</v>
      </c>
      <c r="AC217" s="48">
        <f t="shared" si="40"/>
        <v>0.61771232670754095</v>
      </c>
      <c r="AE217" s="48">
        <f t="shared" si="46"/>
        <v>0.9974970976262123</v>
      </c>
      <c r="AF217" s="48">
        <f t="shared" si="50"/>
        <v>0.61771232670754161</v>
      </c>
      <c r="AH217" s="48">
        <f t="shared" si="51"/>
        <v>0</v>
      </c>
    </row>
    <row r="218" spans="4:34" ht="13.9" customHeight="1">
      <c r="D218" s="8"/>
      <c r="E218" s="9"/>
      <c r="F218" s="18"/>
      <c r="G218" s="18"/>
      <c r="H218" s="18"/>
      <c r="J218" s="40"/>
      <c r="K218" s="40"/>
      <c r="L218" s="40"/>
      <c r="M218" s="38"/>
      <c r="O218" s="12">
        <f t="shared" si="41"/>
        <v>17.083333333333332</v>
      </c>
      <c r="P218" s="13">
        <v>205</v>
      </c>
      <c r="Q218" s="21">
        <v>2.8751247924311496E-2</v>
      </c>
      <c r="R218" s="18">
        <f t="shared" si="42"/>
        <v>3.0534534957516568E-2</v>
      </c>
      <c r="S218" s="21">
        <v>2.8793509761170455E-2</v>
      </c>
      <c r="T218" s="18">
        <f t="shared" si="43"/>
        <v>3.0785212291098318E-2</v>
      </c>
      <c r="U218" s="23">
        <v>3.3092330089143696E-2</v>
      </c>
      <c r="V218" s="23">
        <f t="shared" si="44"/>
        <v>3.5035199410697437E-2</v>
      </c>
      <c r="W218" s="22">
        <f t="shared" si="47"/>
        <v>2.8746291691830184E-3</v>
      </c>
      <c r="X218" s="23">
        <v>3.2234483814218784E-2</v>
      </c>
      <c r="Y218" s="23">
        <f t="shared" si="48"/>
        <v>3.4186775767138355E-2</v>
      </c>
      <c r="Z218" s="22">
        <f t="shared" si="49"/>
        <v>2.8061735032234303E-3</v>
      </c>
      <c r="AA218" s="33"/>
      <c r="AB218" s="50">
        <f t="shared" si="45"/>
        <v>205</v>
      </c>
      <c r="AC218" s="48">
        <f t="shared" si="40"/>
        <v>0.61616604174478862</v>
      </c>
      <c r="AE218" s="48">
        <f t="shared" si="46"/>
        <v>0.99749675553506623</v>
      </c>
      <c r="AF218" s="48">
        <f t="shared" si="50"/>
        <v>0.61616604174478962</v>
      </c>
      <c r="AH218" s="48">
        <f t="shared" si="51"/>
        <v>9.9920072216264089E-16</v>
      </c>
    </row>
    <row r="219" spans="4:34" ht="13.9" customHeight="1">
      <c r="D219" s="8"/>
      <c r="E219" s="9"/>
      <c r="F219" s="18"/>
      <c r="G219" s="18"/>
      <c r="H219" s="18"/>
      <c r="J219" s="40"/>
      <c r="K219" s="40"/>
      <c r="L219" s="40"/>
      <c r="M219" s="38"/>
      <c r="O219" s="12">
        <f t="shared" si="41"/>
        <v>17.166666666666668</v>
      </c>
      <c r="P219" s="13">
        <v>206</v>
      </c>
      <c r="Q219" s="21">
        <v>2.8759897199501783E-2</v>
      </c>
      <c r="R219" s="18">
        <f t="shared" si="42"/>
        <v>3.0532441035206581E-2</v>
      </c>
      <c r="S219" s="21">
        <v>2.8803168918586586E-2</v>
      </c>
      <c r="T219" s="18">
        <f t="shared" si="43"/>
        <v>3.0765146006808131E-2</v>
      </c>
      <c r="U219" s="23">
        <v>3.3101752679177476E-2</v>
      </c>
      <c r="V219" s="23">
        <f t="shared" si="44"/>
        <v>3.5020169544849544E-2</v>
      </c>
      <c r="W219" s="22">
        <f t="shared" si="47"/>
        <v>2.8737409022010496E-3</v>
      </c>
      <c r="X219" s="23">
        <v>3.2243952052143365E-2</v>
      </c>
      <c r="Y219" s="23">
        <f t="shared" si="48"/>
        <v>3.4170775027067002E-2</v>
      </c>
      <c r="Z219" s="22">
        <f t="shared" si="49"/>
        <v>2.8052100905191502E-3</v>
      </c>
      <c r="AA219" s="33"/>
      <c r="AB219" s="50">
        <f t="shared" si="45"/>
        <v>206</v>
      </c>
      <c r="AC219" s="48">
        <f t="shared" si="40"/>
        <v>0.61462357425594594</v>
      </c>
      <c r="AE219" s="48">
        <f t="shared" si="46"/>
        <v>0.99749666910484813</v>
      </c>
      <c r="AF219" s="48">
        <f t="shared" si="50"/>
        <v>0.61462357425594649</v>
      </c>
      <c r="AH219" s="48">
        <f t="shared" si="51"/>
        <v>0</v>
      </c>
    </row>
    <row r="220" spans="4:34" ht="13.9" customHeight="1">
      <c r="D220" s="8"/>
      <c r="E220" s="9"/>
      <c r="F220" s="18"/>
      <c r="G220" s="18"/>
      <c r="H220" s="18"/>
      <c r="J220" s="40"/>
      <c r="K220" s="40"/>
      <c r="L220" s="40"/>
      <c r="M220" s="38"/>
      <c r="O220" s="12">
        <f t="shared" si="41"/>
        <v>17.25</v>
      </c>
      <c r="P220" s="13">
        <v>207</v>
      </c>
      <c r="Q220" s="21">
        <v>2.8768452880243212E-2</v>
      </c>
      <c r="R220" s="18">
        <f t="shared" si="42"/>
        <v>3.0527177289168428E-2</v>
      </c>
      <c r="S220" s="21">
        <v>2.8812638086178177E-2</v>
      </c>
      <c r="T220" s="18">
        <f t="shared" si="43"/>
        <v>3.0740809669032032E-2</v>
      </c>
      <c r="U220" s="23">
        <v>3.3111011840799787E-2</v>
      </c>
      <c r="V220" s="23">
        <f t="shared" si="44"/>
        <v>3.5001119279643333E-2</v>
      </c>
      <c r="W220" s="22">
        <f t="shared" si="47"/>
        <v>2.8725273236582805E-3</v>
      </c>
      <c r="X220" s="23">
        <v>3.2253251740758326E-2</v>
      </c>
      <c r="Y220" s="23">
        <f t="shared" si="48"/>
        <v>3.4150705702667983E-2</v>
      </c>
      <c r="Z220" s="22">
        <f t="shared" si="49"/>
        <v>2.8039171471434532E-3</v>
      </c>
      <c r="AA220" s="33"/>
      <c r="AB220" s="50">
        <f t="shared" si="45"/>
        <v>207</v>
      </c>
      <c r="AC220" s="48">
        <f t="shared" si="40"/>
        <v>0.61308507188331618</v>
      </c>
      <c r="AE220" s="48">
        <f t="shared" si="46"/>
        <v>0.99749683800447897</v>
      </c>
      <c r="AF220" s="48">
        <f t="shared" si="50"/>
        <v>0.61308507188331773</v>
      </c>
      <c r="AH220" s="48">
        <f t="shared" si="51"/>
        <v>1.5543122344752192E-15</v>
      </c>
    </row>
    <row r="221" spans="4:34" ht="13.9" customHeight="1">
      <c r="D221" s="8"/>
      <c r="E221" s="9"/>
      <c r="F221" s="18"/>
      <c r="G221" s="18"/>
      <c r="H221" s="18"/>
      <c r="J221" s="40"/>
      <c r="K221" s="40"/>
      <c r="L221" s="40"/>
      <c r="M221" s="38"/>
      <c r="O221" s="12">
        <f t="shared" si="41"/>
        <v>17.333333333333332</v>
      </c>
      <c r="P221" s="13">
        <v>208</v>
      </c>
      <c r="Q221" s="21">
        <v>2.8776901101527974E-2</v>
      </c>
      <c r="R221" s="18">
        <f t="shared" si="42"/>
        <v>3.0518739146954799E-2</v>
      </c>
      <c r="S221" s="21">
        <v>2.8821899507550874E-2</v>
      </c>
      <c r="T221" s="18">
        <f t="shared" si="43"/>
        <v>3.0712216241888468E-2</v>
      </c>
      <c r="U221" s="23">
        <v>3.3120090633290911E-2</v>
      </c>
      <c r="V221" s="23">
        <f t="shared" si="44"/>
        <v>3.4978056641931987E-2</v>
      </c>
      <c r="W221" s="22">
        <f t="shared" si="47"/>
        <v>2.8709890968887652E-3</v>
      </c>
      <c r="X221" s="23">
        <v>3.2262365781845714E-2</v>
      </c>
      <c r="Y221" s="23">
        <f t="shared" si="48"/>
        <v>3.4126576784578644E-2</v>
      </c>
      <c r="Z221" s="22">
        <f t="shared" si="49"/>
        <v>2.8022954149773405E-3</v>
      </c>
      <c r="AA221" s="33"/>
      <c r="AB221" s="50">
        <f t="shared" si="45"/>
        <v>208</v>
      </c>
      <c r="AC221" s="48">
        <f t="shared" si="40"/>
        <v>0.61155068093813991</v>
      </c>
      <c r="AE221" s="48">
        <f t="shared" si="46"/>
        <v>0.99749726258957272</v>
      </c>
      <c r="AF221" s="48">
        <f t="shared" si="50"/>
        <v>0.61155068093814091</v>
      </c>
      <c r="AH221" s="48">
        <f t="shared" si="51"/>
        <v>9.9920072216264089E-16</v>
      </c>
    </row>
    <row r="222" spans="4:34" ht="13.9" customHeight="1">
      <c r="D222" s="8"/>
      <c r="E222" s="9"/>
      <c r="F222" s="18"/>
      <c r="G222" s="18"/>
      <c r="H222" s="18"/>
      <c r="J222" s="40"/>
      <c r="K222" s="40"/>
      <c r="L222" s="40"/>
      <c r="M222" s="38"/>
      <c r="O222" s="12">
        <f t="shared" si="41"/>
        <v>17.416666666666668</v>
      </c>
      <c r="P222" s="13">
        <v>209</v>
      </c>
      <c r="Q222" s="21">
        <v>2.8785228241167804E-2</v>
      </c>
      <c r="R222" s="18">
        <f t="shared" si="42"/>
        <v>3.050712185896276E-2</v>
      </c>
      <c r="S222" s="21">
        <v>2.8830935825999493E-2</v>
      </c>
      <c r="T222" s="18">
        <f t="shared" si="43"/>
        <v>3.0679378283642755E-2</v>
      </c>
      <c r="U222" s="23">
        <v>3.3128972476844876E-2</v>
      </c>
      <c r="V222" s="23">
        <f t="shared" si="44"/>
        <v>3.4950989324074921E-2</v>
      </c>
      <c r="W222" s="22">
        <f t="shared" si="47"/>
        <v>2.8691268536120695E-3</v>
      </c>
      <c r="X222" s="23">
        <v>3.2271277445641733E-2</v>
      </c>
      <c r="Y222" s="23">
        <f t="shared" si="48"/>
        <v>3.4098396914063134E-2</v>
      </c>
      <c r="Z222" s="22">
        <f t="shared" si="49"/>
        <v>2.8003456029987994E-3</v>
      </c>
      <c r="AA222" s="33"/>
      <c r="AB222" s="50">
        <f t="shared" si="45"/>
        <v>209</v>
      </c>
      <c r="AC222" s="48">
        <f t="shared" si="40"/>
        <v>0.61002054641865811</v>
      </c>
      <c r="AE222" s="48">
        <f t="shared" si="46"/>
        <v>0.99749794323320151</v>
      </c>
      <c r="AF222" s="48">
        <f t="shared" si="50"/>
        <v>0.61002054641865944</v>
      </c>
      <c r="AH222" s="48">
        <f t="shared" si="51"/>
        <v>1.3322676295501878E-15</v>
      </c>
    </row>
    <row r="223" spans="4:34" ht="13.9" customHeight="1">
      <c r="D223" s="8"/>
      <c r="E223" s="9"/>
      <c r="F223" s="18"/>
      <c r="G223" s="18"/>
      <c r="H223" s="18"/>
      <c r="J223" s="40"/>
      <c r="K223" s="40"/>
      <c r="L223" s="40"/>
      <c r="M223" s="38"/>
      <c r="O223" s="12">
        <f t="shared" si="41"/>
        <v>17.5</v>
      </c>
      <c r="P223" s="13">
        <v>210</v>
      </c>
      <c r="Q223" s="21">
        <v>2.8793420913044487E-2</v>
      </c>
      <c r="R223" s="18">
        <f t="shared" si="42"/>
        <v>3.0492328707470984E-2</v>
      </c>
      <c r="S223" s="21">
        <v>2.8839730072860004E-2</v>
      </c>
      <c r="T223" s="18">
        <f t="shared" si="43"/>
        <v>3.0642307962921445E-2</v>
      </c>
      <c r="U223" s="23">
        <v>3.313764114220108E-2</v>
      </c>
      <c r="V223" s="23">
        <f t="shared" si="44"/>
        <v>3.4919924696811933E-2</v>
      </c>
      <c r="W223" s="22">
        <f t="shared" si="47"/>
        <v>2.8669411951309787E-3</v>
      </c>
      <c r="X223" s="23">
        <v>3.227997036021435E-2</v>
      </c>
      <c r="Y223" s="23">
        <f t="shared" si="48"/>
        <v>3.4066174397647142E-2</v>
      </c>
      <c r="Z223" s="22">
        <f t="shared" si="49"/>
        <v>2.7980683884656354E-3</v>
      </c>
      <c r="AA223" s="33"/>
      <c r="AB223" s="50">
        <f t="shared" si="45"/>
        <v>210</v>
      </c>
      <c r="AC223" s="48">
        <f t="shared" si="40"/>
        <v>0.60849481202804123</v>
      </c>
      <c r="AE223" s="48">
        <f t="shared" si="46"/>
        <v>0.9974988803253021</v>
      </c>
      <c r="AF223" s="48">
        <f t="shared" si="50"/>
        <v>0.60849481202804179</v>
      </c>
      <c r="AH223" s="48">
        <f t="shared" si="51"/>
        <v>0</v>
      </c>
    </row>
    <row r="224" spans="4:34" ht="13.9" customHeight="1">
      <c r="D224" s="8"/>
      <c r="E224" s="9"/>
      <c r="F224" s="18"/>
      <c r="G224" s="18"/>
      <c r="H224" s="18"/>
      <c r="J224" s="40"/>
      <c r="K224" s="40"/>
      <c r="L224" s="40"/>
      <c r="M224" s="38"/>
      <c r="O224" s="12">
        <f t="shared" si="41"/>
        <v>17.583333333333332</v>
      </c>
      <c r="P224" s="13">
        <v>211</v>
      </c>
      <c r="Q224" s="21">
        <v>2.8801465999396259E-2</v>
      </c>
      <c r="R224" s="18">
        <f t="shared" si="42"/>
        <v>3.047438744020825E-2</v>
      </c>
      <c r="S224" s="21">
        <v>2.8848265656273631E-2</v>
      </c>
      <c r="T224" s="18">
        <f t="shared" si="43"/>
        <v>3.0601017074885828E-2</v>
      </c>
      <c r="U224" s="23">
        <v>3.3146080740635631E-2</v>
      </c>
      <c r="V224" s="23">
        <f t="shared" si="44"/>
        <v>3.4884869823941012E-2</v>
      </c>
      <c r="W224" s="22">
        <f t="shared" si="47"/>
        <v>2.8644326933888742E-3</v>
      </c>
      <c r="X224" s="23">
        <v>3.2288428501217048E-2</v>
      </c>
      <c r="Y224" s="23">
        <f t="shared" si="48"/>
        <v>3.4029917220697481E-2</v>
      </c>
      <c r="Z224" s="22">
        <f t="shared" si="49"/>
        <v>2.795464418120952E-3</v>
      </c>
      <c r="AA224" s="33"/>
      <c r="AB224" s="50">
        <f t="shared" si="45"/>
        <v>211</v>
      </c>
      <c r="AC224" s="48">
        <f t="shared" si="40"/>
        <v>0.60697361978958131</v>
      </c>
      <c r="AE224" s="48">
        <f t="shared" si="46"/>
        <v>0.99750007361050441</v>
      </c>
      <c r="AF224" s="48">
        <f t="shared" si="50"/>
        <v>0.60697361978958175</v>
      </c>
      <c r="AH224" s="48">
        <f t="shared" si="51"/>
        <v>0</v>
      </c>
    </row>
    <row r="225" spans="4:34" ht="13.9" customHeight="1">
      <c r="D225" s="8"/>
      <c r="E225" s="9"/>
      <c r="F225" s="18"/>
      <c r="G225" s="18"/>
      <c r="H225" s="18"/>
      <c r="J225" s="40"/>
      <c r="K225" s="40"/>
      <c r="L225" s="40"/>
      <c r="M225" s="38"/>
      <c r="O225" s="12">
        <f t="shared" si="41"/>
        <v>17.666666666666668</v>
      </c>
      <c r="P225" s="13">
        <v>212</v>
      </c>
      <c r="Q225" s="21">
        <v>2.8809350759587016E-2</v>
      </c>
      <c r="R225" s="18">
        <f t="shared" si="42"/>
        <v>3.0453301083301021E-2</v>
      </c>
      <c r="S225" s="21">
        <v>2.8856526350350187E-2</v>
      </c>
      <c r="T225" s="18">
        <f t="shared" si="43"/>
        <v>3.0555517056945591E-2</v>
      </c>
      <c r="U225" s="23">
        <v>3.3154275714308623E-2</v>
      </c>
      <c r="V225" s="23">
        <f t="shared" si="44"/>
        <v>3.4845831475830868E-2</v>
      </c>
      <c r="W225" s="22">
        <f t="shared" si="47"/>
        <v>2.8616018921723274E-3</v>
      </c>
      <c r="X225" s="23">
        <v>3.2296636181999405E-2</v>
      </c>
      <c r="Y225" s="23">
        <f t="shared" si="48"/>
        <v>3.3989633062156965E-2</v>
      </c>
      <c r="Z225" s="22">
        <f t="shared" si="49"/>
        <v>2.7925343093095911E-3</v>
      </c>
      <c r="AA225" s="33"/>
      <c r="AB225" s="50">
        <f t="shared" si="45"/>
        <v>212</v>
      </c>
      <c r="AC225" s="48">
        <f t="shared" si="40"/>
        <v>0.60545710886348647</v>
      </c>
      <c r="AE225" s="48">
        <f t="shared" si="46"/>
        <v>0.99750152086243848</v>
      </c>
      <c r="AF225" s="48">
        <f t="shared" si="50"/>
        <v>0.60545710886348725</v>
      </c>
      <c r="AH225" s="48">
        <f t="shared" si="51"/>
        <v>0</v>
      </c>
    </row>
    <row r="226" spans="4:34" ht="13.9" customHeight="1">
      <c r="D226" s="8"/>
      <c r="E226" s="9"/>
      <c r="F226" s="18"/>
      <c r="G226" s="18"/>
      <c r="H226" s="18"/>
      <c r="J226" s="40"/>
      <c r="K226" s="40"/>
      <c r="L226" s="40"/>
      <c r="M226" s="38"/>
      <c r="O226" s="12">
        <f t="shared" si="41"/>
        <v>17.75</v>
      </c>
      <c r="P226" s="13">
        <v>213</v>
      </c>
      <c r="Q226" s="21">
        <v>2.8817062705272622E-2</v>
      </c>
      <c r="R226" s="18">
        <f t="shared" si="42"/>
        <v>3.0429064322745392E-2</v>
      </c>
      <c r="S226" s="21">
        <v>2.8864496284713992E-2</v>
      </c>
      <c r="T226" s="18">
        <f t="shared" si="43"/>
        <v>3.050581900498428E-2</v>
      </c>
      <c r="U226" s="23">
        <v>3.3162210826948924E-2</v>
      </c>
      <c r="V226" s="23">
        <f t="shared" si="44"/>
        <v>3.4802816142088133E-2</v>
      </c>
      <c r="W226" s="22">
        <f t="shared" si="47"/>
        <v>2.8584493082182139E-3</v>
      </c>
      <c r="X226" s="23">
        <v>3.2304578044069387E-2</v>
      </c>
      <c r="Y226" s="23">
        <f t="shared" si="48"/>
        <v>3.3945329308110672E-2</v>
      </c>
      <c r="Z226" s="22">
        <f t="shared" si="49"/>
        <v>2.7892786511882761E-3</v>
      </c>
      <c r="AA226" s="33"/>
      <c r="AB226" s="50">
        <f t="shared" si="45"/>
        <v>213</v>
      </c>
      <c r="AC226" s="48">
        <f t="shared" si="40"/>
        <v>0.60394541678413838</v>
      </c>
      <c r="AE226" s="48">
        <f t="shared" si="46"/>
        <v>0.99750322185136175</v>
      </c>
      <c r="AF226" s="48">
        <f t="shared" si="50"/>
        <v>0.60394541678413916</v>
      </c>
      <c r="AH226" s="48">
        <f t="shared" si="51"/>
        <v>0</v>
      </c>
    </row>
    <row r="227" spans="4:34" ht="13.9" customHeight="1">
      <c r="D227" s="8"/>
      <c r="E227" s="9"/>
      <c r="F227" s="18"/>
      <c r="G227" s="18"/>
      <c r="H227" s="18"/>
      <c r="J227" s="40"/>
      <c r="K227" s="40"/>
      <c r="L227" s="40"/>
      <c r="M227" s="38"/>
      <c r="O227" s="12">
        <f t="shared" si="41"/>
        <v>17.833333333333332</v>
      </c>
      <c r="P227" s="13">
        <v>214</v>
      </c>
      <c r="Q227" s="21">
        <v>2.8824589555483504E-2</v>
      </c>
      <c r="R227" s="18">
        <f t="shared" si="42"/>
        <v>3.0401671708480071E-2</v>
      </c>
      <c r="S227" s="21">
        <v>2.8872159934422381E-2</v>
      </c>
      <c r="T227" s="18">
        <f t="shared" si="43"/>
        <v>3.0451933688911303E-2</v>
      </c>
      <c r="U227" s="23">
        <v>3.3169871154863806E-2</v>
      </c>
      <c r="V227" s="23">
        <f t="shared" si="44"/>
        <v>3.4755830046606428E-2</v>
      </c>
      <c r="W227" s="22">
        <f t="shared" si="47"/>
        <v>2.8549754322511056E-3</v>
      </c>
      <c r="X227" s="23">
        <v>3.2312239047888713E-2</v>
      </c>
      <c r="Y227" s="23">
        <f t="shared" si="48"/>
        <v>3.3897013065892656E-2</v>
      </c>
      <c r="Z227" s="22">
        <f t="shared" si="49"/>
        <v>2.7856980058376113E-3</v>
      </c>
      <c r="AA227" s="33"/>
      <c r="AB227" s="50">
        <f t="shared" si="45"/>
        <v>214</v>
      </c>
      <c r="AC227" s="48">
        <f t="shared" si="40"/>
        <v>0.60243867988139077</v>
      </c>
      <c r="AE227" s="48">
        <f t="shared" si="46"/>
        <v>0.99750517702283281</v>
      </c>
      <c r="AF227" s="48">
        <f t="shared" si="50"/>
        <v>0.60243867988139133</v>
      </c>
      <c r="AH227" s="48">
        <f t="shared" si="51"/>
        <v>0</v>
      </c>
    </row>
    <row r="228" spans="4:34" ht="13.9" customHeight="1">
      <c r="D228" s="8"/>
      <c r="E228" s="9"/>
      <c r="F228" s="18"/>
      <c r="G228" s="18"/>
      <c r="H228" s="18"/>
      <c r="J228" s="40"/>
      <c r="K228" s="40"/>
      <c r="L228" s="40"/>
      <c r="M228" s="38"/>
      <c r="O228" s="12">
        <f t="shared" si="41"/>
        <v>17.916666666666668</v>
      </c>
      <c r="P228" s="13">
        <v>215</v>
      </c>
      <c r="Q228" s="21">
        <v>2.8831919231055991E-2</v>
      </c>
      <c r="R228" s="18">
        <f t="shared" si="42"/>
        <v>3.0371117662235436E-2</v>
      </c>
      <c r="S228" s="21">
        <v>2.8879502110242372E-2</v>
      </c>
      <c r="T228" s="18">
        <f t="shared" si="43"/>
        <v>3.0393871567639064E-2</v>
      </c>
      <c r="U228" s="23">
        <v>3.3177242078270552E-2</v>
      </c>
      <c r="V228" s="23">
        <f t="shared" si="44"/>
        <v>3.4704879159455526E-2</v>
      </c>
      <c r="W228" s="22">
        <f t="shared" si="47"/>
        <v>2.8511807302118441E-3</v>
      </c>
      <c r="X228" s="23">
        <v>3.2319604463993734E-2</v>
      </c>
      <c r="Y228" s="23">
        <f t="shared" si="48"/>
        <v>3.3844691177752795E-2</v>
      </c>
      <c r="Z228" s="22">
        <f t="shared" si="49"/>
        <v>2.7817929094196003E-3</v>
      </c>
      <c r="AA228" s="33"/>
      <c r="AB228" s="50">
        <f t="shared" si="45"/>
        <v>215</v>
      </c>
      <c r="AC228" s="48">
        <f t="shared" si="40"/>
        <v>0.60093703329738779</v>
      </c>
      <c r="AE228" s="48">
        <f t="shared" si="46"/>
        <v>0.9975073868359543</v>
      </c>
      <c r="AF228" s="48">
        <f t="shared" si="50"/>
        <v>0.60093703329738868</v>
      </c>
      <c r="AH228" s="48">
        <f t="shared" si="51"/>
        <v>8.8817841970012523E-16</v>
      </c>
    </row>
    <row r="229" spans="4:34" ht="13.9" customHeight="1">
      <c r="D229" s="8"/>
      <c r="E229" s="9"/>
      <c r="F229" s="18"/>
      <c r="G229" s="18"/>
      <c r="H229" s="18"/>
      <c r="J229" s="40"/>
      <c r="K229" s="40"/>
      <c r="L229" s="40"/>
      <c r="M229" s="38"/>
      <c r="O229" s="12">
        <f t="shared" si="41"/>
        <v>18</v>
      </c>
      <c r="P229" s="13">
        <v>216</v>
      </c>
      <c r="Q229" s="21">
        <v>2.8839039849255066E-2</v>
      </c>
      <c r="R229" s="18">
        <f t="shared" si="42"/>
        <v>3.0337404594905193E-2</v>
      </c>
      <c r="S229" s="21">
        <v>2.8886507949269058E-2</v>
      </c>
      <c r="T229" s="18">
        <f t="shared" si="43"/>
        <v>3.0331642805615289E-2</v>
      </c>
      <c r="U229" s="23">
        <v>3.3184309272927148E-2</v>
      </c>
      <c r="V229" s="23">
        <f t="shared" si="44"/>
        <v>3.4649969211576925E-2</v>
      </c>
      <c r="W229" s="22">
        <f t="shared" si="47"/>
        <v>2.8470656442309838E-3</v>
      </c>
      <c r="X229" s="23">
        <v>3.2326659864430063E-2</v>
      </c>
      <c r="Y229" s="23">
        <f t="shared" si="48"/>
        <v>3.3788370234934417E-2</v>
      </c>
      <c r="Z229" s="22">
        <f t="shared" si="49"/>
        <v>2.7775638732956409E-3</v>
      </c>
      <c r="AA229" s="33"/>
      <c r="AB229" s="50">
        <f t="shared" si="45"/>
        <v>216</v>
      </c>
      <c r="AC229" s="48">
        <f t="shared" si="40"/>
        <v>0.59944061100322765</v>
      </c>
      <c r="AE229" s="48">
        <f t="shared" si="46"/>
        <v>0.99750985176275608</v>
      </c>
      <c r="AF229" s="48">
        <f t="shared" si="50"/>
        <v>0.59944061100322865</v>
      </c>
      <c r="AH229" s="48">
        <f t="shared" si="51"/>
        <v>9.9920072216264089E-16</v>
      </c>
    </row>
    <row r="230" spans="4:34" ht="13.9" customHeight="1">
      <c r="D230" s="8"/>
      <c r="E230" s="9"/>
      <c r="F230" s="18"/>
      <c r="G230" s="18"/>
      <c r="H230" s="18"/>
      <c r="J230" s="40"/>
      <c r="K230" s="40"/>
      <c r="L230" s="40"/>
      <c r="M230" s="38"/>
      <c r="O230" s="12">
        <f t="shared" si="41"/>
        <v>18.083333333333332</v>
      </c>
      <c r="P230" s="13">
        <v>217</v>
      </c>
      <c r="Q230" s="21">
        <v>2.8845939755899774E-2</v>
      </c>
      <c r="R230" s="18">
        <f t="shared" si="42"/>
        <v>3.030055915275276E-2</v>
      </c>
      <c r="S230" s="21">
        <v>2.8893162905883285E-2</v>
      </c>
      <c r="T230" s="18">
        <f t="shared" si="43"/>
        <v>3.0265257287016123E-2</v>
      </c>
      <c r="U230" s="23">
        <v>3.3191058702065179E-2</v>
      </c>
      <c r="V230" s="23">
        <f t="shared" si="44"/>
        <v>3.4591105706971215E-2</v>
      </c>
      <c r="W230" s="22">
        <f t="shared" si="47"/>
        <v>2.8426305938256125E-3</v>
      </c>
      <c r="X230" s="23">
        <v>3.2333391114489851E-2</v>
      </c>
      <c r="Y230" s="23">
        <f t="shared" si="48"/>
        <v>3.3728056591095568E-2</v>
      </c>
      <c r="Z230" s="22">
        <f t="shared" si="49"/>
        <v>2.7730113851791582E-3</v>
      </c>
      <c r="AA230" s="33"/>
      <c r="AB230" s="50">
        <f t="shared" si="45"/>
        <v>217</v>
      </c>
      <c r="AC230" s="48">
        <f t="shared" si="40"/>
        <v>0.59794954542327483</v>
      </c>
      <c r="AE230" s="48">
        <f t="shared" si="46"/>
        <v>0.99751257163331541</v>
      </c>
      <c r="AF230" s="48">
        <f t="shared" si="50"/>
        <v>0.5979495454232765</v>
      </c>
      <c r="AH230" s="48">
        <f t="shared" si="51"/>
        <v>1.6653345369377348E-15</v>
      </c>
    </row>
    <row r="231" spans="4:34" ht="13.9" customHeight="1">
      <c r="D231" s="8"/>
      <c r="E231" s="9"/>
      <c r="F231" s="18"/>
      <c r="G231" s="18"/>
      <c r="H231" s="18"/>
      <c r="J231" s="40"/>
      <c r="K231" s="40"/>
      <c r="L231" s="40"/>
      <c r="M231" s="38"/>
      <c r="O231" s="12">
        <f t="shared" si="41"/>
        <v>18.166666666666668</v>
      </c>
      <c r="P231" s="13">
        <v>218</v>
      </c>
      <c r="Q231" s="21">
        <v>2.885260763103159E-2</v>
      </c>
      <c r="R231" s="18">
        <f t="shared" si="42"/>
        <v>3.0260583582896405E-2</v>
      </c>
      <c r="S231" s="21">
        <v>2.8899452743027076E-2</v>
      </c>
      <c r="T231" s="18">
        <f t="shared" si="43"/>
        <v>3.0194724631280367E-2</v>
      </c>
      <c r="U231" s="23">
        <v>3.3197476608601839E-2</v>
      </c>
      <c r="V231" s="23">
        <f t="shared" si="44"/>
        <v>3.4528293936713306E-2</v>
      </c>
      <c r="W231" s="22">
        <f t="shared" si="47"/>
        <v>2.8378759768956652E-3</v>
      </c>
      <c r="X231" s="23">
        <v>3.2339784364741275E-2</v>
      </c>
      <c r="Y231" s="23">
        <f t="shared" si="48"/>
        <v>3.3663756375380771E-2</v>
      </c>
      <c r="Z231" s="22">
        <f t="shared" si="49"/>
        <v>2.7681359102322833E-3</v>
      </c>
      <c r="AA231" s="33"/>
      <c r="AB231" s="50">
        <f t="shared" si="45"/>
        <v>218</v>
      </c>
      <c r="AC231" s="48">
        <f t="shared" si="40"/>
        <v>0.59646396628171161</v>
      </c>
      <c r="AE231" s="48">
        <f t="shared" si="46"/>
        <v>0.99751554432487732</v>
      </c>
      <c r="AF231" s="48">
        <f t="shared" si="50"/>
        <v>0.59646396628171261</v>
      </c>
      <c r="AH231" s="48">
        <f t="shared" si="51"/>
        <v>9.9920072216264089E-16</v>
      </c>
    </row>
    <row r="232" spans="4:34" ht="13.9" customHeight="1">
      <c r="D232" s="8"/>
      <c r="E232" s="9"/>
      <c r="F232" s="18"/>
      <c r="G232" s="18"/>
      <c r="H232" s="18"/>
      <c r="J232" s="40"/>
      <c r="K232" s="40"/>
      <c r="L232" s="40"/>
      <c r="M232" s="38"/>
      <c r="O232" s="12">
        <f t="shared" si="41"/>
        <v>18.25</v>
      </c>
      <c r="P232" s="13">
        <v>219</v>
      </c>
      <c r="Q232" s="21">
        <v>2.8859032369942472E-2</v>
      </c>
      <c r="R232" s="18">
        <f t="shared" si="42"/>
        <v>3.0217471931785367E-2</v>
      </c>
      <c r="S232" s="21">
        <v>2.8905363523790584E-2</v>
      </c>
      <c r="T232" s="18">
        <f t="shared" si="43"/>
        <v>3.0120054208811364E-2</v>
      </c>
      <c r="U232" s="23">
        <v>3.3203549507632157E-2</v>
      </c>
      <c r="V232" s="23">
        <f t="shared" si="44"/>
        <v>3.44615389915226E-2</v>
      </c>
      <c r="W232" s="22">
        <f t="shared" si="47"/>
        <v>2.8328021708636797E-3</v>
      </c>
      <c r="X232" s="23">
        <v>3.2345826043339132E-2</v>
      </c>
      <c r="Y232" s="23">
        <f t="shared" si="48"/>
        <v>3.3595475507449901E-2</v>
      </c>
      <c r="Z232" s="22">
        <f t="shared" si="49"/>
        <v>2.7629378921343317E-3</v>
      </c>
      <c r="AA232" s="33"/>
      <c r="AB232" s="50">
        <f t="shared" si="45"/>
        <v>219</v>
      </c>
      <c r="AC232" s="48">
        <f t="shared" si="40"/>
        <v>0.59498400180707578</v>
      </c>
      <c r="AE232" s="48">
        <f t="shared" si="46"/>
        <v>0.99751876968551434</v>
      </c>
      <c r="AF232" s="48">
        <f t="shared" si="50"/>
        <v>0.59498400180707611</v>
      </c>
      <c r="AH232" s="48">
        <f t="shared" si="51"/>
        <v>0</v>
      </c>
    </row>
    <row r="233" spans="4:34" ht="13.9" customHeight="1">
      <c r="D233" s="8"/>
      <c r="E233" s="9"/>
      <c r="F233" s="18"/>
      <c r="G233" s="18"/>
      <c r="H233" s="18"/>
      <c r="J233" s="40"/>
      <c r="K233" s="40"/>
      <c r="L233" s="40"/>
      <c r="M233" s="38"/>
      <c r="O233" s="12">
        <f t="shared" si="41"/>
        <v>18.333333333333332</v>
      </c>
      <c r="P233" s="13">
        <v>220</v>
      </c>
      <c r="Q233" s="21">
        <v>2.8865203040956855E-2</v>
      </c>
      <c r="R233" s="18">
        <f t="shared" si="42"/>
        <v>3.0171218158679292E-2</v>
      </c>
      <c r="S233" s="21">
        <v>2.8910881603303684E-2</v>
      </c>
      <c r="T233" s="18">
        <f t="shared" si="43"/>
        <v>3.0041255154557023E-2</v>
      </c>
      <c r="U233" s="23">
        <v>3.3209264179185238E-2</v>
      </c>
      <c r="V233" s="23">
        <f t="shared" si="44"/>
        <v>3.4390845775416956E-2</v>
      </c>
      <c r="W233" s="22">
        <f t="shared" si="47"/>
        <v>2.8274095337008642E-3</v>
      </c>
      <c r="X233" s="23">
        <v>3.23515028486141E-2</v>
      </c>
      <c r="Y233" s="23">
        <f t="shared" si="48"/>
        <v>3.3523219709010732E-2</v>
      </c>
      <c r="Z233" s="22">
        <f t="shared" si="49"/>
        <v>2.7574177543083778E-3</v>
      </c>
      <c r="AA233" s="33"/>
      <c r="AB233" s="50">
        <f t="shared" si="45"/>
        <v>220</v>
      </c>
      <c r="AC233" s="48">
        <f t="shared" si="40"/>
        <v>0.59350977914196901</v>
      </c>
      <c r="AE233" s="48">
        <f t="shared" si="46"/>
        <v>0.99752224822746804</v>
      </c>
      <c r="AF233" s="48">
        <f t="shared" si="50"/>
        <v>0.59350977914197045</v>
      </c>
      <c r="AH233" s="48">
        <f t="shared" si="51"/>
        <v>1.4432899320127035E-15</v>
      </c>
    </row>
    <row r="234" spans="4:34" ht="13.9" customHeight="1">
      <c r="D234" s="8"/>
      <c r="E234" s="9"/>
      <c r="F234" s="18"/>
      <c r="G234" s="18"/>
      <c r="H234" s="18"/>
      <c r="J234" s="40"/>
      <c r="K234" s="40"/>
      <c r="L234" s="40"/>
      <c r="M234" s="38"/>
      <c r="O234" s="12">
        <f t="shared" si="41"/>
        <v>18.416666666666668</v>
      </c>
      <c r="P234" s="13">
        <v>221</v>
      </c>
      <c r="Q234" s="21">
        <v>2.8871108881017626E-2</v>
      </c>
      <c r="R234" s="18">
        <f t="shared" si="42"/>
        <v>3.0121816143086511E-2</v>
      </c>
      <c r="S234" s="21">
        <v>2.8915993620911573E-2</v>
      </c>
      <c r="T234" s="18">
        <f t="shared" si="43"/>
        <v>2.9958336384081852E-2</v>
      </c>
      <c r="U234" s="23">
        <v>3.3214607661240514E-2</v>
      </c>
      <c r="V234" s="23">
        <f t="shared" si="44"/>
        <v>3.4316219018726057E-2</v>
      </c>
      <c r="W234" s="22">
        <f t="shared" si="47"/>
        <v>2.8216984050368765E-3</v>
      </c>
      <c r="X234" s="23">
        <v>3.2356801741919128E-2</v>
      </c>
      <c r="Y234" s="23">
        <f t="shared" si="48"/>
        <v>3.3446994518745887E-2</v>
      </c>
      <c r="Z234" s="22">
        <f t="shared" si="49"/>
        <v>2.7515759008625018E-3</v>
      </c>
      <c r="AA234" s="33"/>
      <c r="AB234" s="50">
        <f t="shared" si="45"/>
        <v>221</v>
      </c>
      <c r="AC234" s="48">
        <f t="shared" si="40"/>
        <v>0.59204142435867468</v>
      </c>
      <c r="AE234" s="48">
        <f t="shared" si="46"/>
        <v>0.99752598047260865</v>
      </c>
      <c r="AF234" s="48">
        <f t="shared" si="50"/>
        <v>0.59204142435867546</v>
      </c>
      <c r="AH234" s="48">
        <f t="shared" si="51"/>
        <v>0</v>
      </c>
    </row>
    <row r="235" spans="4:34" ht="13.9" customHeight="1">
      <c r="D235" s="8"/>
      <c r="E235" s="9"/>
      <c r="F235" s="18"/>
      <c r="G235" s="18"/>
      <c r="H235" s="18"/>
      <c r="J235" s="40"/>
      <c r="K235" s="40"/>
      <c r="L235" s="40"/>
      <c r="M235" s="38"/>
      <c r="O235" s="12">
        <f t="shared" si="41"/>
        <v>18.5</v>
      </c>
      <c r="P235" s="13">
        <v>222</v>
      </c>
      <c r="Q235" s="21">
        <v>2.8876739291426645E-2</v>
      </c>
      <c r="R235" s="18">
        <f t="shared" si="42"/>
        <v>3.0069267709194936E-2</v>
      </c>
      <c r="S235" s="21">
        <v>2.8920686492636571E-2</v>
      </c>
      <c r="T235" s="18">
        <f t="shared" si="43"/>
        <v>2.9871306607733628E-2</v>
      </c>
      <c r="U235" s="23">
        <v>3.3219567242993575E-2</v>
      </c>
      <c r="V235" s="23">
        <f t="shared" si="44"/>
        <v>3.4237663290191733E-2</v>
      </c>
      <c r="W235" s="22">
        <f t="shared" si="47"/>
        <v>2.8156691072189766E-3</v>
      </c>
      <c r="X235" s="23">
        <v>3.2361709940736727E-2</v>
      </c>
      <c r="Y235" s="23">
        <f t="shared" si="48"/>
        <v>3.3366805304872793E-2</v>
      </c>
      <c r="Z235" s="22">
        <f t="shared" si="49"/>
        <v>2.7454127178070387E-3</v>
      </c>
      <c r="AA235" s="33"/>
      <c r="AB235" s="50">
        <f t="shared" si="45"/>
        <v>222</v>
      </c>
      <c r="AC235" s="48">
        <f t="shared" si="40"/>
        <v>0.59057906247463687</v>
      </c>
      <c r="AE235" s="48">
        <f t="shared" si="46"/>
        <v>0.99752996695185381</v>
      </c>
      <c r="AF235" s="48">
        <f t="shared" si="50"/>
        <v>0.59057906247463798</v>
      </c>
      <c r="AH235" s="48">
        <f t="shared" si="51"/>
        <v>1.1102230246251565E-15</v>
      </c>
    </row>
    <row r="236" spans="4:34" ht="13.9" customHeight="1">
      <c r="D236" s="8"/>
      <c r="E236" s="9"/>
      <c r="F236" s="18"/>
      <c r="G236" s="18"/>
      <c r="H236" s="18"/>
      <c r="J236" s="40"/>
      <c r="K236" s="40"/>
      <c r="L236" s="40"/>
      <c r="M236" s="38"/>
      <c r="O236" s="12">
        <f t="shared" si="41"/>
        <v>18.583333333333332</v>
      </c>
      <c r="P236" s="13">
        <v>223</v>
      </c>
      <c r="Q236" s="21">
        <v>2.888208386964064E-2</v>
      </c>
      <c r="R236" s="18">
        <f t="shared" si="42"/>
        <v>3.0013598684639708E-2</v>
      </c>
      <c r="S236" s="21">
        <v>2.8924947403908829E-2</v>
      </c>
      <c r="T236" s="18">
        <f t="shared" si="43"/>
        <v>2.9780174345254373E-2</v>
      </c>
      <c r="U236" s="23">
        <v>3.3224130458359591E-2</v>
      </c>
      <c r="V236" s="23">
        <f t="shared" si="44"/>
        <v>3.4155183011529866E-2</v>
      </c>
      <c r="W236" s="22">
        <f t="shared" si="47"/>
        <v>2.8093219462965724E-3</v>
      </c>
      <c r="X236" s="23">
        <v>3.2366214912031843E-2</v>
      </c>
      <c r="Y236" s="23">
        <f t="shared" si="48"/>
        <v>3.3282657278557837E-2</v>
      </c>
      <c r="Z236" s="22">
        <f t="shared" si="49"/>
        <v>2.7389285740793134E-3</v>
      </c>
      <c r="AA236" s="33"/>
      <c r="AB236" s="50">
        <f t="shared" si="45"/>
        <v>223</v>
      </c>
      <c r="AC236" s="48">
        <f t="shared" si="40"/>
        <v>0.58912281708575032</v>
      </c>
      <c r="AE236" s="48">
        <f t="shared" si="46"/>
        <v>0.99753420755760525</v>
      </c>
      <c r="AF236" s="48">
        <f t="shared" si="50"/>
        <v>0.58912281708575143</v>
      </c>
      <c r="AH236" s="48">
        <f t="shared" si="51"/>
        <v>1.1102230246251565E-15</v>
      </c>
    </row>
    <row r="237" spans="4:34" ht="13.9" customHeight="1">
      <c r="D237" s="8"/>
      <c r="E237" s="9"/>
      <c r="F237" s="18"/>
      <c r="G237" s="18"/>
      <c r="H237" s="18"/>
      <c r="J237" s="40"/>
      <c r="K237" s="40"/>
      <c r="L237" s="40"/>
      <c r="M237" s="38"/>
      <c r="O237" s="12">
        <f t="shared" si="41"/>
        <v>18.666666666666668</v>
      </c>
      <c r="P237" s="13">
        <v>224</v>
      </c>
      <c r="Q237" s="21">
        <v>2.8887132511840274E-2</v>
      </c>
      <c r="R237" s="18">
        <f t="shared" si="42"/>
        <v>2.9954810819745159E-2</v>
      </c>
      <c r="S237" s="21">
        <v>2.8928763802559265E-2</v>
      </c>
      <c r="T237" s="18">
        <f t="shared" si="43"/>
        <v>2.9684947940566531E-2</v>
      </c>
      <c r="U237" s="23">
        <v>3.3228285079716313E-2</v>
      </c>
      <c r="V237" s="23">
        <f t="shared" si="44"/>
        <v>3.4068782468838599E-2</v>
      </c>
      <c r="W237" s="22">
        <f t="shared" si="47"/>
        <v>2.8026572132038297E-3</v>
      </c>
      <c r="X237" s="23">
        <v>3.2370304365842761E-2</v>
      </c>
      <c r="Y237" s="23">
        <f t="shared" si="48"/>
        <v>3.3194555507363388E-2</v>
      </c>
      <c r="Z237" s="22">
        <f t="shared" si="49"/>
        <v>2.7321238226349909E-3</v>
      </c>
      <c r="AA237" s="33"/>
      <c r="AB237" s="50">
        <f t="shared" si="45"/>
        <v>224</v>
      </c>
      <c r="AC237" s="48">
        <f t="shared" si="40"/>
        <v>0.58767280924188925</v>
      </c>
      <c r="AE237" s="48">
        <f t="shared" si="46"/>
        <v>0.99753870024754066</v>
      </c>
      <c r="AF237" s="48">
        <f t="shared" si="50"/>
        <v>0.58767280924189014</v>
      </c>
      <c r="AH237" s="48">
        <f t="shared" si="51"/>
        <v>8.8817841970012523E-16</v>
      </c>
    </row>
    <row r="238" spans="4:34" ht="13.9" customHeight="1">
      <c r="D238" s="8"/>
      <c r="E238" s="9"/>
      <c r="F238" s="18"/>
      <c r="G238" s="18"/>
      <c r="H238" s="18"/>
      <c r="J238" s="40"/>
      <c r="K238" s="40"/>
      <c r="L238" s="40"/>
      <c r="M238" s="38"/>
      <c r="O238" s="12">
        <f t="shared" si="41"/>
        <v>18.75</v>
      </c>
      <c r="P238" s="13">
        <v>225</v>
      </c>
      <c r="Q238" s="21">
        <v>2.8891875299326353E-2</v>
      </c>
      <c r="R238" s="18">
        <f t="shared" si="42"/>
        <v>2.9892897805292806E-2</v>
      </c>
      <c r="S238" s="21">
        <v>2.893212339206741E-2</v>
      </c>
      <c r="T238" s="18">
        <f t="shared" si="43"/>
        <v>2.9585635575970715E-2</v>
      </c>
      <c r="U238" s="23">
        <v>3.323201911186735E-2</v>
      </c>
      <c r="V238" s="23">
        <f t="shared" si="44"/>
        <v>3.3978465826442372E-2</v>
      </c>
      <c r="W238" s="22">
        <f t="shared" si="47"/>
        <v>2.7956751846884842E-3</v>
      </c>
      <c r="X238" s="23">
        <v>3.2373966249105379E-2</v>
      </c>
      <c r="Y238" s="23">
        <f t="shared" si="48"/>
        <v>3.3102504928156584E-2</v>
      </c>
      <c r="Z238" s="22">
        <f t="shared" si="49"/>
        <v>2.7249988015454196E-3</v>
      </c>
      <c r="AA238" s="33"/>
      <c r="AB238" s="50">
        <f t="shared" si="45"/>
        <v>225</v>
      </c>
      <c r="AC238" s="48">
        <f t="shared" si="40"/>
        <v>0.58622915861970415</v>
      </c>
      <c r="AE238" s="48">
        <f t="shared" si="46"/>
        <v>0.9975434449246553</v>
      </c>
      <c r="AF238" s="48">
        <f t="shared" si="50"/>
        <v>0.58622915861970493</v>
      </c>
      <c r="AH238" s="48">
        <f t="shared" si="51"/>
        <v>0</v>
      </c>
    </row>
    <row r="239" spans="4:34" ht="13.9" customHeight="1">
      <c r="D239" s="8"/>
      <c r="E239" s="9"/>
      <c r="F239" s="18"/>
      <c r="G239" s="18"/>
      <c r="H239" s="18"/>
      <c r="J239" s="40"/>
      <c r="K239" s="40"/>
      <c r="L239" s="40"/>
      <c r="M239" s="38"/>
      <c r="O239" s="12">
        <f t="shared" si="41"/>
        <v>18.833333333333332</v>
      </c>
      <c r="P239" s="13">
        <v>226</v>
      </c>
      <c r="Q239" s="21">
        <v>2.8896302458707446E-2</v>
      </c>
      <c r="R239" s="18">
        <f t="shared" si="42"/>
        <v>2.9827853292274664E-2</v>
      </c>
      <c r="S239" s="21">
        <v>2.893501412505306E-2</v>
      </c>
      <c r="T239" s="18">
        <f t="shared" si="43"/>
        <v>2.948224528663701E-2</v>
      </c>
      <c r="U239" s="23">
        <v>3.3235320786228373E-2</v>
      </c>
      <c r="V239" s="23">
        <f t="shared" si="44"/>
        <v>3.3884237139535589E-2</v>
      </c>
      <c r="W239" s="22">
        <f t="shared" si="47"/>
        <v>2.7883761244347216E-3</v>
      </c>
      <c r="X239" s="23">
        <v>3.2377188739699969E-2</v>
      </c>
      <c r="Y239" s="23">
        <f t="shared" si="48"/>
        <v>3.300651036038893E-2</v>
      </c>
      <c r="Z239" s="22">
        <f t="shared" si="49"/>
        <v>2.7175538350483475E-3</v>
      </c>
      <c r="AA239" s="33"/>
      <c r="AB239" s="50">
        <f t="shared" si="45"/>
        <v>226</v>
      </c>
      <c r="AC239" s="48">
        <f t="shared" si="40"/>
        <v>0.58479198392102161</v>
      </c>
      <c r="AE239" s="48">
        <f t="shared" si="46"/>
        <v>0.99754844214493366</v>
      </c>
      <c r="AF239" s="48">
        <f t="shared" si="50"/>
        <v>0.58479198392102183</v>
      </c>
      <c r="AH239" s="48">
        <f t="shared" si="51"/>
        <v>0</v>
      </c>
    </row>
    <row r="240" spans="4:34" ht="13.9" customHeight="1">
      <c r="D240" s="8"/>
      <c r="E240" s="9"/>
      <c r="F240" s="18"/>
      <c r="G240" s="18"/>
      <c r="H240" s="18"/>
      <c r="J240" s="40"/>
      <c r="K240" s="40"/>
      <c r="L240" s="40"/>
      <c r="M240" s="38"/>
      <c r="O240" s="12">
        <f t="shared" si="41"/>
        <v>18.916666666666668</v>
      </c>
      <c r="P240" s="13">
        <v>227</v>
      </c>
      <c r="Q240" s="21">
        <v>2.890040435842689E-2</v>
      </c>
      <c r="R240" s="18">
        <f t="shared" si="42"/>
        <v>2.9759670901235546E-2</v>
      </c>
      <c r="S240" s="21">
        <v>2.8937424197007067E-2</v>
      </c>
      <c r="T240" s="18">
        <f t="shared" si="43"/>
        <v>2.9374784974928847E-2</v>
      </c>
      <c r="U240" s="23">
        <v>3.3238178555223818E-2</v>
      </c>
      <c r="V240" s="23">
        <f t="shared" si="44"/>
        <v>3.3786100366425487E-2</v>
      </c>
      <c r="W240" s="22">
        <f t="shared" si="47"/>
        <v>2.7807602840921319E-3</v>
      </c>
      <c r="X240" s="23">
        <v>3.2379960240715766E-2</v>
      </c>
      <c r="Y240" s="23">
        <f t="shared" si="48"/>
        <v>3.2906576519014186E-2</v>
      </c>
      <c r="Z240" s="22">
        <f t="shared" si="49"/>
        <v>2.7097892346286123E-3</v>
      </c>
      <c r="AA240" s="33"/>
      <c r="AB240" s="50">
        <f t="shared" si="45"/>
        <v>227</v>
      </c>
      <c r="AC240" s="48">
        <f t="shared" si="40"/>
        <v>0.58336140288738869</v>
      </c>
      <c r="AE240" s="48">
        <f t="shared" si="46"/>
        <v>0.99755369247019976</v>
      </c>
      <c r="AF240" s="48">
        <f t="shared" si="50"/>
        <v>0.58336140288738902</v>
      </c>
      <c r="AH240" s="48">
        <f t="shared" si="51"/>
        <v>0</v>
      </c>
    </row>
    <row r="241" spans="4:34" ht="13.9" customHeight="1">
      <c r="D241" s="8"/>
      <c r="E241" s="9"/>
      <c r="F241" s="18"/>
      <c r="G241" s="18"/>
      <c r="H241" s="18"/>
      <c r="J241" s="40"/>
      <c r="K241" s="40"/>
      <c r="L241" s="40"/>
      <c r="M241" s="38"/>
      <c r="O241" s="12">
        <f t="shared" si="41"/>
        <v>19</v>
      </c>
      <c r="P241" s="13">
        <v>228</v>
      </c>
      <c r="Q241" s="21">
        <v>2.8904171505421683E-2</v>
      </c>
      <c r="R241" s="18">
        <f t="shared" si="42"/>
        <v>2.9688352151403752E-2</v>
      </c>
      <c r="S241" s="21">
        <v>2.8939342040249727E-2</v>
      </c>
      <c r="T241" s="18">
        <f t="shared" si="43"/>
        <v>2.9263262424292114E-2</v>
      </c>
      <c r="U241" s="23">
        <v>3.3240581086886545E-2</v>
      </c>
      <c r="V241" s="23">
        <f t="shared" si="44"/>
        <v>3.36840593823029E-2</v>
      </c>
      <c r="W241" s="22">
        <f t="shared" si="47"/>
        <v>2.7728279042691373E-3</v>
      </c>
      <c r="X241" s="23">
        <v>3.2382269374923833E-2</v>
      </c>
      <c r="Y241" s="23">
        <f t="shared" si="48"/>
        <v>3.2802708027809269E-2</v>
      </c>
      <c r="Z241" s="22">
        <f t="shared" si="49"/>
        <v>2.7017053000715219E-3</v>
      </c>
      <c r="AA241" s="33"/>
      <c r="AB241" s="50">
        <f t="shared" si="45"/>
        <v>228</v>
      </c>
      <c r="AC241" s="48">
        <f t="shared" si="40"/>
        <v>0.58193753231442891</v>
      </c>
      <c r="AE241" s="48">
        <f t="shared" si="46"/>
        <v>0.99755919646738411</v>
      </c>
      <c r="AF241" s="48">
        <f t="shared" si="50"/>
        <v>0.58193753231442968</v>
      </c>
      <c r="AH241" s="48">
        <f t="shared" si="51"/>
        <v>0</v>
      </c>
    </row>
    <row r="242" spans="4:34" ht="13.9" customHeight="1">
      <c r="D242" s="8"/>
      <c r="E242" s="9"/>
      <c r="F242" s="18"/>
      <c r="G242" s="18"/>
      <c r="H242" s="18"/>
      <c r="J242" s="40"/>
      <c r="K242" s="40"/>
      <c r="L242" s="40"/>
      <c r="M242" s="38"/>
      <c r="O242" s="12">
        <f t="shared" si="41"/>
        <v>19.083333333333332</v>
      </c>
      <c r="P242" s="13">
        <v>229</v>
      </c>
      <c r="Q242" s="21">
        <v>2.8907594576467632E-2</v>
      </c>
      <c r="R242" s="18">
        <f t="shared" si="42"/>
        <v>2.9613922328819875E-2</v>
      </c>
      <c r="S242" s="21">
        <v>2.894075631811277E-2</v>
      </c>
      <c r="T242" s="18">
        <f t="shared" si="43"/>
        <v>2.9147685314008465E-2</v>
      </c>
      <c r="U242" s="23">
        <v>3.3242517259660209E-2</v>
      </c>
      <c r="V242" s="23">
        <f t="shared" si="44"/>
        <v>3.3578117991113654E-2</v>
      </c>
      <c r="W242" s="22">
        <f t="shared" si="47"/>
        <v>2.7645792156516524E-3</v>
      </c>
      <c r="X242" s="23">
        <v>3.2384104979455763E-2</v>
      </c>
      <c r="Y242" s="23">
        <f t="shared" si="48"/>
        <v>3.269490943215736E-2</v>
      </c>
      <c r="Z242" s="22">
        <f t="shared" si="49"/>
        <v>2.6933023205459872E-3</v>
      </c>
      <c r="AA242" s="33"/>
      <c r="AB242" s="50">
        <f t="shared" si="45"/>
        <v>229</v>
      </c>
      <c r="AC242" s="48">
        <f t="shared" si="40"/>
        <v>0.58052048769391862</v>
      </c>
      <c r="AE242" s="48">
        <f t="shared" si="46"/>
        <v>0.99756495406839507</v>
      </c>
      <c r="AF242" s="48">
        <f t="shared" si="50"/>
        <v>0.58052048769391917</v>
      </c>
      <c r="AH242" s="48">
        <f t="shared" si="51"/>
        <v>0</v>
      </c>
    </row>
    <row r="243" spans="4:34" ht="13.9" customHeight="1">
      <c r="D243" s="8"/>
      <c r="E243" s="9"/>
      <c r="F243" s="18"/>
      <c r="G243" s="18"/>
      <c r="H243" s="18"/>
      <c r="J243" s="40"/>
      <c r="K243" s="40"/>
      <c r="L243" s="40"/>
      <c r="M243" s="38"/>
      <c r="O243" s="12">
        <f t="shared" si="41"/>
        <v>19.166666666666668</v>
      </c>
      <c r="P243" s="13">
        <v>230</v>
      </c>
      <c r="Q243" s="21">
        <v>2.8910664517665774E-2</v>
      </c>
      <c r="R243" s="18">
        <f t="shared" si="42"/>
        <v>2.9536382967731756E-2</v>
      </c>
      <c r="S243" s="21">
        <v>2.8941655919336728E-2</v>
      </c>
      <c r="T243" s="18">
        <f t="shared" si="43"/>
        <v>2.9028061232246882E-2</v>
      </c>
      <c r="U243" s="23">
        <v>3.3243976157390609E-2</v>
      </c>
      <c r="V243" s="23">
        <f t="shared" si="44"/>
        <v>3.3468279938646095E-2</v>
      </c>
      <c r="W243" s="22">
        <f t="shared" si="47"/>
        <v>2.7560144399683129E-3</v>
      </c>
      <c r="X243" s="23">
        <v>3.2385456100676668E-2</v>
      </c>
      <c r="Y243" s="23">
        <f t="shared" si="48"/>
        <v>3.2583185212020638E-2</v>
      </c>
      <c r="Z243" s="22">
        <f t="shared" si="49"/>
        <v>2.6845805756463559E-3</v>
      </c>
      <c r="AA243" s="33"/>
      <c r="AB243" s="50">
        <f t="shared" si="45"/>
        <v>230</v>
      </c>
      <c r="AC243" s="48">
        <f t="shared" si="40"/>
        <v>0.57911038211764587</v>
      </c>
      <c r="AE243" s="48">
        <f t="shared" si="46"/>
        <v>0.99757096328869688</v>
      </c>
      <c r="AF243" s="48">
        <f t="shared" si="50"/>
        <v>0.57911038211764709</v>
      </c>
      <c r="AH243" s="48">
        <f t="shared" si="51"/>
        <v>1.2212453270876722E-15</v>
      </c>
    </row>
    <row r="244" spans="4:34" ht="13.9" customHeight="1">
      <c r="D244" s="8"/>
      <c r="E244" s="9"/>
      <c r="F244" s="18"/>
      <c r="G244" s="18"/>
      <c r="H244" s="18"/>
      <c r="J244" s="40"/>
      <c r="K244" s="40"/>
      <c r="L244" s="40"/>
      <c r="M244" s="38"/>
      <c r="O244" s="12">
        <f t="shared" si="41"/>
        <v>19.25</v>
      </c>
      <c r="P244" s="13">
        <v>231</v>
      </c>
      <c r="Q244" s="21">
        <v>2.8913372435800389E-2</v>
      </c>
      <c r="R244" s="18">
        <f t="shared" si="42"/>
        <v>2.9455727683174171E-2</v>
      </c>
      <c r="S244" s="21">
        <v>2.894202995267392E-2</v>
      </c>
      <c r="T244" s="18">
        <f t="shared" si="43"/>
        <v>2.8904397691153383E-2</v>
      </c>
      <c r="U244" s="23">
        <v>3.3244947064505093E-2</v>
      </c>
      <c r="V244" s="23">
        <f t="shared" si="44"/>
        <v>3.3354548925267569E-2</v>
      </c>
      <c r="W244" s="22">
        <f t="shared" si="47"/>
        <v>2.7471337910529581E-3</v>
      </c>
      <c r="X244" s="23">
        <v>3.238631198925046E-2</v>
      </c>
      <c r="Y244" s="23">
        <f t="shared" si="48"/>
        <v>3.2467539794816869E-2</v>
      </c>
      <c r="Z244" s="22">
        <f t="shared" si="49"/>
        <v>2.6755403364489005E-3</v>
      </c>
      <c r="AA244" s="33"/>
      <c r="AB244" s="50">
        <f t="shared" si="45"/>
        <v>231</v>
      </c>
      <c r="AC244" s="48">
        <f t="shared" si="40"/>
        <v>0.57770732741926523</v>
      </c>
      <c r="AE244" s="48">
        <f t="shared" si="46"/>
        <v>0.99757722406348481</v>
      </c>
      <c r="AF244" s="48">
        <f t="shared" si="50"/>
        <v>0.57770732741926634</v>
      </c>
      <c r="AH244" s="48">
        <f t="shared" si="51"/>
        <v>1.1102230246251565E-15</v>
      </c>
    </row>
    <row r="245" spans="4:34" ht="13.9" customHeight="1">
      <c r="D245" s="8"/>
      <c r="E245" s="9"/>
      <c r="F245" s="18"/>
      <c r="G245" s="18"/>
      <c r="H245" s="18"/>
      <c r="J245" s="40"/>
      <c r="K245" s="40"/>
      <c r="L245" s="40"/>
      <c r="M245" s="38"/>
      <c r="O245" s="12">
        <f t="shared" si="41"/>
        <v>19.333333333333332</v>
      </c>
      <c r="P245" s="13">
        <v>232</v>
      </c>
      <c r="Q245" s="21">
        <v>2.891570956067846E-2</v>
      </c>
      <c r="R245" s="18">
        <f t="shared" si="42"/>
        <v>2.9371950100020694E-2</v>
      </c>
      <c r="S245" s="21">
        <v>2.8941867741696603E-2</v>
      </c>
      <c r="T245" s="18">
        <f t="shared" si="43"/>
        <v>2.8776702139837074E-2</v>
      </c>
      <c r="U245" s="23">
        <v>3.3245419461372272E-2</v>
      </c>
      <c r="V245" s="23">
        <f t="shared" si="44"/>
        <v>3.3236928618158634E-2</v>
      </c>
      <c r="W245" s="22">
        <f t="shared" si="47"/>
        <v>2.7379374758795816E-3</v>
      </c>
      <c r="X245" s="23">
        <v>3.2386662095388541E-2</v>
      </c>
      <c r="Y245" s="23">
        <f t="shared" si="48"/>
        <v>3.2347977568717878E-2</v>
      </c>
      <c r="Z245" s="22">
        <f t="shared" si="49"/>
        <v>2.6661818665603132E-3</v>
      </c>
      <c r="AA245" s="33"/>
      <c r="AB245" s="50">
        <f t="shared" si="45"/>
        <v>232</v>
      </c>
      <c r="AC245" s="48">
        <f t="shared" si="40"/>
        <v>0.57631143456180445</v>
      </c>
      <c r="AE245" s="48">
        <f t="shared" si="46"/>
        <v>0.99758373696990077</v>
      </c>
      <c r="AF245" s="48">
        <f t="shared" si="50"/>
        <v>0.57631143456180578</v>
      </c>
      <c r="AH245" s="48">
        <f t="shared" si="51"/>
        <v>1.3322676295501878E-15</v>
      </c>
    </row>
    <row r="246" spans="4:34" ht="13.9" customHeight="1">
      <c r="D246" s="8"/>
      <c r="E246" s="9"/>
      <c r="F246" s="18"/>
      <c r="G246" s="18"/>
      <c r="H246" s="18"/>
      <c r="J246" s="40"/>
      <c r="K246" s="40"/>
      <c r="L246" s="40"/>
      <c r="M246" s="38"/>
      <c r="O246" s="12">
        <f t="shared" si="41"/>
        <v>19.416666666666668</v>
      </c>
      <c r="P246" s="13">
        <v>233</v>
      </c>
      <c r="Q246" s="21">
        <v>2.8917667242439604E-2</v>
      </c>
      <c r="R246" s="18">
        <f t="shared" si="42"/>
        <v>2.9285043859049287E-2</v>
      </c>
      <c r="S246" s="21">
        <v>2.8941158819797197E-2</v>
      </c>
      <c r="T246" s="18">
        <f t="shared" si="43"/>
        <v>2.8644981978444006E-2</v>
      </c>
      <c r="U246" s="23">
        <v>3.3245383019836039E-2</v>
      </c>
      <c r="V246" s="23">
        <f t="shared" si="44"/>
        <v>3.311542266476164E-2</v>
      </c>
      <c r="W246" s="22">
        <f t="shared" si="47"/>
        <v>2.7284256955579789E-3</v>
      </c>
      <c r="X246" s="23">
        <v>3.238649606427968E-2</v>
      </c>
      <c r="Y246" s="23">
        <f t="shared" si="48"/>
        <v>3.2224502894477425E-2</v>
      </c>
      <c r="Z246" s="22">
        <f t="shared" si="49"/>
        <v>2.656505423201283E-3</v>
      </c>
      <c r="AA246" s="33"/>
      <c r="AB246" s="50">
        <f t="shared" si="45"/>
        <v>233</v>
      </c>
      <c r="AC246" s="48">
        <f t="shared" si="40"/>
        <v>0.57492281365112197</v>
      </c>
      <c r="AE246" s="48">
        <f t="shared" si="46"/>
        <v>0.99759050258695781</v>
      </c>
      <c r="AF246" s="48">
        <f t="shared" si="50"/>
        <v>0.57492281365112252</v>
      </c>
      <c r="AH246" s="48">
        <f t="shared" si="51"/>
        <v>0</v>
      </c>
    </row>
    <row r="247" spans="4:34" ht="13.9" customHeight="1">
      <c r="D247" s="8"/>
      <c r="E247" s="9"/>
      <c r="F247" s="18"/>
      <c r="G247" s="18"/>
      <c r="H247" s="18"/>
      <c r="J247" s="40"/>
      <c r="K247" s="40"/>
      <c r="L247" s="40"/>
      <c r="M247" s="38"/>
      <c r="O247" s="12">
        <f t="shared" si="41"/>
        <v>19.5</v>
      </c>
      <c r="P247" s="13">
        <v>234</v>
      </c>
      <c r="Q247" s="21">
        <v>2.8919236948961924E-2</v>
      </c>
      <c r="R247" s="18">
        <f t="shared" si="42"/>
        <v>2.919501045491546E-2</v>
      </c>
      <c r="S247" s="21">
        <v>2.8939892925378352E-2</v>
      </c>
      <c r="T247" s="18">
        <f t="shared" si="43"/>
        <v>2.8509244572251013E-2</v>
      </c>
      <c r="U247" s="23">
        <v>3.3244827598921667E-2</v>
      </c>
      <c r="V247" s="23">
        <f t="shared" si="44"/>
        <v>3.2990034704381221E-2</v>
      </c>
      <c r="W247" s="22">
        <f t="shared" si="47"/>
        <v>2.7185986464259848E-3</v>
      </c>
      <c r="X247" s="23">
        <v>3.2385803731689533E-2</v>
      </c>
      <c r="Y247" s="23">
        <f t="shared" si="48"/>
        <v>3.209712011963517E-2</v>
      </c>
      <c r="Z247" s="22">
        <f t="shared" si="49"/>
        <v>2.6465112581715022E-3</v>
      </c>
      <c r="AA247" s="33"/>
      <c r="AB247" s="50">
        <f t="shared" si="45"/>
        <v>234</v>
      </c>
      <c r="AC247" s="48">
        <f t="shared" si="40"/>
        <v>0.57354157394933092</v>
      </c>
      <c r="AE247" s="48">
        <f t="shared" si="46"/>
        <v>0.99759752149507031</v>
      </c>
      <c r="AF247" s="48">
        <f t="shared" si="50"/>
        <v>0.57354157394933203</v>
      </c>
      <c r="AH247" s="48">
        <f t="shared" si="51"/>
        <v>1.1102230246251565E-15</v>
      </c>
    </row>
    <row r="248" spans="4:34" ht="13.9" customHeight="1">
      <c r="D248" s="8"/>
      <c r="E248" s="9"/>
      <c r="F248" s="18"/>
      <c r="G248" s="18"/>
      <c r="H248" s="18"/>
      <c r="J248" s="40"/>
      <c r="K248" s="40"/>
      <c r="L248" s="40"/>
      <c r="M248" s="38"/>
      <c r="O248" s="12">
        <f t="shared" si="41"/>
        <v>19.583333333333332</v>
      </c>
      <c r="P248" s="13">
        <v>235</v>
      </c>
      <c r="Q248" s="21">
        <v>2.8920410296676913E-2</v>
      </c>
      <c r="R248" s="18">
        <f t="shared" si="42"/>
        <v>2.9101874906367842E-2</v>
      </c>
      <c r="S248" s="21">
        <v>2.8938059997227095E-2</v>
      </c>
      <c r="T248" s="18">
        <f t="shared" si="43"/>
        <v>2.836949726474991E-2</v>
      </c>
      <c r="U248" s="23">
        <v>3.3243743240703338E-2</v>
      </c>
      <c r="V248" s="23">
        <f t="shared" si="44"/>
        <v>3.2860768381074212E-2</v>
      </c>
      <c r="W248" s="22">
        <f t="shared" si="47"/>
        <v>2.7084565209942735E-3</v>
      </c>
      <c r="X248" s="23">
        <v>3.2384575119733139E-2</v>
      </c>
      <c r="Y248" s="23">
        <f t="shared" si="48"/>
        <v>3.1965833590021253E-2</v>
      </c>
      <c r="Z248" s="22">
        <f t="shared" si="49"/>
        <v>2.6361996190058523E-3</v>
      </c>
      <c r="AA248" s="33"/>
      <c r="AB248" s="50">
        <f t="shared" si="45"/>
        <v>235</v>
      </c>
      <c r="AC248" s="48">
        <f t="shared" si="40"/>
        <v>0.57216782352537821</v>
      </c>
      <c r="AE248" s="48">
        <f t="shared" si="46"/>
        <v>0.99760479364295529</v>
      </c>
      <c r="AF248" s="48">
        <f t="shared" si="50"/>
        <v>0.5721678235253792</v>
      </c>
      <c r="AH248" s="48">
        <f t="shared" si="51"/>
        <v>9.9920072216264089E-16</v>
      </c>
    </row>
    <row r="249" spans="4:34" ht="13.9" customHeight="1">
      <c r="D249" s="8"/>
      <c r="E249" s="9"/>
      <c r="F249" s="18"/>
      <c r="G249" s="18"/>
      <c r="H249" s="18"/>
      <c r="J249" s="40"/>
      <c r="K249" s="40"/>
      <c r="L249" s="40"/>
      <c r="M249" s="38"/>
      <c r="O249" s="12">
        <f t="shared" si="41"/>
        <v>19.666666666666668</v>
      </c>
      <c r="P249" s="13">
        <v>236</v>
      </c>
      <c r="Q249" s="21">
        <v>2.8921179147004983E-2</v>
      </c>
      <c r="R249" s="18">
        <f t="shared" si="42"/>
        <v>2.9005638808947243E-2</v>
      </c>
      <c r="S249" s="21">
        <v>2.8935650170064386E-2</v>
      </c>
      <c r="T249" s="18">
        <f t="shared" si="43"/>
        <v>2.8225747391600553E-2</v>
      </c>
      <c r="U249" s="23">
        <v>3.3242120166331768E-2</v>
      </c>
      <c r="V249" s="23">
        <f t="shared" si="44"/>
        <v>3.2727627356724964E-2</v>
      </c>
      <c r="W249" s="22">
        <f t="shared" si="47"/>
        <v>2.6979995089948527E-3</v>
      </c>
      <c r="X249" s="23">
        <v>3.2382800432806169E-2</v>
      </c>
      <c r="Y249" s="23">
        <f t="shared" si="48"/>
        <v>3.1830647662871359E-2</v>
      </c>
      <c r="Z249" s="22">
        <f t="shared" si="49"/>
        <v>2.6255707499156511E-3</v>
      </c>
      <c r="AA249" s="33"/>
      <c r="AB249" s="50">
        <f t="shared" si="45"/>
        <v>236</v>
      </c>
      <c r="AC249" s="48">
        <f t="shared" si="40"/>
        <v>0.57080166818660261</v>
      </c>
      <c r="AE249" s="48">
        <f t="shared" si="46"/>
        <v>0.99761231708144826</v>
      </c>
      <c r="AF249" s="48">
        <f t="shared" si="50"/>
        <v>0.57080166818660272</v>
      </c>
      <c r="AH249" s="48">
        <f t="shared" si="51"/>
        <v>0</v>
      </c>
    </row>
    <row r="250" spans="4:34" ht="13.9" customHeight="1">
      <c r="D250" s="8"/>
      <c r="E250" s="9"/>
      <c r="F250" s="18"/>
      <c r="G250" s="18"/>
      <c r="H250" s="18"/>
      <c r="J250" s="40"/>
      <c r="K250" s="40"/>
      <c r="L250" s="40"/>
      <c r="M250" s="38"/>
      <c r="O250" s="12">
        <f t="shared" si="41"/>
        <v>19.75</v>
      </c>
      <c r="P250" s="13">
        <v>237</v>
      </c>
      <c r="Q250" s="21">
        <v>2.8921535502322682E-2</v>
      </c>
      <c r="R250" s="18">
        <f t="shared" si="42"/>
        <v>2.8906295982130681E-2</v>
      </c>
      <c r="S250" s="21">
        <v>2.8932653770267214E-2</v>
      </c>
      <c r="T250" s="18">
        <f t="shared" si="43"/>
        <v>2.807800229407853E-2</v>
      </c>
      <c r="U250" s="23">
        <v>3.323994877221903E-2</v>
      </c>
      <c r="V250" s="23">
        <f t="shared" si="44"/>
        <v>3.2590615322692251E-2</v>
      </c>
      <c r="W250" s="22">
        <f t="shared" si="47"/>
        <v>2.6872277984459902E-3</v>
      </c>
      <c r="X250" s="23">
        <v>3.2380470053674948E-2</v>
      </c>
      <c r="Y250" s="23">
        <f t="shared" si="48"/>
        <v>3.1691566720287279E-2</v>
      </c>
      <c r="Z250" s="22">
        <f t="shared" si="49"/>
        <v>2.6146248928566873E-3</v>
      </c>
      <c r="AA250" s="33"/>
      <c r="AB250" s="50">
        <f t="shared" si="45"/>
        <v>237</v>
      </c>
      <c r="AC250" s="48">
        <f t="shared" si="40"/>
        <v>0.56944321259050212</v>
      </c>
      <c r="AE250" s="48">
        <f t="shared" si="46"/>
        <v>0.99762009175548461</v>
      </c>
      <c r="AF250" s="48">
        <f t="shared" si="50"/>
        <v>0.56944321259050223</v>
      </c>
      <c r="AH250" s="48">
        <f t="shared" si="51"/>
        <v>0</v>
      </c>
    </row>
    <row r="251" spans="4:34" ht="13.9" customHeight="1">
      <c r="D251" s="8"/>
      <c r="E251" s="9"/>
      <c r="F251" s="18"/>
      <c r="G251" s="18"/>
      <c r="H251" s="18"/>
      <c r="J251" s="40"/>
      <c r="K251" s="40"/>
      <c r="L251" s="40"/>
      <c r="M251" s="38"/>
      <c r="O251" s="12">
        <f t="shared" si="41"/>
        <v>19.833333333333332</v>
      </c>
      <c r="P251" s="13">
        <v>238</v>
      </c>
      <c r="Q251" s="21">
        <v>2.8921471470253035E-2</v>
      </c>
      <c r="R251" s="18">
        <f t="shared" si="42"/>
        <v>2.8803840302402239E-2</v>
      </c>
      <c r="S251" s="21">
        <v>2.8929061311757431E-2</v>
      </c>
      <c r="T251" s="18">
        <f t="shared" si="43"/>
        <v>2.7926269332457787E-2</v>
      </c>
      <c r="U251" s="23">
        <v>3.323721962636994E-2</v>
      </c>
      <c r="V251" s="23">
        <f t="shared" si="44"/>
        <v>3.2449736012928332E-2</v>
      </c>
      <c r="W251" s="22">
        <f t="shared" si="47"/>
        <v>2.676141576601454E-3</v>
      </c>
      <c r="X251" s="23">
        <v>3.2377574539723231E-2</v>
      </c>
      <c r="Y251" s="23">
        <f t="shared" si="48"/>
        <v>3.1548595180482586E-2</v>
      </c>
      <c r="Z251" s="22">
        <f t="shared" si="49"/>
        <v>2.6033622886298957E-3</v>
      </c>
      <c r="AA251" s="33"/>
      <c r="AB251" s="50">
        <f t="shared" si="45"/>
        <v>238</v>
      </c>
      <c r="AC251" s="48">
        <f t="shared" si="40"/>
        <v>0.56809256062162239</v>
      </c>
      <c r="AE251" s="48">
        <f t="shared" si="46"/>
        <v>0.99762811824073661</v>
      </c>
      <c r="AF251" s="48">
        <f t="shared" si="50"/>
        <v>0.5680925606216225</v>
      </c>
      <c r="AH251" s="48">
        <f t="shared" si="51"/>
        <v>0</v>
      </c>
    </row>
    <row r="252" spans="4:34" ht="13.9" customHeight="1">
      <c r="D252" s="8"/>
      <c r="E252" s="9"/>
      <c r="F252" s="18"/>
      <c r="G252" s="18"/>
      <c r="H252" s="18"/>
      <c r="J252" s="40"/>
      <c r="K252" s="40"/>
      <c r="L252" s="40"/>
      <c r="M252" s="38"/>
      <c r="O252" s="12">
        <f t="shared" si="41"/>
        <v>19.916666666666668</v>
      </c>
      <c r="P252" s="13">
        <v>239</v>
      </c>
      <c r="Q252" s="21">
        <v>2.8920979261615853E-2</v>
      </c>
      <c r="R252" s="18">
        <f t="shared" si="42"/>
        <v>2.8698265712117754E-2</v>
      </c>
      <c r="S252" s="21">
        <v>2.8924863492050923E-2</v>
      </c>
      <c r="T252" s="18">
        <f t="shared" si="43"/>
        <v>2.7770555899434557E-2</v>
      </c>
      <c r="U252" s="23">
        <v>3.3233923464861759E-2</v>
      </c>
      <c r="V252" s="23">
        <f t="shared" si="44"/>
        <v>3.2304993215906519E-2</v>
      </c>
      <c r="W252" s="22">
        <f t="shared" si="47"/>
        <v>2.6647410310207675E-3</v>
      </c>
      <c r="X252" s="23">
        <v>3.2374104619342203E-2</v>
      </c>
      <c r="Y252" s="23">
        <f t="shared" si="48"/>
        <v>3.1401737511519423E-2</v>
      </c>
      <c r="Z252" s="22">
        <f t="shared" si="49"/>
        <v>2.5917831778010658E-3</v>
      </c>
      <c r="AA252" s="33"/>
      <c r="AB252" s="50">
        <f t="shared" si="45"/>
        <v>239</v>
      </c>
      <c r="AC252" s="48">
        <f t="shared" si="40"/>
        <v>0.56674981540409919</v>
      </c>
      <c r="AE252" s="48">
        <f t="shared" si="46"/>
        <v>0.99763639711096885</v>
      </c>
      <c r="AF252" s="48">
        <f t="shared" si="50"/>
        <v>0.56674981540410008</v>
      </c>
      <c r="AH252" s="48">
        <f t="shared" si="51"/>
        <v>8.8817841970012523E-16</v>
      </c>
    </row>
    <row r="253" spans="4:34" ht="13.9" customHeight="1">
      <c r="D253" s="8"/>
      <c r="E253" s="9"/>
      <c r="F253" s="18"/>
      <c r="G253" s="18"/>
      <c r="H253" s="18"/>
      <c r="J253" s="40"/>
      <c r="K253" s="40"/>
      <c r="L253" s="40"/>
      <c r="M253" s="38"/>
      <c r="O253" s="12">
        <f t="shared" si="41"/>
        <v>20</v>
      </c>
      <c r="P253" s="13">
        <v>240</v>
      </c>
      <c r="Q253" s="21">
        <v>2.8920051188465523E-2</v>
      </c>
      <c r="R253" s="18">
        <f t="shared" si="42"/>
        <v>2.8590297720427982E-2</v>
      </c>
      <c r="S253" s="21">
        <v>2.8920051188463303E-2</v>
      </c>
      <c r="T253" s="18">
        <f t="shared" si="43"/>
        <v>2.7613267536502617E-2</v>
      </c>
      <c r="U253" s="23">
        <v>3.3230051188462228E-2</v>
      </c>
      <c r="V253" s="23">
        <f t="shared" si="44"/>
        <v>3.2158404002138541E-2</v>
      </c>
      <c r="W253" s="22">
        <f t="shared" si="47"/>
        <v>2.6530263505419871E-3</v>
      </c>
      <c r="X253" s="23">
        <v>3.2370051188468141E-2</v>
      </c>
      <c r="Y253" s="23">
        <f t="shared" si="48"/>
        <v>3.125308512487468E-2</v>
      </c>
      <c r="Z253" s="22">
        <f t="shared" si="49"/>
        <v>2.5798878018234994E-3</v>
      </c>
      <c r="AA253" s="33"/>
      <c r="AB253" s="50">
        <f t="shared" si="45"/>
        <v>240</v>
      </c>
      <c r="AC253" s="48">
        <f t="shared" si="40"/>
        <v>0.56541507931407231</v>
      </c>
      <c r="AE253" s="48">
        <f t="shared" si="46"/>
        <v>0.99764492893733847</v>
      </c>
      <c r="AF253" s="48">
        <f t="shared" si="50"/>
        <v>0.56541507931407309</v>
      </c>
      <c r="AH253" s="48">
        <f t="shared" si="51"/>
        <v>0</v>
      </c>
    </row>
    <row r="254" spans="4:34" ht="13.9" customHeight="1">
      <c r="D254" s="8"/>
      <c r="E254" s="9"/>
      <c r="F254" s="18"/>
      <c r="G254" s="18"/>
      <c r="H254" s="18"/>
      <c r="J254" s="40"/>
      <c r="K254" s="40"/>
      <c r="L254" s="40"/>
      <c r="M254" s="38"/>
      <c r="O254" s="12">
        <f t="shared" si="41"/>
        <v>20.083333333333332</v>
      </c>
      <c r="P254" s="13">
        <v>241</v>
      </c>
      <c r="Q254" s="21">
        <v>2.8918682698421794E-2</v>
      </c>
      <c r="R254" s="18">
        <f t="shared" si="42"/>
        <v>2.848285687025065E-2</v>
      </c>
      <c r="S254" s="21">
        <v>2.89146254177155E-2</v>
      </c>
      <c r="T254" s="18">
        <f t="shared" si="43"/>
        <v>2.7463977960644259E-2</v>
      </c>
      <c r="U254" s="23">
        <v>3.3225602221620409E-2</v>
      </c>
      <c r="V254" s="23">
        <f t="shared" si="44"/>
        <v>3.2018009222548827E-2</v>
      </c>
      <c r="W254" s="22">
        <f t="shared" si="47"/>
        <v>2.641160696609024E-3</v>
      </c>
      <c r="X254" s="23">
        <v>3.2365413975866897E-2</v>
      </c>
      <c r="Y254" s="23">
        <f t="shared" si="48"/>
        <v>3.1110972379865043E-2</v>
      </c>
      <c r="Z254" s="22">
        <f t="shared" si="49"/>
        <v>2.5678454735997835E-3</v>
      </c>
      <c r="AA254" s="33"/>
      <c r="AB254" s="50">
        <f t="shared" si="45"/>
        <v>241</v>
      </c>
      <c r="AC254" s="48">
        <f t="shared" si="40"/>
        <v>0.56408842056219266</v>
      </c>
      <c r="AE254" s="48">
        <f t="shared" si="46"/>
        <v>0.9976536551634082</v>
      </c>
      <c r="AF254" s="48">
        <f t="shared" si="50"/>
        <v>0.56408842056219333</v>
      </c>
      <c r="AH254" s="48">
        <f t="shared" si="51"/>
        <v>0</v>
      </c>
    </row>
    <row r="255" spans="4:34" ht="13.9" customHeight="1">
      <c r="D255" s="8"/>
      <c r="E255" s="9"/>
      <c r="F255" s="18"/>
      <c r="G255" s="18"/>
      <c r="H255" s="18"/>
      <c r="J255" s="40"/>
      <c r="K255" s="40"/>
      <c r="L255" s="40"/>
      <c r="M255" s="38"/>
      <c r="O255" s="12">
        <f t="shared" si="41"/>
        <v>20.166666666666668</v>
      </c>
      <c r="P255" s="13">
        <v>242</v>
      </c>
      <c r="Q255" s="21">
        <v>2.891688138530002E-2</v>
      </c>
      <c r="R255" s="18">
        <f t="shared" si="42"/>
        <v>2.8376670257050929E-2</v>
      </c>
      <c r="S255" s="21">
        <v>2.8908626794542203E-2</v>
      </c>
      <c r="T255" s="18">
        <f t="shared" si="43"/>
        <v>2.7325021877615097E-2</v>
      </c>
      <c r="U255" s="23">
        <v>3.322060926160697E-2</v>
      </c>
      <c r="V255" s="23">
        <f t="shared" si="44"/>
        <v>3.1885783005782375E-2</v>
      </c>
      <c r="W255" s="22">
        <f t="shared" si="47"/>
        <v>2.6297950024241068E-3</v>
      </c>
      <c r="X255" s="23">
        <v>3.2360227194025981E-2</v>
      </c>
      <c r="Y255" s="23">
        <f t="shared" si="48"/>
        <v>3.0977442769577701E-2</v>
      </c>
      <c r="Z255" s="22">
        <f t="shared" si="49"/>
        <v>2.5563314338308274E-3</v>
      </c>
      <c r="AA255" s="33"/>
      <c r="AB255" s="50">
        <f t="shared" si="45"/>
        <v>242</v>
      </c>
      <c r="AC255" s="48">
        <f t="shared" si="40"/>
        <v>0.56276977349510682</v>
      </c>
      <c r="AE255" s="48">
        <f t="shared" si="46"/>
        <v>0.99766233976976193</v>
      </c>
      <c r="AF255" s="48">
        <f t="shared" si="50"/>
        <v>0.56276977349510726</v>
      </c>
      <c r="AH255" s="48">
        <f t="shared" si="51"/>
        <v>0</v>
      </c>
    </row>
    <row r="256" spans="4:34" ht="13.9" customHeight="1">
      <c r="D256" s="8"/>
      <c r="E256" s="9"/>
      <c r="F256" s="18"/>
      <c r="G256" s="18"/>
      <c r="H256" s="18"/>
      <c r="J256" s="40"/>
      <c r="K256" s="40"/>
      <c r="L256" s="40"/>
      <c r="M256" s="38"/>
      <c r="O256" s="12">
        <f t="shared" si="41"/>
        <v>20.25</v>
      </c>
      <c r="P256" s="13">
        <v>243</v>
      </c>
      <c r="Q256" s="21">
        <v>2.8914657712842295E-2</v>
      </c>
      <c r="R256" s="18">
        <f t="shared" si="42"/>
        <v>2.8271733645946595E-2</v>
      </c>
      <c r="S256" s="21">
        <v>2.8902104902286618E-2</v>
      </c>
      <c r="T256" s="18">
        <f t="shared" si="43"/>
        <v>2.7196330209670938E-2</v>
      </c>
      <c r="U256" s="23">
        <v>3.3215112612706488E-2</v>
      </c>
      <c r="V256" s="23">
        <f t="shared" si="44"/>
        <v>3.1761682785676815E-2</v>
      </c>
      <c r="W256" s="22">
        <f t="shared" si="47"/>
        <v>2.6190893001605264E-3</v>
      </c>
      <c r="X256" s="23">
        <v>3.2354532924419477E-2</v>
      </c>
      <c r="Y256" s="23">
        <f t="shared" si="48"/>
        <v>3.0852449032347407E-2</v>
      </c>
      <c r="Z256" s="22">
        <f t="shared" si="49"/>
        <v>2.5455114779520116E-3</v>
      </c>
      <c r="AA256" s="33"/>
      <c r="AB256" s="50">
        <f t="shared" si="45"/>
        <v>243</v>
      </c>
      <c r="AC256" s="48">
        <f t="shared" si="40"/>
        <v>0.56145903989962198</v>
      </c>
      <c r="AE256" s="48">
        <f t="shared" si="46"/>
        <v>0.99767092395999923</v>
      </c>
      <c r="AF256" s="48">
        <f t="shared" si="50"/>
        <v>0.5614590398996232</v>
      </c>
      <c r="AH256" s="48">
        <f t="shared" si="51"/>
        <v>1.2212453270876722E-15</v>
      </c>
    </row>
    <row r="257" spans="4:34" ht="13.9" customHeight="1">
      <c r="D257" s="8"/>
      <c r="E257" s="9"/>
      <c r="F257" s="18"/>
      <c r="G257" s="18"/>
      <c r="H257" s="18"/>
      <c r="J257" s="40"/>
      <c r="K257" s="40"/>
      <c r="L257" s="40"/>
      <c r="M257" s="38"/>
      <c r="O257" s="12">
        <f t="shared" si="41"/>
        <v>20.333333333333332</v>
      </c>
      <c r="P257" s="13">
        <v>244</v>
      </c>
      <c r="Q257" s="21">
        <v>2.8912021957946621E-2</v>
      </c>
      <c r="R257" s="18">
        <f t="shared" si="42"/>
        <v>2.8168042785986946E-2</v>
      </c>
      <c r="S257" s="21">
        <v>2.8895108244828327E-2</v>
      </c>
      <c r="T257" s="18">
        <f t="shared" si="43"/>
        <v>2.7077834567011738E-2</v>
      </c>
      <c r="U257" s="23">
        <v>3.3209151756700805E-2</v>
      </c>
      <c r="V257" s="23">
        <f t="shared" si="44"/>
        <v>3.1645666342493106E-2</v>
      </c>
      <c r="W257" s="22">
        <f t="shared" si="47"/>
        <v>2.609040375595395E-3</v>
      </c>
      <c r="X257" s="23">
        <v>3.2348372378353751E-2</v>
      </c>
      <c r="Y257" s="23">
        <f t="shared" si="48"/>
        <v>3.0735944311872432E-2</v>
      </c>
      <c r="Z257" s="22">
        <f t="shared" si="49"/>
        <v>2.5353820230589186E-3</v>
      </c>
      <c r="AA257" s="33"/>
      <c r="AB257" s="50">
        <f t="shared" si="45"/>
        <v>244</v>
      </c>
      <c r="AC257" s="48">
        <f t="shared" si="40"/>
        <v>0.56015612256728398</v>
      </c>
      <c r="AE257" s="48">
        <f t="shared" si="46"/>
        <v>0.99767940804270994</v>
      </c>
      <c r="AF257" s="48">
        <f t="shared" si="50"/>
        <v>0.56015612256728431</v>
      </c>
      <c r="AH257" s="48">
        <f t="shared" si="51"/>
        <v>0</v>
      </c>
    </row>
    <row r="258" spans="4:34" ht="13.9" customHeight="1">
      <c r="D258" s="8"/>
      <c r="E258" s="9"/>
      <c r="F258" s="18"/>
      <c r="G258" s="18"/>
      <c r="H258" s="18"/>
      <c r="J258" s="40"/>
      <c r="K258" s="40"/>
      <c r="L258" s="40"/>
      <c r="M258" s="38"/>
      <c r="O258" s="12">
        <f t="shared" si="41"/>
        <v>20.416666666666668</v>
      </c>
      <c r="P258" s="13">
        <v>245</v>
      </c>
      <c r="Q258" s="21">
        <v>2.8908984214359279E-2</v>
      </c>
      <c r="R258" s="18">
        <f t="shared" si="42"/>
        <v>2.8065593412289536E-2</v>
      </c>
      <c r="S258" s="21">
        <v>2.8887684269820468E-2</v>
      </c>
      <c r="T258" s="18">
        <f t="shared" si="43"/>
        <v>2.6969467323928908E-2</v>
      </c>
      <c r="U258" s="23">
        <v>3.320276537004152E-2</v>
      </c>
      <c r="V258" s="23">
        <f t="shared" si="44"/>
        <v>3.1537691851874605E-2</v>
      </c>
      <c r="W258" s="22">
        <f t="shared" si="47"/>
        <v>2.5996450268508386E-3</v>
      </c>
      <c r="X258" s="23">
        <v>3.2341785915253274E-2</v>
      </c>
      <c r="Y258" s="23">
        <f t="shared" si="48"/>
        <v>3.0627882211546664E-2</v>
      </c>
      <c r="Z258" s="22">
        <f t="shared" si="49"/>
        <v>2.5259395017083186E-3</v>
      </c>
      <c r="AA258" s="33"/>
      <c r="AB258" s="50">
        <f t="shared" si="45"/>
        <v>245</v>
      </c>
      <c r="AC258" s="48">
        <f t="shared" si="40"/>
        <v>0.55886092528334541</v>
      </c>
      <c r="AE258" s="48">
        <f t="shared" si="46"/>
        <v>0.99768779232832039</v>
      </c>
      <c r="AF258" s="48">
        <f t="shared" si="50"/>
        <v>0.55886092528334597</v>
      </c>
      <c r="AH258" s="48">
        <f t="shared" si="51"/>
        <v>0</v>
      </c>
    </row>
    <row r="259" spans="4:34" ht="13.9" customHeight="1">
      <c r="D259" s="8"/>
      <c r="E259" s="9"/>
      <c r="F259" s="18"/>
      <c r="G259" s="18"/>
      <c r="H259" s="18"/>
      <c r="J259" s="40"/>
      <c r="K259" s="40"/>
      <c r="L259" s="40"/>
      <c r="M259" s="38"/>
      <c r="O259" s="12">
        <f t="shared" si="41"/>
        <v>20.5</v>
      </c>
      <c r="P259" s="13">
        <v>246</v>
      </c>
      <c r="Q259" s="21">
        <v>2.8905554396285726E-2</v>
      </c>
      <c r="R259" s="18">
        <f t="shared" si="42"/>
        <v>2.7964378689021796E-2</v>
      </c>
      <c r="S259" s="21">
        <v>2.8879879391720875E-2</v>
      </c>
      <c r="T259" s="18">
        <f t="shared" si="43"/>
        <v>2.6871161693307499E-2</v>
      </c>
      <c r="U259" s="23">
        <v>3.3195991340831066E-2</v>
      </c>
      <c r="V259" s="23">
        <f t="shared" si="44"/>
        <v>3.1437717933163523E-2</v>
      </c>
      <c r="W259" s="22">
        <f t="shared" si="47"/>
        <v>2.5909000686030748E-3</v>
      </c>
      <c r="X259" s="23">
        <v>3.2334813060753254E-2</v>
      </c>
      <c r="Y259" s="23">
        <f t="shared" si="48"/>
        <v>3.0528216846654077E-2</v>
      </c>
      <c r="Z259" s="22">
        <f t="shared" si="49"/>
        <v>2.5171803666077519E-3</v>
      </c>
      <c r="AA259" s="33"/>
      <c r="AB259" s="50">
        <f t="shared" si="45"/>
        <v>246</v>
      </c>
      <c r="AC259" s="48">
        <f t="shared" si="40"/>
        <v>0.55757335281583031</v>
      </c>
      <c r="AE259" s="48">
        <f t="shared" si="46"/>
        <v>0.99769607712891739</v>
      </c>
      <c r="AF259" s="48">
        <f t="shared" si="50"/>
        <v>0.55757335281583131</v>
      </c>
      <c r="AH259" s="48">
        <f t="shared" si="51"/>
        <v>9.9920072216264089E-16</v>
      </c>
    </row>
    <row r="260" spans="4:34" ht="13.9" customHeight="1">
      <c r="D260" s="8"/>
      <c r="E260" s="9"/>
      <c r="F260" s="18"/>
      <c r="G260" s="18"/>
      <c r="H260" s="18"/>
      <c r="J260" s="40"/>
      <c r="K260" s="40"/>
      <c r="L260" s="40"/>
      <c r="M260" s="38"/>
      <c r="O260" s="12">
        <f t="shared" si="41"/>
        <v>20.583333333333332</v>
      </c>
      <c r="P260" s="13">
        <v>247</v>
      </c>
      <c r="Q260" s="21">
        <v>2.8901742231554284E-2</v>
      </c>
      <c r="R260" s="18">
        <f t="shared" si="42"/>
        <v>2.7864384095461991E-2</v>
      </c>
      <c r="S260" s="21">
        <v>2.8871739014617148E-2</v>
      </c>
      <c r="T260" s="18">
        <f t="shared" si="43"/>
        <v>2.6782851798442087E-2</v>
      </c>
      <c r="U260" s="23">
        <v>3.3188866785616389E-2</v>
      </c>
      <c r="V260" s="23">
        <f t="shared" si="44"/>
        <v>3.1345703696726401E-2</v>
      </c>
      <c r="W260" s="22">
        <f t="shared" si="47"/>
        <v>2.5828023362399755E-3</v>
      </c>
      <c r="X260" s="23">
        <v>3.2327492524597989E-2</v>
      </c>
      <c r="Y260" s="23">
        <f t="shared" si="48"/>
        <v>3.0436902897261309E-2</v>
      </c>
      <c r="Z260" s="22">
        <f t="shared" si="49"/>
        <v>2.5091010951330261E-3</v>
      </c>
      <c r="AA260" s="33"/>
      <c r="AB260" s="50">
        <f t="shared" si="45"/>
        <v>247</v>
      </c>
      <c r="AC260" s="48">
        <f t="shared" si="40"/>
        <v>0.55629331102007329</v>
      </c>
      <c r="AE260" s="48">
        <f t="shared" si="46"/>
        <v>0.99770426296505677</v>
      </c>
      <c r="AF260" s="48">
        <f t="shared" si="50"/>
        <v>0.55629331102007451</v>
      </c>
      <c r="AH260" s="48">
        <f t="shared" si="51"/>
        <v>1.2212453270876722E-15</v>
      </c>
    </row>
    <row r="261" spans="4:34" ht="13.9" customHeight="1">
      <c r="D261" s="8"/>
      <c r="E261" s="9"/>
      <c r="F261" s="18"/>
      <c r="G261" s="18"/>
      <c r="H261" s="18"/>
      <c r="J261" s="40"/>
      <c r="K261" s="40"/>
      <c r="L261" s="40"/>
      <c r="M261" s="38"/>
      <c r="O261" s="12">
        <f t="shared" si="41"/>
        <v>20.666666666666668</v>
      </c>
      <c r="P261" s="13">
        <v>248</v>
      </c>
      <c r="Q261" s="21">
        <v>2.8897557234299764E-2</v>
      </c>
      <c r="R261" s="18">
        <f t="shared" si="42"/>
        <v>2.7765602770692066E-2</v>
      </c>
      <c r="S261" s="21">
        <v>2.8863307554838125E-2</v>
      </c>
      <c r="T261" s="18">
        <f t="shared" si="43"/>
        <v>2.6704472744892405E-2</v>
      </c>
      <c r="U261" s="23">
        <v>3.3181428065994334E-2</v>
      </c>
      <c r="V261" s="23">
        <f t="shared" si="44"/>
        <v>3.1261608791151474E-2</v>
      </c>
      <c r="W261" s="22">
        <f t="shared" si="47"/>
        <v>2.575348689935808E-3</v>
      </c>
      <c r="X261" s="23">
        <v>3.2319862218349149E-2</v>
      </c>
      <c r="Y261" s="23">
        <f t="shared" si="48"/>
        <v>3.0353895658324026E-2</v>
      </c>
      <c r="Z261" s="22">
        <f t="shared" si="49"/>
        <v>2.5016981938974503E-3</v>
      </c>
      <c r="AA261" s="33"/>
      <c r="AB261" s="50">
        <f t="shared" si="45"/>
        <v>248</v>
      </c>
      <c r="AC261" s="48">
        <f t="shared" si="40"/>
        <v>0.55502070717202479</v>
      </c>
      <c r="AE261" s="48">
        <f t="shared" si="46"/>
        <v>0.99771235097952982</v>
      </c>
      <c r="AF261" s="48">
        <f t="shared" si="50"/>
        <v>0.55502070717202534</v>
      </c>
      <c r="AH261" s="48">
        <f t="shared" si="51"/>
        <v>0</v>
      </c>
    </row>
    <row r="262" spans="4:34" ht="13.9" customHeight="1">
      <c r="D262" s="8"/>
      <c r="E262" s="9"/>
      <c r="F262" s="18"/>
      <c r="G262" s="18"/>
      <c r="H262" s="18"/>
      <c r="J262" s="40"/>
      <c r="K262" s="40"/>
      <c r="L262" s="40"/>
      <c r="M262" s="38"/>
      <c r="O262" s="12">
        <f t="shared" si="41"/>
        <v>20.75</v>
      </c>
      <c r="P262" s="13">
        <v>249</v>
      </c>
      <c r="Q262" s="21">
        <v>2.8893008739985904E-2</v>
      </c>
      <c r="R262" s="18">
        <f t="shared" si="42"/>
        <v>2.7668030402935972E-2</v>
      </c>
      <c r="S262" s="21">
        <v>2.8854628463355736E-2</v>
      </c>
      <c r="T262" s="18">
        <f t="shared" si="43"/>
        <v>2.6635960688860649E-2</v>
      </c>
      <c r="U262" s="23">
        <v>3.3173710805033618E-2</v>
      </c>
      <c r="V262" s="23">
        <f t="shared" si="44"/>
        <v>3.1185393448514676E-2</v>
      </c>
      <c r="W262" s="22">
        <f t="shared" si="47"/>
        <v>2.5685360187146511E-3</v>
      </c>
      <c r="X262" s="23">
        <v>3.231195927289976E-2</v>
      </c>
      <c r="Y262" s="23">
        <f t="shared" si="48"/>
        <v>3.0279151090403467E-2</v>
      </c>
      <c r="Z262" s="22">
        <f t="shared" si="49"/>
        <v>2.494968203094805E-3</v>
      </c>
      <c r="AA262" s="33"/>
      <c r="AB262" s="50">
        <f t="shared" si="45"/>
        <v>249</v>
      </c>
      <c r="AC262" s="48">
        <f t="shared" si="40"/>
        <v>0.55375544960821499</v>
      </c>
      <c r="AE262" s="48">
        <f t="shared" si="46"/>
        <v>0.99772034169633705</v>
      </c>
      <c r="AF262" s="48">
        <f t="shared" si="50"/>
        <v>0.55375544960821577</v>
      </c>
      <c r="AH262" s="48">
        <f t="shared" si="51"/>
        <v>0</v>
      </c>
    </row>
    <row r="263" spans="4:34" ht="13.9" customHeight="1">
      <c r="D263" s="8"/>
      <c r="E263" s="9"/>
      <c r="F263" s="18"/>
      <c r="G263" s="18"/>
      <c r="H263" s="18"/>
      <c r="J263" s="40"/>
      <c r="K263" s="40"/>
      <c r="L263" s="40"/>
      <c r="M263" s="38"/>
      <c r="O263" s="12">
        <f t="shared" si="41"/>
        <v>20.833333333333332</v>
      </c>
      <c r="P263" s="13">
        <v>250</v>
      </c>
      <c r="Q263" s="21">
        <v>2.8888105919135043E-2</v>
      </c>
      <c r="R263" s="18">
        <f t="shared" si="42"/>
        <v>2.7571662672111863E-2</v>
      </c>
      <c r="S263" s="21">
        <v>2.8845744247969707E-2</v>
      </c>
      <c r="T263" s="18">
        <f t="shared" si="43"/>
        <v>2.6577252905489512E-2</v>
      </c>
      <c r="U263" s="23">
        <v>3.3165749903509845E-2</v>
      </c>
      <c r="V263" s="23">
        <f t="shared" si="44"/>
        <v>3.1117018529462026E-2</v>
      </c>
      <c r="W263" s="22">
        <f t="shared" si="47"/>
        <v>2.562361244353939E-3</v>
      </c>
      <c r="X263" s="23">
        <v>3.2303820055800125E-2</v>
      </c>
      <c r="Y263" s="23">
        <f t="shared" si="48"/>
        <v>3.0212625868149434E-2</v>
      </c>
      <c r="Z263" s="22">
        <f t="shared" si="49"/>
        <v>2.4889077008867222E-3</v>
      </c>
      <c r="AA263" s="33"/>
      <c r="AB263" s="50">
        <f t="shared" si="45"/>
        <v>250</v>
      </c>
      <c r="AC263" s="48">
        <f t="shared" si="40"/>
        <v>0.55249744759947439</v>
      </c>
      <c r="AE263" s="48">
        <f t="shared" si="46"/>
        <v>0.99772823543383549</v>
      </c>
      <c r="AF263" s="48">
        <f t="shared" si="50"/>
        <v>0.55249744759947528</v>
      </c>
      <c r="AH263" s="48">
        <f t="shared" si="51"/>
        <v>8.8817841970012523E-16</v>
      </c>
    </row>
    <row r="264" spans="4:34" ht="13.9" customHeight="1">
      <c r="D264" s="8"/>
      <c r="E264" s="9"/>
      <c r="F264" s="18"/>
      <c r="G264" s="18"/>
      <c r="H264" s="18"/>
      <c r="J264" s="40"/>
      <c r="K264" s="40"/>
      <c r="L264" s="40"/>
      <c r="M264" s="38"/>
      <c r="O264" s="12">
        <f t="shared" si="41"/>
        <v>20.916666666666668</v>
      </c>
      <c r="P264" s="13">
        <v>251</v>
      </c>
      <c r="Q264" s="21">
        <v>2.888285778053401E-2</v>
      </c>
      <c r="R264" s="18">
        <f t="shared" si="42"/>
        <v>2.7476495251447464E-2</v>
      </c>
      <c r="S264" s="21">
        <v>2.8836696495278202E-2</v>
      </c>
      <c r="T264" s="18">
        <f t="shared" si="43"/>
        <v>2.6528287854441279E-2</v>
      </c>
      <c r="U264" s="23">
        <v>3.3157579555957328E-2</v>
      </c>
      <c r="V264" s="23">
        <f t="shared" si="44"/>
        <v>3.1056445568111712E-2</v>
      </c>
      <c r="W264" s="22">
        <f t="shared" si="47"/>
        <v>2.5568213252709082E-3</v>
      </c>
      <c r="X264" s="23">
        <v>3.2295480188390568E-2</v>
      </c>
      <c r="Y264" s="23">
        <f t="shared" si="48"/>
        <v>3.0154277429181864E-2</v>
      </c>
      <c r="Z264" s="22">
        <f t="shared" si="49"/>
        <v>2.4835133076055449E-3</v>
      </c>
      <c r="AA264" s="33"/>
      <c r="AB264" s="50">
        <f t="shared" si="45"/>
        <v>251</v>
      </c>
      <c r="AC264" s="48">
        <f t="shared" si="40"/>
        <v>0.55124661134066444</v>
      </c>
      <c r="AE264" s="48">
        <f t="shared" si="46"/>
        <v>0.99773603251156118</v>
      </c>
      <c r="AF264" s="48">
        <f t="shared" si="50"/>
        <v>0.55124661134066466</v>
      </c>
      <c r="AH264" s="48">
        <f t="shared" si="51"/>
        <v>0</v>
      </c>
    </row>
    <row r="265" spans="4:34" ht="13.9" customHeight="1">
      <c r="D265" s="8"/>
      <c r="E265" s="9"/>
      <c r="F265" s="18"/>
      <c r="G265" s="18"/>
      <c r="H265" s="18"/>
      <c r="J265" s="40"/>
      <c r="K265" s="40"/>
      <c r="L265" s="40"/>
      <c r="M265" s="38"/>
      <c r="O265" s="12">
        <f t="shared" si="41"/>
        <v>21</v>
      </c>
      <c r="P265" s="13">
        <v>252</v>
      </c>
      <c r="Q265" s="21">
        <v>2.8877273174371165E-2</v>
      </c>
      <c r="R265" s="18">
        <f t="shared" si="42"/>
        <v>2.7382521285356676E-2</v>
      </c>
      <c r="S265" s="21">
        <v>2.8827525892427763E-2</v>
      </c>
      <c r="T265" s="18">
        <f t="shared" si="43"/>
        <v>2.6489005245058594E-2</v>
      </c>
      <c r="U265" s="23">
        <v>3.3149233266540845E-2</v>
      </c>
      <c r="V265" s="23">
        <f t="shared" si="44"/>
        <v>3.1003636814651792E-2</v>
      </c>
      <c r="W265" s="22">
        <f t="shared" si="47"/>
        <v>2.5519132603888384E-3</v>
      </c>
      <c r="X265" s="23">
        <v>3.228697456274876E-2</v>
      </c>
      <c r="Y265" s="23">
        <f t="shared" si="48"/>
        <v>3.0104064020459287E-2</v>
      </c>
      <c r="Z265" s="22">
        <f t="shared" si="49"/>
        <v>2.4787816899851656E-3</v>
      </c>
      <c r="AA265" s="33"/>
      <c r="AB265" s="50">
        <f t="shared" si="45"/>
        <v>252</v>
      </c>
      <c r="AC265" s="48">
        <f t="shared" si="40"/>
        <v>0.55000285194049769</v>
      </c>
      <c r="AE265" s="48">
        <f t="shared" si="46"/>
        <v>0.9977437332500938</v>
      </c>
      <c r="AF265" s="48">
        <f t="shared" si="50"/>
        <v>0.55000285194049825</v>
      </c>
      <c r="AH265" s="48">
        <f t="shared" si="51"/>
        <v>0</v>
      </c>
    </row>
    <row r="266" spans="4:34" ht="13.9" customHeight="1">
      <c r="D266" s="8"/>
      <c r="E266" s="9"/>
      <c r="F266" s="18"/>
      <c r="G266" s="18"/>
      <c r="H266" s="18"/>
      <c r="J266" s="40"/>
      <c r="K266" s="40"/>
      <c r="L266" s="40"/>
      <c r="M266" s="38"/>
      <c r="O266" s="12">
        <f t="shared" si="41"/>
        <v>21.083333333333332</v>
      </c>
      <c r="P266" s="13">
        <v>253</v>
      </c>
      <c r="Q266" s="21">
        <v>2.8871360785316158E-2</v>
      </c>
      <c r="R266" s="18">
        <f t="shared" si="42"/>
        <v>2.7289726340761655E-2</v>
      </c>
      <c r="S266" s="21">
        <v>2.8818272248646526E-2</v>
      </c>
      <c r="T266" s="18">
        <f t="shared" si="43"/>
        <v>2.6459346099537706E-2</v>
      </c>
      <c r="U266" s="23">
        <v>3.3140743864744193E-2</v>
      </c>
      <c r="V266" s="23">
        <f t="shared" si="44"/>
        <v>3.0958555278777888E-2</v>
      </c>
      <c r="W266" s="22">
        <f t="shared" si="47"/>
        <v>2.5476340928147767E-3</v>
      </c>
      <c r="X266" s="23">
        <v>3.2278337358443654E-2</v>
      </c>
      <c r="Y266" s="23">
        <f t="shared" si="48"/>
        <v>3.0061944746065272E-2</v>
      </c>
      <c r="Z266" s="22">
        <f t="shared" si="49"/>
        <v>2.4747095651806994E-3</v>
      </c>
      <c r="AA266" s="33"/>
      <c r="AB266" s="50">
        <f t="shared" si="45"/>
        <v>253</v>
      </c>
      <c r="AC266" s="48">
        <f t="shared" si="40"/>
        <v>0.54876608152379014</v>
      </c>
      <c r="AE266" s="48">
        <f t="shared" si="46"/>
        <v>0.99775133817516792</v>
      </c>
      <c r="AF266" s="48">
        <f t="shared" si="50"/>
        <v>0.54876608152379092</v>
      </c>
      <c r="AH266" s="48">
        <f t="shared" si="51"/>
        <v>0</v>
      </c>
    </row>
    <row r="267" spans="4:34" ht="13.9" customHeight="1">
      <c r="D267" s="8"/>
      <c r="E267" s="9"/>
      <c r="F267" s="18"/>
      <c r="G267" s="18"/>
      <c r="H267" s="18"/>
      <c r="J267" s="40"/>
      <c r="K267" s="40"/>
      <c r="L267" s="40"/>
      <c r="M267" s="38"/>
      <c r="O267" s="12">
        <f t="shared" si="41"/>
        <v>21.166666666666668</v>
      </c>
      <c r="P267" s="13">
        <v>254</v>
      </c>
      <c r="Q267" s="21">
        <v>2.8865129105853038E-2</v>
      </c>
      <c r="R267" s="18">
        <f t="shared" si="42"/>
        <v>2.7198103554367359E-2</v>
      </c>
      <c r="S267" s="21">
        <v>2.8808974516557173E-2</v>
      </c>
      <c r="T267" s="18">
        <f t="shared" si="43"/>
        <v>2.6439252814523861E-2</v>
      </c>
      <c r="U267" s="23">
        <v>3.3132143520880675E-2</v>
      </c>
      <c r="V267" s="23">
        <f t="shared" si="44"/>
        <v>3.0921164771466225E-2</v>
      </c>
      <c r="W267" s="22">
        <f t="shared" si="47"/>
        <v>2.5439809135787694E-3</v>
      </c>
      <c r="X267" s="23">
        <v>3.2269602059108671E-2</v>
      </c>
      <c r="Y267" s="23">
        <f t="shared" si="48"/>
        <v>3.0027879611687514E-2</v>
      </c>
      <c r="Z267" s="22">
        <f t="shared" si="49"/>
        <v>2.4712937049009565E-3</v>
      </c>
      <c r="AA267" s="33"/>
      <c r="AB267" s="50">
        <f t="shared" si="45"/>
        <v>254</v>
      </c>
      <c r="AC267" s="48">
        <f t="shared" si="40"/>
        <v>0.54753621355664495</v>
      </c>
      <c r="AE267" s="48">
        <f t="shared" si="46"/>
        <v>0.99775884842639917</v>
      </c>
      <c r="AF267" s="48">
        <f t="shared" si="50"/>
        <v>0.54753621355664506</v>
      </c>
      <c r="AH267" s="48">
        <f t="shared" si="51"/>
        <v>0</v>
      </c>
    </row>
    <row r="268" spans="4:34" ht="13.9" customHeight="1">
      <c r="D268" s="8"/>
      <c r="E268" s="9"/>
      <c r="F268" s="18"/>
      <c r="G268" s="18"/>
      <c r="H268" s="18"/>
      <c r="J268" s="40"/>
      <c r="K268" s="40"/>
      <c r="L268" s="40"/>
      <c r="M268" s="38"/>
      <c r="O268" s="12">
        <f t="shared" si="41"/>
        <v>21.25</v>
      </c>
      <c r="P268" s="13">
        <v>255</v>
      </c>
      <c r="Q268" s="21">
        <v>2.8858586469727721E-2</v>
      </c>
      <c r="R268" s="18">
        <f t="shared" si="42"/>
        <v>2.7107648586052857E-2</v>
      </c>
      <c r="S268" s="21">
        <v>2.8799670813267619E-2</v>
      </c>
      <c r="T268" s="18">
        <f t="shared" si="43"/>
        <v>2.6428669222354095E-2</v>
      </c>
      <c r="U268" s="23">
        <v>3.3123463761425276E-2</v>
      </c>
      <c r="V268" s="23">
        <f t="shared" si="44"/>
        <v>3.0891429946888982E-2</v>
      </c>
      <c r="W268" s="22">
        <f t="shared" si="47"/>
        <v>2.5409508652334267E-3</v>
      </c>
      <c r="X268" s="23">
        <v>3.2260801468823042E-2</v>
      </c>
      <c r="Y268" s="23">
        <f t="shared" si="48"/>
        <v>3.0001829570769356E-2</v>
      </c>
      <c r="Z268" s="22">
        <f t="shared" si="49"/>
        <v>2.4685309392624699E-3</v>
      </c>
      <c r="AA268" s="33"/>
      <c r="AB268" s="50">
        <f t="shared" si="45"/>
        <v>255</v>
      </c>
      <c r="AC268" s="48">
        <f t="shared" si="40"/>
        <v>0.54631316249611694</v>
      </c>
      <c r="AE268" s="48">
        <f t="shared" si="46"/>
        <v>0.99776626453146722</v>
      </c>
      <c r="AF268" s="48">
        <f t="shared" si="50"/>
        <v>0.54631316249611739</v>
      </c>
      <c r="AH268" s="48">
        <f t="shared" si="51"/>
        <v>0</v>
      </c>
    </row>
    <row r="269" spans="4:34" ht="13.9" customHeight="1">
      <c r="D269" s="8"/>
      <c r="E269" s="9"/>
      <c r="F269" s="18"/>
      <c r="G269" s="18"/>
      <c r="H269" s="18"/>
      <c r="J269" s="40"/>
      <c r="K269" s="40"/>
      <c r="L269" s="40"/>
      <c r="M269" s="38"/>
      <c r="O269" s="12">
        <f t="shared" si="41"/>
        <v>21.333333333333332</v>
      </c>
      <c r="P269" s="13">
        <v>256</v>
      </c>
      <c r="Q269" s="21">
        <v>2.8851741064876757E-2</v>
      </c>
      <c r="R269" s="18">
        <f t="shared" si="42"/>
        <v>2.7018357094715784E-2</v>
      </c>
      <c r="S269" s="21">
        <v>2.8790398441242537E-2</v>
      </c>
      <c r="T269" s="18">
        <f t="shared" si="43"/>
        <v>2.6427540650250103E-2</v>
      </c>
      <c r="U269" s="23">
        <v>3.3114735484171876E-2</v>
      </c>
      <c r="V269" s="23">
        <f t="shared" si="44"/>
        <v>3.0869316342906128E-2</v>
      </c>
      <c r="W269" s="22">
        <f t="shared" si="47"/>
        <v>2.538541145459261E-3</v>
      </c>
      <c r="X269" s="23">
        <v>3.2251967728313291E-2</v>
      </c>
      <c r="Y269" s="23">
        <f t="shared" si="48"/>
        <v>2.9983756567693032E-2</v>
      </c>
      <c r="Z269" s="22">
        <f t="shared" si="49"/>
        <v>2.4664181607738644E-3</v>
      </c>
      <c r="AA269" s="33"/>
      <c r="AB269" s="50">
        <f t="shared" si="45"/>
        <v>256</v>
      </c>
      <c r="AC269" s="48">
        <f t="shared" ref="AC269:AC332" si="52">1/(1+Q269)^(P269/12)</f>
        <v>0.54509684366764155</v>
      </c>
      <c r="AE269" s="48">
        <f t="shared" si="46"/>
        <v>0.99777358681434991</v>
      </c>
      <c r="AF269" s="48">
        <f t="shared" si="50"/>
        <v>0.54509684366764188</v>
      </c>
      <c r="AH269" s="48">
        <f t="shared" si="51"/>
        <v>0</v>
      </c>
    </row>
    <row r="270" spans="4:34" ht="13.9" customHeight="1">
      <c r="D270" s="8"/>
      <c r="E270" s="9"/>
      <c r="F270" s="18"/>
      <c r="G270" s="18"/>
      <c r="H270" s="18"/>
      <c r="J270" s="40"/>
      <c r="K270" s="40"/>
      <c r="L270" s="40"/>
      <c r="M270" s="38"/>
      <c r="O270" s="12">
        <f t="shared" ref="O270:O333" si="53">P270/12</f>
        <v>21.416666666666668</v>
      </c>
      <c r="P270" s="13">
        <v>257</v>
      </c>
      <c r="Q270" s="21">
        <v>2.8844600936221321E-2</v>
      </c>
      <c r="R270" s="18">
        <f t="shared" ref="R270:R333" si="54">(1+Q271)^P271/(1+Q270)^P270-1</f>
        <v>2.6930224740087327E-2</v>
      </c>
      <c r="S270" s="21">
        <v>2.8781193908953506E-2</v>
      </c>
      <c r="T270" s="18">
        <f t="shared" ref="T270:T333" si="55">(1+S271)^P271/(1+S270)^P270-1</f>
        <v>2.6435813978912259E-2</v>
      </c>
      <c r="U270" s="23">
        <v>3.3105988973214595E-2</v>
      </c>
      <c r="V270" s="23">
        <f t="shared" ref="V270:V333" si="56">(1+U271)^P271/(1+U270)^P270-1</f>
        <v>3.0854790421276368E-2</v>
      </c>
      <c r="W270" s="22">
        <f t="shared" si="47"/>
        <v>2.5367490105487889E-3</v>
      </c>
      <c r="X270" s="23">
        <v>3.2243132330967983E-2</v>
      </c>
      <c r="Y270" s="23">
        <f t="shared" si="48"/>
        <v>2.9973623582286057E-2</v>
      </c>
      <c r="Z270" s="22">
        <f t="shared" si="49"/>
        <v>2.4649523280728669E-3</v>
      </c>
      <c r="AA270" s="33"/>
      <c r="AB270" s="50">
        <f t="shared" ref="AB270:AB333" si="57">+P270</f>
        <v>257</v>
      </c>
      <c r="AC270" s="48">
        <f t="shared" si="52"/>
        <v>0.54388717325545566</v>
      </c>
      <c r="AE270" s="48">
        <f t="shared" ref="AE270:AE333" si="58">1/(1+R269)^(1/12)</f>
        <v>0.99778081559957932</v>
      </c>
      <c r="AF270" s="48">
        <f t="shared" si="50"/>
        <v>0.5438871732554561</v>
      </c>
      <c r="AH270" s="48">
        <f t="shared" si="51"/>
        <v>0</v>
      </c>
    </row>
    <row r="271" spans="4:34" ht="13.9" customHeight="1">
      <c r="D271" s="8"/>
      <c r="E271" s="9"/>
      <c r="F271" s="18"/>
      <c r="G271" s="18"/>
      <c r="H271" s="18"/>
      <c r="J271" s="40"/>
      <c r="K271" s="40"/>
      <c r="L271" s="40"/>
      <c r="M271" s="38"/>
      <c r="O271" s="12">
        <f t="shared" si="53"/>
        <v>21.5</v>
      </c>
      <c r="P271" s="13">
        <v>258</v>
      </c>
      <c r="Q271" s="21">
        <v>2.8837173988403464E-2</v>
      </c>
      <c r="R271" s="18">
        <f t="shared" si="54"/>
        <v>2.6843244693034229E-2</v>
      </c>
      <c r="S271" s="21">
        <v>2.8772092951308004E-2</v>
      </c>
      <c r="T271" s="18">
        <f t="shared" si="55"/>
        <v>2.645343769971098E-2</v>
      </c>
      <c r="U271" s="23">
        <v>3.3097253913756397E-2</v>
      </c>
      <c r="V271" s="23">
        <f t="shared" si="56"/>
        <v>3.0847819607771054E-2</v>
      </c>
      <c r="W271" s="22">
        <f t="shared" ref="W271:W334" si="59">(1+V270)^(1/12)-1</f>
        <v>2.535571778861101E-3</v>
      </c>
      <c r="X271" s="23">
        <v>3.2234326138673275E-2</v>
      </c>
      <c r="Y271" s="23">
        <f t="shared" ref="Y271:Y334" si="60">(1+X272)^P272/(1+X271)^P271-1</f>
        <v>2.9971394672273277E-2</v>
      </c>
      <c r="Z271" s="22">
        <f t="shared" ref="Z271:Z334" si="61">(1+Y270)^(1/12)-1</f>
        <v>2.4641304697610167E-3</v>
      </c>
      <c r="AA271" s="33"/>
      <c r="AB271" s="50">
        <f t="shared" si="57"/>
        <v>258</v>
      </c>
      <c r="AC271" s="48">
        <f t="shared" si="52"/>
        <v>0.54268406829309523</v>
      </c>
      <c r="AE271" s="48">
        <f t="shared" si="58"/>
        <v>0.99778795121208941</v>
      </c>
      <c r="AF271" s="48">
        <f t="shared" ref="AF271:AF334" si="62">+AF270*AE271</f>
        <v>0.54268406829309623</v>
      </c>
      <c r="AH271" s="48">
        <f t="shared" ref="AH271:AH334" si="63">+AF271-AC271</f>
        <v>9.9920072216264089E-16</v>
      </c>
    </row>
    <row r="272" spans="4:34" ht="13.9" customHeight="1">
      <c r="D272" s="8"/>
      <c r="E272" s="9"/>
      <c r="F272" s="18"/>
      <c r="G272" s="18"/>
      <c r="H272" s="18"/>
      <c r="J272" s="40"/>
      <c r="K272" s="40"/>
      <c r="L272" s="40"/>
      <c r="M272" s="38"/>
      <c r="O272" s="12">
        <f t="shared" si="53"/>
        <v>21.583333333333332</v>
      </c>
      <c r="P272" s="13">
        <v>259</v>
      </c>
      <c r="Q272" s="21">
        <v>2.8829467978828571E-2</v>
      </c>
      <c r="R272" s="18">
        <f t="shared" si="54"/>
        <v>2.675740265504678E-2</v>
      </c>
      <c r="S272" s="21">
        <v>2.8763130549858351E-2</v>
      </c>
      <c r="T272" s="18">
        <f t="shared" si="55"/>
        <v>2.6480361970886657E-2</v>
      </c>
      <c r="U272" s="23">
        <v>3.3088559406747153E-2</v>
      </c>
      <c r="V272" s="23">
        <f t="shared" si="56"/>
        <v>3.0848372330748219E-2</v>
      </c>
      <c r="W272" s="22">
        <f t="shared" si="59"/>
        <v>2.535006834261555E-3</v>
      </c>
      <c r="X272" s="23">
        <v>3.2225579397466619E-2</v>
      </c>
      <c r="Y272" s="23">
        <f t="shared" si="60"/>
        <v>2.9977035015840148E-2</v>
      </c>
      <c r="Z272" s="22">
        <f t="shared" si="61"/>
        <v>2.463949688064071E-3</v>
      </c>
      <c r="AA272" s="33"/>
      <c r="AB272" s="50">
        <f t="shared" si="57"/>
        <v>259</v>
      </c>
      <c r="AC272" s="48">
        <f t="shared" si="52"/>
        <v>0.54148744676344773</v>
      </c>
      <c r="AE272" s="48">
        <f t="shared" si="58"/>
        <v>0.99779499417881923</v>
      </c>
      <c r="AF272" s="48">
        <f t="shared" si="62"/>
        <v>0.54148744676344784</v>
      </c>
      <c r="AH272" s="48">
        <f t="shared" si="63"/>
        <v>0</v>
      </c>
    </row>
    <row r="273" spans="4:34" ht="13.9" customHeight="1">
      <c r="D273" s="8"/>
      <c r="E273" s="9"/>
      <c r="F273" s="18"/>
      <c r="G273" s="18"/>
      <c r="H273" s="18"/>
      <c r="J273" s="40"/>
      <c r="K273" s="40"/>
      <c r="L273" s="40"/>
      <c r="M273" s="38"/>
      <c r="O273" s="12">
        <f t="shared" si="53"/>
        <v>21.666666666666668</v>
      </c>
      <c r="P273" s="13">
        <v>260</v>
      </c>
      <c r="Q273" s="21">
        <v>2.8821490491671931E-2</v>
      </c>
      <c r="R273" s="18">
        <f t="shared" si="54"/>
        <v>2.6672691805463389E-2</v>
      </c>
      <c r="S273" s="21">
        <v>2.8754340952789725E-2</v>
      </c>
      <c r="T273" s="18">
        <f t="shared" si="55"/>
        <v>2.6516538673526879E-2</v>
      </c>
      <c r="U273" s="23">
        <v>3.307993398335185E-2</v>
      </c>
      <c r="V273" s="23">
        <f t="shared" si="56"/>
        <v>3.0856418060588586E-2</v>
      </c>
      <c r="W273" s="22">
        <f t="shared" si="59"/>
        <v>2.5350516294280201E-3</v>
      </c>
      <c r="X273" s="23">
        <v>3.2216921753013494E-2</v>
      </c>
      <c r="Y273" s="23">
        <f t="shared" si="60"/>
        <v>2.999051095309202E-2</v>
      </c>
      <c r="Z273" s="22">
        <f t="shared" si="61"/>
        <v>2.4644071624921882E-3</v>
      </c>
      <c r="AA273" s="33"/>
      <c r="AB273" s="50">
        <f t="shared" si="57"/>
        <v>260</v>
      </c>
      <c r="AC273" s="48">
        <f t="shared" si="52"/>
        <v>0.54029722791594692</v>
      </c>
      <c r="AE273" s="48">
        <f t="shared" si="58"/>
        <v>0.99780194563213764</v>
      </c>
      <c r="AF273" s="48">
        <f t="shared" si="62"/>
        <v>0.54029722791594681</v>
      </c>
      <c r="AH273" s="48">
        <f t="shared" si="63"/>
        <v>0</v>
      </c>
    </row>
    <row r="274" spans="4:34" ht="13.9" customHeight="1">
      <c r="D274" s="8"/>
      <c r="E274" s="9"/>
      <c r="F274" s="18"/>
      <c r="G274" s="18"/>
      <c r="H274" s="18"/>
      <c r="J274" s="40"/>
      <c r="K274" s="40"/>
      <c r="L274" s="40"/>
      <c r="M274" s="38"/>
      <c r="O274" s="12">
        <f t="shared" si="53"/>
        <v>21.75</v>
      </c>
      <c r="P274" s="13">
        <v>261</v>
      </c>
      <c r="Q274" s="21">
        <v>2.8813248969860927E-2</v>
      </c>
      <c r="R274" s="18">
        <f t="shared" si="54"/>
        <v>2.6589107819731339E-2</v>
      </c>
      <c r="S274" s="21">
        <v>2.8745757694691898E-2</v>
      </c>
      <c r="T274" s="18">
        <f t="shared" si="55"/>
        <v>2.6561921465584337E-2</v>
      </c>
      <c r="U274" s="23">
        <v>3.3071405619252259E-2</v>
      </c>
      <c r="V274" s="23">
        <f t="shared" si="56"/>
        <v>3.0871927347608352E-2</v>
      </c>
      <c r="W274" s="22">
        <f t="shared" si="59"/>
        <v>2.5357036892219575E-3</v>
      </c>
      <c r="X274" s="23">
        <v>3.2208382265905167E-2</v>
      </c>
      <c r="Y274" s="23">
        <f t="shared" si="60"/>
        <v>3.0011790028467322E-2</v>
      </c>
      <c r="Z274" s="22">
        <f t="shared" si="61"/>
        <v>2.4655001534019672E-3</v>
      </c>
      <c r="AA274" s="33"/>
      <c r="AB274" s="50">
        <f t="shared" si="57"/>
        <v>261</v>
      </c>
      <c r="AC274" s="48">
        <f t="shared" si="52"/>
        <v>0.53911333192569244</v>
      </c>
      <c r="AE274" s="48">
        <f t="shared" si="58"/>
        <v>0.99780880609952372</v>
      </c>
      <c r="AF274" s="48">
        <f t="shared" si="62"/>
        <v>0.53911333192569311</v>
      </c>
      <c r="AH274" s="48">
        <f t="shared" si="63"/>
        <v>0</v>
      </c>
    </row>
    <row r="275" spans="4:34" ht="13.9" customHeight="1">
      <c r="D275" s="8"/>
      <c r="E275" s="9"/>
      <c r="F275" s="18"/>
      <c r="G275" s="18"/>
      <c r="H275" s="18"/>
      <c r="J275" s="40"/>
      <c r="K275" s="40"/>
      <c r="L275" s="40"/>
      <c r="M275" s="38"/>
      <c r="O275" s="12">
        <f t="shared" si="53"/>
        <v>21.833333333333332</v>
      </c>
      <c r="P275" s="13">
        <v>262</v>
      </c>
      <c r="Q275" s="21">
        <v>2.8804750727281281E-2</v>
      </c>
      <c r="R275" s="18">
        <f t="shared" si="54"/>
        <v>2.6506646379771404E-2</v>
      </c>
      <c r="S275" s="21">
        <v>2.8737413616110929E-2</v>
      </c>
      <c r="T275" s="18">
        <f t="shared" si="55"/>
        <v>2.6616465836193592E-2</v>
      </c>
      <c r="U275" s="23">
        <v>3.3063001748783183E-2</v>
      </c>
      <c r="V275" s="23">
        <f t="shared" si="56"/>
        <v>3.0894871859454609E-2</v>
      </c>
      <c r="W275" s="22">
        <f t="shared" si="59"/>
        <v>2.5369606139244993E-3</v>
      </c>
      <c r="X275" s="23">
        <v>3.2199989426786146E-2</v>
      </c>
      <c r="Y275" s="23">
        <f t="shared" si="60"/>
        <v>3.0040841029892462E-2</v>
      </c>
      <c r="Z275" s="22">
        <f t="shared" si="61"/>
        <v>2.4672260056248785E-3</v>
      </c>
      <c r="AA275" s="33"/>
      <c r="AB275" s="50">
        <f t="shared" si="57"/>
        <v>262</v>
      </c>
      <c r="AC275" s="48">
        <f t="shared" si="52"/>
        <v>0.53793567977446755</v>
      </c>
      <c r="AE275" s="48">
        <f t="shared" si="58"/>
        <v>0.99781557590679626</v>
      </c>
      <c r="AF275" s="48">
        <f t="shared" si="62"/>
        <v>0.53793567977446732</v>
      </c>
      <c r="AH275" s="48">
        <f t="shared" si="63"/>
        <v>0</v>
      </c>
    </row>
    <row r="276" spans="4:34" ht="13.9" customHeight="1">
      <c r="D276" s="8"/>
      <c r="E276" s="9"/>
      <c r="F276" s="18"/>
      <c r="G276" s="18"/>
      <c r="H276" s="18"/>
      <c r="J276" s="40"/>
      <c r="K276" s="40"/>
      <c r="L276" s="40"/>
      <c r="M276" s="38"/>
      <c r="O276" s="12">
        <f t="shared" si="53"/>
        <v>21.916666666666668</v>
      </c>
      <c r="P276" s="13">
        <v>263</v>
      </c>
      <c r="Q276" s="21">
        <v>2.8796002951222643E-2</v>
      </c>
      <c r="R276" s="18">
        <f t="shared" si="54"/>
        <v>2.6425303174286929E-2</v>
      </c>
      <c r="S276" s="21">
        <v>2.8729340882885923E-2</v>
      </c>
      <c r="T276" s="18">
        <f t="shared" si="55"/>
        <v>2.6680129158641375E-2</v>
      </c>
      <c r="U276" s="23">
        <v>3.3054749278903506E-2</v>
      </c>
      <c r="V276" s="23">
        <f t="shared" si="56"/>
        <v>3.0925224419677377E-2</v>
      </c>
      <c r="W276" s="22">
        <f t="shared" si="59"/>
        <v>2.5388200824243423E-3</v>
      </c>
      <c r="X276" s="23">
        <v>3.2191771171303341E-2</v>
      </c>
      <c r="Y276" s="23">
        <f t="shared" si="60"/>
        <v>3.0077634030590605E-2</v>
      </c>
      <c r="Z276" s="22">
        <f t="shared" si="61"/>
        <v>2.4695821518221361E-3</v>
      </c>
      <c r="AA276" s="33"/>
      <c r="AB276" s="50">
        <f t="shared" si="57"/>
        <v>263</v>
      </c>
      <c r="AC276" s="48">
        <f t="shared" si="52"/>
        <v>0.53676419324176583</v>
      </c>
      <c r="AE276" s="48">
        <f t="shared" si="58"/>
        <v>0.99782225537969138</v>
      </c>
      <c r="AF276" s="48">
        <f t="shared" si="62"/>
        <v>0.53676419324176639</v>
      </c>
      <c r="AH276" s="48">
        <f t="shared" si="63"/>
        <v>0</v>
      </c>
    </row>
    <row r="277" spans="4:34" ht="13.9" customHeight="1">
      <c r="D277" s="8"/>
      <c r="E277" s="9"/>
      <c r="F277" s="18"/>
      <c r="G277" s="18"/>
      <c r="H277" s="18"/>
      <c r="J277" s="40"/>
      <c r="K277" s="40"/>
      <c r="L277" s="40"/>
      <c r="M277" s="38"/>
      <c r="O277" s="12">
        <f t="shared" si="53"/>
        <v>22</v>
      </c>
      <c r="P277" s="13">
        <v>264</v>
      </c>
      <c r="Q277" s="21">
        <v>2.8787012704768689E-2</v>
      </c>
      <c r="R277" s="18">
        <f t="shared" si="54"/>
        <v>2.6345071442725798E-2</v>
      </c>
      <c r="S277" s="21">
        <v>2.8721571005271951E-2</v>
      </c>
      <c r="T277" s="18">
        <f t="shared" si="55"/>
        <v>2.6752870742841939E-2</v>
      </c>
      <c r="U277" s="23">
        <v>3.3046674603010473E-2</v>
      </c>
      <c r="V277" s="23">
        <f t="shared" si="56"/>
        <v>3.0962959043626226E-2</v>
      </c>
      <c r="W277" s="22">
        <f t="shared" si="59"/>
        <v>2.5412798554906857E-3</v>
      </c>
      <c r="X277" s="23">
        <v>3.2183754894888228E-2</v>
      </c>
      <c r="Y277" s="23">
        <f t="shared" si="60"/>
        <v>3.012214042866268E-2</v>
      </c>
      <c r="Z277" s="22">
        <f t="shared" si="61"/>
        <v>2.4725661160440726E-3</v>
      </c>
      <c r="AA277" s="33"/>
      <c r="AB277" s="50">
        <f t="shared" si="57"/>
        <v>264</v>
      </c>
      <c r="AC277" s="48">
        <f t="shared" si="52"/>
        <v>0.53559879489596363</v>
      </c>
      <c r="AE277" s="48">
        <f t="shared" si="58"/>
        <v>0.99782884484383305</v>
      </c>
      <c r="AF277" s="48">
        <f t="shared" si="62"/>
        <v>0.53559879489596374</v>
      </c>
      <c r="AH277" s="48">
        <f t="shared" si="63"/>
        <v>0</v>
      </c>
    </row>
    <row r="278" spans="4:34" ht="13.9" customHeight="1">
      <c r="D278" s="8"/>
      <c r="E278" s="9"/>
      <c r="F278" s="18"/>
      <c r="G278" s="18"/>
      <c r="H278" s="18"/>
      <c r="J278" s="40"/>
      <c r="K278" s="40"/>
      <c r="L278" s="40"/>
      <c r="M278" s="38"/>
      <c r="O278" s="12">
        <f t="shared" si="53"/>
        <v>22.083333333333332</v>
      </c>
      <c r="P278" s="13">
        <v>265</v>
      </c>
      <c r="Q278" s="21">
        <v>2.8777786919845783E-2</v>
      </c>
      <c r="R278" s="18">
        <f t="shared" si="54"/>
        <v>2.6265937062429412E-2</v>
      </c>
      <c r="S278" s="21">
        <v>2.8714134856848927E-2</v>
      </c>
      <c r="T278" s="18">
        <f t="shared" si="55"/>
        <v>2.6834651887863936E-2</v>
      </c>
      <c r="U278" s="23">
        <v>3.3038803614589884E-2</v>
      </c>
      <c r="V278" s="23">
        <f t="shared" si="56"/>
        <v>3.1008050976456314E-2</v>
      </c>
      <c r="W278" s="22">
        <f t="shared" si="59"/>
        <v>2.5443377788212374E-3</v>
      </c>
      <c r="X278" s="23">
        <v>3.2175967467370947E-2</v>
      </c>
      <c r="Y278" s="23">
        <f t="shared" si="60"/>
        <v>3.0174332986493191E-2</v>
      </c>
      <c r="Z278" s="22">
        <f t="shared" si="61"/>
        <v>2.4761755170970012E-3</v>
      </c>
      <c r="AA278" s="33"/>
      <c r="AB278" s="50">
        <f t="shared" si="57"/>
        <v>265</v>
      </c>
      <c r="AC278" s="48">
        <f t="shared" si="52"/>
        <v>0.53443940819217961</v>
      </c>
      <c r="AE278" s="48">
        <f t="shared" si="58"/>
        <v>0.99783534482371461</v>
      </c>
      <c r="AF278" s="48">
        <f t="shared" si="62"/>
        <v>0.53443940819217994</v>
      </c>
      <c r="AH278" s="48">
        <f t="shared" si="63"/>
        <v>0</v>
      </c>
    </row>
    <row r="279" spans="4:34" ht="13.9" customHeight="1">
      <c r="D279" s="8"/>
      <c r="E279" s="9"/>
      <c r="F279" s="18"/>
      <c r="G279" s="18"/>
      <c r="H279" s="18"/>
      <c r="J279" s="40"/>
      <c r="K279" s="40"/>
      <c r="L279" s="40"/>
      <c r="M279" s="38"/>
      <c r="O279" s="12">
        <f t="shared" si="53"/>
        <v>22.166666666666668</v>
      </c>
      <c r="P279" s="13">
        <v>266</v>
      </c>
      <c r="Q279" s="21">
        <v>2.8768332371909899E-2</v>
      </c>
      <c r="R279" s="18">
        <f t="shared" si="54"/>
        <v>2.6187893296038434E-2</v>
      </c>
      <c r="S279" s="21">
        <v>2.8707062693222207E-2</v>
      </c>
      <c r="T279" s="18">
        <f t="shared" si="55"/>
        <v>2.6925435932899422E-2</v>
      </c>
      <c r="U279" s="23">
        <v>3.3031161720714408E-2</v>
      </c>
      <c r="V279" s="23">
        <f t="shared" si="56"/>
        <v>3.1060476728761444E-2</v>
      </c>
      <c r="W279" s="22">
        <f t="shared" si="59"/>
        <v>2.5479917862498702E-3</v>
      </c>
      <c r="X279" s="23">
        <v>3.2168435247424965E-2</v>
      </c>
      <c r="Y279" s="23">
        <f t="shared" si="60"/>
        <v>3.0234185870893215E-2</v>
      </c>
      <c r="Z279" s="22">
        <f t="shared" si="61"/>
        <v>2.4804080718858756E-3</v>
      </c>
      <c r="AA279" s="33"/>
      <c r="AB279" s="50">
        <f t="shared" si="57"/>
        <v>266</v>
      </c>
      <c r="AC279" s="48">
        <f t="shared" si="52"/>
        <v>0.53328595778168753</v>
      </c>
      <c r="AE279" s="48">
        <f t="shared" si="58"/>
        <v>0.99784175644084117</v>
      </c>
      <c r="AF279" s="48">
        <f t="shared" si="62"/>
        <v>0.53328595778168852</v>
      </c>
      <c r="AH279" s="48">
        <f t="shared" si="63"/>
        <v>9.9920072216264089E-16</v>
      </c>
    </row>
    <row r="280" spans="4:34" ht="13.9" customHeight="1">
      <c r="D280" s="8"/>
      <c r="E280" s="9"/>
      <c r="F280" s="18"/>
      <c r="G280" s="18"/>
      <c r="H280" s="18"/>
      <c r="J280" s="40"/>
      <c r="K280" s="40"/>
      <c r="L280" s="40"/>
      <c r="M280" s="38"/>
      <c r="O280" s="12">
        <f t="shared" si="53"/>
        <v>22.25</v>
      </c>
      <c r="P280" s="13">
        <v>267</v>
      </c>
      <c r="Q280" s="21">
        <v>2.875865571056746E-2</v>
      </c>
      <c r="R280" s="18">
        <f t="shared" si="54"/>
        <v>2.6110935874146035E-2</v>
      </c>
      <c r="S280" s="21">
        <v>2.8700384170513793E-2</v>
      </c>
      <c r="T280" s="18">
        <f t="shared" si="55"/>
        <v>2.7025188309134807E-2</v>
      </c>
      <c r="U280" s="23">
        <v>3.3023773855384686E-2</v>
      </c>
      <c r="V280" s="23">
        <f t="shared" si="56"/>
        <v>3.1120214113908196E-2</v>
      </c>
      <c r="W280" s="22">
        <f t="shared" si="59"/>
        <v>2.5522399027528841E-3</v>
      </c>
      <c r="X280" s="23">
        <v>3.2161184096852313E-2</v>
      </c>
      <c r="Y280" s="23">
        <f t="shared" si="60"/>
        <v>3.030167469156142E-2</v>
      </c>
      <c r="Z280" s="22">
        <f t="shared" si="61"/>
        <v>2.4852615988033566E-3</v>
      </c>
      <c r="AA280" s="33"/>
      <c r="AB280" s="50">
        <f t="shared" si="57"/>
        <v>267</v>
      </c>
      <c r="AC280" s="48">
        <f t="shared" si="52"/>
        <v>0.53213836918018698</v>
      </c>
      <c r="AE280" s="48">
        <f t="shared" si="58"/>
        <v>0.99784808021896032</v>
      </c>
      <c r="AF280" s="48">
        <f t="shared" si="62"/>
        <v>0.53213836918018742</v>
      </c>
      <c r="AH280" s="48">
        <f t="shared" si="63"/>
        <v>0</v>
      </c>
    </row>
    <row r="281" spans="4:34" ht="13.9" customHeight="1">
      <c r="D281" s="8"/>
      <c r="E281" s="9"/>
      <c r="F281" s="18"/>
      <c r="G281" s="18"/>
      <c r="H281" s="18"/>
      <c r="J281" s="40"/>
      <c r="K281" s="40"/>
      <c r="L281" s="40"/>
      <c r="M281" s="38"/>
      <c r="O281" s="12">
        <f t="shared" si="53"/>
        <v>22.333333333333332</v>
      </c>
      <c r="P281" s="13">
        <v>268</v>
      </c>
      <c r="Q281" s="21">
        <v>2.8748763471124983E-2</v>
      </c>
      <c r="R281" s="18">
        <f t="shared" si="54"/>
        <v>2.6035060540201771E-2</v>
      </c>
      <c r="S281" s="21">
        <v>2.8694128363649485E-2</v>
      </c>
      <c r="T281" s="18">
        <f t="shared" si="55"/>
        <v>2.7133876590262673E-2</v>
      </c>
      <c r="U281" s="23">
        <v>3.3016664492721226E-2</v>
      </c>
      <c r="V281" s="23">
        <f t="shared" si="56"/>
        <v>3.1187242283278627E-2</v>
      </c>
      <c r="W281" s="22">
        <f t="shared" si="59"/>
        <v>2.5570802475831655E-3</v>
      </c>
      <c r="X281" s="23">
        <v>3.2154239394704742E-2</v>
      </c>
      <c r="Y281" s="23">
        <f t="shared" si="60"/>
        <v>3.037677654036397E-2</v>
      </c>
      <c r="Z281" s="22">
        <f t="shared" si="61"/>
        <v>2.4907340209714413E-3</v>
      </c>
      <c r="AA281" s="33"/>
      <c r="AB281" s="50">
        <f t="shared" si="57"/>
        <v>268</v>
      </c>
      <c r="AC281" s="48">
        <f t="shared" si="52"/>
        <v>0.53099656865230072</v>
      </c>
      <c r="AE281" s="48">
        <f t="shared" si="58"/>
        <v>0.99785431648229928</v>
      </c>
      <c r="AF281" s="48">
        <f t="shared" si="62"/>
        <v>0.53099656865230138</v>
      </c>
      <c r="AH281" s="48">
        <f t="shared" si="63"/>
        <v>0</v>
      </c>
    </row>
    <row r="282" spans="4:34" ht="13.9" customHeight="1">
      <c r="D282" s="8"/>
      <c r="E282" s="9"/>
      <c r="F282" s="18"/>
      <c r="G282" s="18"/>
      <c r="H282" s="18"/>
      <c r="J282" s="40"/>
      <c r="K282" s="40"/>
      <c r="L282" s="40"/>
      <c r="M282" s="38"/>
      <c r="O282" s="12">
        <f t="shared" si="53"/>
        <v>22.416666666666668</v>
      </c>
      <c r="P282" s="13">
        <v>269</v>
      </c>
      <c r="Q282" s="21">
        <v>2.8738662076733146E-2</v>
      </c>
      <c r="R282" s="18">
        <f t="shared" si="54"/>
        <v>2.5960263050082144E-2</v>
      </c>
      <c r="S282" s="21">
        <v>2.868832378444286E-2</v>
      </c>
      <c r="T282" s="18">
        <f t="shared" si="55"/>
        <v>2.7251470543643519E-2</v>
      </c>
      <c r="U282" s="23">
        <v>3.300985766000486E-2</v>
      </c>
      <c r="V282" s="23">
        <f t="shared" si="56"/>
        <v>3.1261541762975797E-2</v>
      </c>
      <c r="W282" s="22">
        <f t="shared" si="59"/>
        <v>2.5625110372231585E-3</v>
      </c>
      <c r="X282" s="23">
        <v>3.2147626051246769E-2</v>
      </c>
      <c r="Y282" s="23">
        <f t="shared" si="60"/>
        <v>3.0459470030758329E-2</v>
      </c>
      <c r="Z282" s="22">
        <f t="shared" si="61"/>
        <v>2.496823369537049E-3</v>
      </c>
      <c r="AA282" s="33"/>
      <c r="AB282" s="50">
        <f t="shared" si="57"/>
        <v>269</v>
      </c>
      <c r="AC282" s="48">
        <f t="shared" si="52"/>
        <v>0.52986048320320245</v>
      </c>
      <c r="AE282" s="48">
        <f t="shared" si="58"/>
        <v>0.99786046555445262</v>
      </c>
      <c r="AF282" s="48">
        <f t="shared" si="62"/>
        <v>0.52986048320320234</v>
      </c>
      <c r="AH282" s="48">
        <f t="shared" si="63"/>
        <v>0</v>
      </c>
    </row>
    <row r="283" spans="4:34" ht="13.9" customHeight="1">
      <c r="D283" s="8"/>
      <c r="E283" s="9"/>
      <c r="F283" s="18"/>
      <c r="G283" s="18"/>
      <c r="H283" s="18"/>
      <c r="J283" s="40"/>
      <c r="K283" s="40"/>
      <c r="L283" s="40"/>
      <c r="M283" s="38"/>
      <c r="O283" s="12">
        <f t="shared" si="53"/>
        <v>22.5</v>
      </c>
      <c r="P283" s="13">
        <v>270</v>
      </c>
      <c r="Q283" s="21">
        <v>2.8728357840483332E-2</v>
      </c>
      <c r="R283" s="18">
        <f t="shared" si="54"/>
        <v>2.5886536749573752E-2</v>
      </c>
      <c r="S283" s="21">
        <v>2.8682998399480963E-2</v>
      </c>
      <c r="T283" s="18">
        <f t="shared" si="55"/>
        <v>2.73779421809901E-2</v>
      </c>
      <c r="U283" s="23">
        <v>3.3003376950571983E-2</v>
      </c>
      <c r="V283" s="23">
        <f t="shared" si="56"/>
        <v>3.1343094490071888E-2</v>
      </c>
      <c r="W283" s="22">
        <f t="shared" si="59"/>
        <v>2.5685305884450838E-3</v>
      </c>
      <c r="X283" s="23">
        <v>3.2141368521765301E-2</v>
      </c>
      <c r="Y283" s="23">
        <f t="shared" si="60"/>
        <v>3.054973533558214E-2</v>
      </c>
      <c r="Z283" s="22">
        <f t="shared" si="61"/>
        <v>2.503527786964721E-3</v>
      </c>
      <c r="AA283" s="33"/>
      <c r="AB283" s="50">
        <f t="shared" si="57"/>
        <v>270</v>
      </c>
      <c r="AC283" s="48">
        <f t="shared" si="52"/>
        <v>0.52873004057037432</v>
      </c>
      <c r="AE283" s="48">
        <f t="shared" si="58"/>
        <v>0.997866527758413</v>
      </c>
      <c r="AF283" s="48">
        <f t="shared" si="62"/>
        <v>0.52873004057037443</v>
      </c>
      <c r="AH283" s="48">
        <f t="shared" si="63"/>
        <v>0</v>
      </c>
    </row>
    <row r="284" spans="4:34" ht="13.9" customHeight="1">
      <c r="D284" s="8"/>
      <c r="E284" s="9"/>
      <c r="F284" s="18"/>
      <c r="G284" s="18"/>
      <c r="H284" s="18"/>
      <c r="J284" s="40"/>
      <c r="K284" s="40"/>
      <c r="L284" s="40"/>
      <c r="M284" s="38"/>
      <c r="O284" s="12">
        <f t="shared" si="53"/>
        <v>22.583333333333332</v>
      </c>
      <c r="P284" s="13">
        <v>271</v>
      </c>
      <c r="Q284" s="21">
        <v>2.8717856958493382E-2</v>
      </c>
      <c r="R284" s="18">
        <f t="shared" si="54"/>
        <v>2.5813867728597284E-2</v>
      </c>
      <c r="S284" s="21">
        <v>2.8678179647814606E-2</v>
      </c>
      <c r="T284" s="18">
        <f t="shared" si="55"/>
        <v>2.7513265808446485E-2</v>
      </c>
      <c r="U284" s="23">
        <v>3.2997245536567466E-2</v>
      </c>
      <c r="V284" s="23">
        <f t="shared" si="56"/>
        <v>3.1431883848208164E-2</v>
      </c>
      <c r="W284" s="22">
        <f t="shared" si="59"/>
        <v>2.5751373213249718E-3</v>
      </c>
      <c r="X284" s="23">
        <v>3.2135490820223156E-2</v>
      </c>
      <c r="Y284" s="23">
        <f t="shared" si="60"/>
        <v>3.0647554226633789E-2</v>
      </c>
      <c r="Z284" s="22">
        <f t="shared" si="61"/>
        <v>2.510845530186101E-3</v>
      </c>
      <c r="AA284" s="33"/>
      <c r="AB284" s="50">
        <f t="shared" si="57"/>
        <v>271</v>
      </c>
      <c r="AC284" s="48">
        <f t="shared" si="52"/>
        <v>0.52760516931932644</v>
      </c>
      <c r="AE284" s="48">
        <f t="shared" si="58"/>
        <v>0.99787250361293101</v>
      </c>
      <c r="AF284" s="48">
        <f t="shared" si="62"/>
        <v>0.52760516931932611</v>
      </c>
      <c r="AH284" s="48">
        <f t="shared" si="63"/>
        <v>0</v>
      </c>
    </row>
    <row r="285" spans="4:34" ht="13.9" customHeight="1">
      <c r="D285" s="8"/>
      <c r="E285" s="9"/>
      <c r="F285" s="18"/>
      <c r="G285" s="18"/>
      <c r="H285" s="18"/>
      <c r="J285" s="40"/>
      <c r="K285" s="40"/>
      <c r="L285" s="40"/>
      <c r="M285" s="38"/>
      <c r="O285" s="12">
        <f t="shared" si="53"/>
        <v>22.666666666666668</v>
      </c>
      <c r="P285" s="13">
        <v>272</v>
      </c>
      <c r="Q285" s="21">
        <v>2.8707165485279296E-2</v>
      </c>
      <c r="R285" s="18">
        <f t="shared" si="54"/>
        <v>2.574224936792513E-2</v>
      </c>
      <c r="S285" s="21">
        <v>2.8673894458453697E-2</v>
      </c>
      <c r="T285" s="18">
        <f t="shared" si="55"/>
        <v>2.7657418078475882E-2</v>
      </c>
      <c r="U285" s="23">
        <v>3.299148618155523E-2</v>
      </c>
      <c r="V285" s="23">
        <f t="shared" si="56"/>
        <v>3.152789470328643E-2</v>
      </c>
      <c r="W285" s="22">
        <f t="shared" si="59"/>
        <v>2.582329762189195E-3</v>
      </c>
      <c r="X285" s="23">
        <v>3.2130016532764705E-2</v>
      </c>
      <c r="Y285" s="23">
        <f t="shared" si="60"/>
        <v>3.0752910113027054E-2</v>
      </c>
      <c r="Z285" s="22">
        <f t="shared" si="61"/>
        <v>2.5187749738782017E-3</v>
      </c>
      <c r="AA285" s="33"/>
      <c r="AB285" s="50">
        <f t="shared" si="57"/>
        <v>272</v>
      </c>
      <c r="AC285" s="48">
        <f t="shared" si="52"/>
        <v>0.52648579914539173</v>
      </c>
      <c r="AE285" s="48">
        <f t="shared" si="58"/>
        <v>0.99787839422540392</v>
      </c>
      <c r="AF285" s="48">
        <f t="shared" si="62"/>
        <v>0.52648579914539151</v>
      </c>
      <c r="AH285" s="48">
        <f t="shared" si="63"/>
        <v>0</v>
      </c>
    </row>
    <row r="286" spans="4:34" ht="13.9" customHeight="1">
      <c r="D286" s="8"/>
      <c r="E286" s="9"/>
      <c r="F286" s="18"/>
      <c r="G286" s="18"/>
      <c r="H286" s="18"/>
      <c r="J286" s="40"/>
      <c r="K286" s="40"/>
      <c r="L286" s="40"/>
      <c r="M286" s="38"/>
      <c r="O286" s="12">
        <f t="shared" si="53"/>
        <v>22.75</v>
      </c>
      <c r="P286" s="13">
        <v>273</v>
      </c>
      <c r="Q286" s="21">
        <v>2.8696289363098648E-2</v>
      </c>
      <c r="R286" s="18">
        <f t="shared" si="54"/>
        <v>2.5671677489706113E-2</v>
      </c>
      <c r="S286" s="21">
        <v>2.8670169267679402E-2</v>
      </c>
      <c r="T286" s="18">
        <f t="shared" si="55"/>
        <v>2.7810378039354378E-2</v>
      </c>
      <c r="U286" s="23">
        <v>3.2986121252989831E-2</v>
      </c>
      <c r="V286" s="23">
        <f t="shared" si="56"/>
        <v>3.163111344037639E-2</v>
      </c>
      <c r="W286" s="22">
        <f t="shared" si="59"/>
        <v>2.5901065465585571E-3</v>
      </c>
      <c r="X286" s="23">
        <v>3.2124968831074296E-2</v>
      </c>
      <c r="Y286" s="23">
        <f t="shared" si="60"/>
        <v>3.0865788080289169E-2</v>
      </c>
      <c r="Z286" s="22">
        <f t="shared" si="61"/>
        <v>2.527314613630427E-3</v>
      </c>
      <c r="AA286" s="33"/>
      <c r="AB286" s="50">
        <f t="shared" si="57"/>
        <v>273</v>
      </c>
      <c r="AC286" s="48">
        <f t="shared" si="52"/>
        <v>0.52537186055094132</v>
      </c>
      <c r="AE286" s="48">
        <f t="shared" si="58"/>
        <v>0.99788420011278878</v>
      </c>
      <c r="AF286" s="48">
        <f t="shared" si="62"/>
        <v>0.52537186055094143</v>
      </c>
      <c r="AH286" s="48">
        <f t="shared" si="63"/>
        <v>0</v>
      </c>
    </row>
    <row r="287" spans="4:34" ht="13.9" customHeight="1">
      <c r="D287" s="8"/>
      <c r="E287" s="9"/>
      <c r="F287" s="18"/>
      <c r="G287" s="18"/>
      <c r="H287" s="18"/>
      <c r="J287" s="40"/>
      <c r="K287" s="40"/>
      <c r="L287" s="40"/>
      <c r="M287" s="38"/>
      <c r="O287" s="12">
        <f t="shared" si="53"/>
        <v>22.833333333333332</v>
      </c>
      <c r="P287" s="13">
        <v>274</v>
      </c>
      <c r="Q287" s="21">
        <v>2.8685234432909379E-2</v>
      </c>
      <c r="R287" s="18">
        <f t="shared" si="54"/>
        <v>2.5602147932696884E-2</v>
      </c>
      <c r="S287" s="21">
        <v>2.8667030036165109E-2</v>
      </c>
      <c r="T287" s="18">
        <f t="shared" si="55"/>
        <v>2.797212718801223E-2</v>
      </c>
      <c r="U287" s="23">
        <v>3.2981172734555919E-2</v>
      </c>
      <c r="V287" s="23">
        <f t="shared" si="56"/>
        <v>3.1741527999157304E-2</v>
      </c>
      <c r="W287" s="22">
        <f t="shared" si="59"/>
        <v>2.5984664221783138E-3</v>
      </c>
      <c r="X287" s="23">
        <v>3.2120370485590799E-2</v>
      </c>
      <c r="Y287" s="23">
        <f t="shared" si="60"/>
        <v>3.09861749293594E-2</v>
      </c>
      <c r="Z287" s="22">
        <f t="shared" si="61"/>
        <v>2.5364630691571133E-3</v>
      </c>
      <c r="AA287" s="33"/>
      <c r="AB287" s="50">
        <f t="shared" si="57"/>
        <v>274</v>
      </c>
      <c r="AC287" s="48">
        <f t="shared" si="52"/>
        <v>0.52426328473315975</v>
      </c>
      <c r="AE287" s="48">
        <f t="shared" si="58"/>
        <v>0.99788992159454659</v>
      </c>
      <c r="AF287" s="48">
        <f t="shared" si="62"/>
        <v>0.52426328473315997</v>
      </c>
      <c r="AH287" s="48">
        <f t="shared" si="63"/>
        <v>0</v>
      </c>
    </row>
    <row r="288" spans="4:34" ht="13.9" customHeight="1">
      <c r="D288" s="8"/>
      <c r="E288" s="9"/>
      <c r="F288" s="18"/>
      <c r="G288" s="18"/>
      <c r="H288" s="18"/>
      <c r="J288" s="40"/>
      <c r="K288" s="40"/>
      <c r="L288" s="40"/>
      <c r="M288" s="38"/>
      <c r="O288" s="12">
        <f t="shared" si="53"/>
        <v>22.916666666666668</v>
      </c>
      <c r="P288" s="13">
        <v>275</v>
      </c>
      <c r="Q288" s="21">
        <v>2.8674006436248956E-2</v>
      </c>
      <c r="R288" s="18">
        <f t="shared" si="54"/>
        <v>2.5533656554008521E-2</v>
      </c>
      <c r="S288" s="21">
        <v>2.866450226592443E-2</v>
      </c>
      <c r="T288" s="18">
        <f t="shared" si="55"/>
        <v>2.814264951981027E-2</v>
      </c>
      <c r="U288" s="23">
        <v>3.2976662238373367E-2</v>
      </c>
      <c r="V288" s="23">
        <f t="shared" si="56"/>
        <v>3.1859127910957907E-2</v>
      </c>
      <c r="W288" s="22">
        <f t="shared" si="59"/>
        <v>2.6074082519154107E-3</v>
      </c>
      <c r="X288" s="23">
        <v>3.2116243878581807E-2</v>
      </c>
      <c r="Y288" s="23">
        <f t="shared" si="60"/>
        <v>3.1114059215580747E-2</v>
      </c>
      <c r="Z288" s="22">
        <f t="shared" si="61"/>
        <v>2.5462190874856461E-3</v>
      </c>
      <c r="AA288" s="33"/>
      <c r="AB288" s="50">
        <f t="shared" si="57"/>
        <v>275</v>
      </c>
      <c r="AC288" s="48">
        <f t="shared" si="52"/>
        <v>0.52316000357629411</v>
      </c>
      <c r="AE288" s="48">
        <f t="shared" si="58"/>
        <v>0.99789555898916971</v>
      </c>
      <c r="AF288" s="48">
        <f t="shared" si="62"/>
        <v>0.52316000357629489</v>
      </c>
      <c r="AH288" s="48">
        <f t="shared" si="63"/>
        <v>0</v>
      </c>
    </row>
    <row r="289" spans="4:34" ht="13.9" customHeight="1">
      <c r="D289" s="8"/>
      <c r="E289" s="9"/>
      <c r="F289" s="18"/>
      <c r="G289" s="18"/>
      <c r="H289" s="18"/>
      <c r="J289" s="40"/>
      <c r="K289" s="40"/>
      <c r="L289" s="40"/>
      <c r="M289" s="38"/>
      <c r="O289" s="12">
        <f t="shared" si="53"/>
        <v>23</v>
      </c>
      <c r="P289" s="13">
        <v>276</v>
      </c>
      <c r="Q289" s="21">
        <v>2.866261101707912E-2</v>
      </c>
      <c r="R289" s="18">
        <f t="shared" si="54"/>
        <v>2.5466196838130895E-2</v>
      </c>
      <c r="S289" s="21">
        <v>2.8662611017077122E-2</v>
      </c>
      <c r="T289" s="18">
        <f t="shared" si="55"/>
        <v>2.8320079034479306E-2</v>
      </c>
      <c r="U289" s="23">
        <v>3.297261101707627E-2</v>
      </c>
      <c r="V289" s="23">
        <f t="shared" si="56"/>
        <v>3.1982458649601586E-2</v>
      </c>
      <c r="W289" s="22">
        <f t="shared" si="59"/>
        <v>2.6169310167736271E-3</v>
      </c>
      <c r="X289" s="23">
        <v>3.2112611017081294E-2</v>
      </c>
      <c r="Y289" s="23">
        <f t="shared" si="60"/>
        <v>3.1247907025997002E-2</v>
      </c>
      <c r="Z289" s="22">
        <f t="shared" si="61"/>
        <v>2.5565815461310315E-3</v>
      </c>
      <c r="AA289" s="33"/>
      <c r="AB289" s="50">
        <f t="shared" si="57"/>
        <v>276</v>
      </c>
      <c r="AC289" s="48">
        <f t="shared" si="52"/>
        <v>0.52206194964394681</v>
      </c>
      <c r="AE289" s="48">
        <f t="shared" si="58"/>
        <v>0.99790111261403491</v>
      </c>
      <c r="AF289" s="48">
        <f t="shared" si="62"/>
        <v>0.52206194964394714</v>
      </c>
      <c r="AH289" s="48">
        <f t="shared" si="63"/>
        <v>0</v>
      </c>
    </row>
    <row r="290" spans="4:34" ht="13.9" customHeight="1">
      <c r="D290" s="8"/>
      <c r="E290" s="9"/>
      <c r="F290" s="18"/>
      <c r="G290" s="18"/>
      <c r="H290" s="18"/>
      <c r="J290" s="40"/>
      <c r="K290" s="40"/>
      <c r="L290" s="40"/>
      <c r="M290" s="38"/>
      <c r="O290" s="12">
        <f t="shared" si="53"/>
        <v>23.083333333333332</v>
      </c>
      <c r="P290" s="13">
        <v>277</v>
      </c>
      <c r="Q290" s="21">
        <v>2.8651053714933372E-2</v>
      </c>
      <c r="R290" s="18">
        <f t="shared" si="54"/>
        <v>2.5399755119997591E-2</v>
      </c>
      <c r="S290" s="21">
        <v>2.8661374234337789E-2</v>
      </c>
      <c r="T290" s="18">
        <f t="shared" si="55"/>
        <v>2.8497009400608508E-2</v>
      </c>
      <c r="U290" s="23">
        <v>3.2969034751698212E-2</v>
      </c>
      <c r="V290" s="23">
        <f t="shared" si="56"/>
        <v>3.2105738970631181E-2</v>
      </c>
      <c r="W290" s="22">
        <f t="shared" si="59"/>
        <v>2.6269167720924802E-3</v>
      </c>
      <c r="X290" s="23">
        <v>3.2109488038347456E-2</v>
      </c>
      <c r="Y290" s="23">
        <f t="shared" si="60"/>
        <v>3.1381623233612821E-2</v>
      </c>
      <c r="Z290" s="22">
        <f t="shared" si="61"/>
        <v>2.5674259671875088E-3</v>
      </c>
      <c r="AA290" s="33"/>
      <c r="AB290" s="50">
        <f t="shared" si="57"/>
        <v>277</v>
      </c>
      <c r="AC290" s="48">
        <f t="shared" si="52"/>
        <v>0.52096905627269885</v>
      </c>
      <c r="AE290" s="48">
        <f t="shared" si="58"/>
        <v>0.99790658297929413</v>
      </c>
      <c r="AF290" s="48">
        <f t="shared" si="62"/>
        <v>0.52096905627269963</v>
      </c>
      <c r="AH290" s="48">
        <f t="shared" si="63"/>
        <v>0</v>
      </c>
    </row>
    <row r="291" spans="4:34" ht="13.9" customHeight="1">
      <c r="D291" s="8"/>
      <c r="E291" s="9"/>
      <c r="F291" s="18"/>
      <c r="G291" s="18"/>
      <c r="H291" s="18"/>
      <c r="J291" s="40"/>
      <c r="K291" s="40"/>
      <c r="L291" s="40"/>
      <c r="M291" s="38"/>
      <c r="O291" s="12">
        <f t="shared" si="53"/>
        <v>23.166666666666668</v>
      </c>
      <c r="P291" s="13">
        <v>278</v>
      </c>
      <c r="Q291" s="21">
        <v>2.8639339940972119E-2</v>
      </c>
      <c r="R291" s="18">
        <f t="shared" si="54"/>
        <v>2.5334324931023167E-2</v>
      </c>
      <c r="S291" s="21">
        <v>2.8660782946857921E-2</v>
      </c>
      <c r="T291" s="18">
        <f t="shared" si="55"/>
        <v>2.8671619545522553E-2</v>
      </c>
      <c r="U291" s="23">
        <v>3.2965928077490325E-2</v>
      </c>
      <c r="V291" s="23">
        <f t="shared" si="56"/>
        <v>3.2227541032576967E-2</v>
      </c>
      <c r="W291" s="22">
        <f t="shared" si="59"/>
        <v>2.6368973520296546E-3</v>
      </c>
      <c r="X291" s="23">
        <v>3.2106868899303587E-2</v>
      </c>
      <c r="Y291" s="23">
        <f t="shared" si="60"/>
        <v>3.1513703840179819E-2</v>
      </c>
      <c r="Z291" s="22">
        <f t="shared" si="61"/>
        <v>2.5782584374669515E-3</v>
      </c>
      <c r="AA291" s="33"/>
      <c r="AB291" s="50">
        <f t="shared" si="57"/>
        <v>278</v>
      </c>
      <c r="AC291" s="48">
        <f t="shared" si="52"/>
        <v>0.51988125786644901</v>
      </c>
      <c r="AE291" s="48">
        <f t="shared" si="58"/>
        <v>0.99791197117534447</v>
      </c>
      <c r="AF291" s="48">
        <f t="shared" si="62"/>
        <v>0.51988125786644868</v>
      </c>
      <c r="AH291" s="48">
        <f t="shared" si="63"/>
        <v>0</v>
      </c>
    </row>
    <row r="292" spans="4:34" ht="13.9" customHeight="1">
      <c r="D292" s="8"/>
      <c r="E292" s="9"/>
      <c r="F292" s="18"/>
      <c r="G292" s="18"/>
      <c r="H292" s="18"/>
      <c r="J292" s="40"/>
      <c r="K292" s="40"/>
      <c r="L292" s="40"/>
      <c r="M292" s="38"/>
      <c r="O292" s="12">
        <f t="shared" si="53"/>
        <v>23.25</v>
      </c>
      <c r="P292" s="13">
        <v>279</v>
      </c>
      <c r="Q292" s="21">
        <v>2.8627475006133052E-2</v>
      </c>
      <c r="R292" s="18">
        <f t="shared" si="54"/>
        <v>2.5269902214594131E-2</v>
      </c>
      <c r="S292" s="21">
        <v>2.8660821787509505E-2</v>
      </c>
      <c r="T292" s="18">
        <f t="shared" si="55"/>
        <v>2.8843944381077069E-2</v>
      </c>
      <c r="U292" s="23">
        <v>3.2963280585978083E-2</v>
      </c>
      <c r="V292" s="23">
        <f t="shared" si="56"/>
        <v>3.2347884755360434E-2</v>
      </c>
      <c r="W292" s="22">
        <f t="shared" si="59"/>
        <v>2.6467571812924806E-3</v>
      </c>
      <c r="X292" s="23">
        <v>3.2104742250690821E-2</v>
      </c>
      <c r="Y292" s="23">
        <f t="shared" si="60"/>
        <v>3.164417142906184E-2</v>
      </c>
      <c r="Z292" s="22">
        <f t="shared" si="61"/>
        <v>2.5889571424611013E-3</v>
      </c>
      <c r="AA292" s="33"/>
      <c r="AB292" s="50">
        <f t="shared" si="57"/>
        <v>279</v>
      </c>
      <c r="AC292" s="48">
        <f t="shared" si="52"/>
        <v>0.51879848958226937</v>
      </c>
      <c r="AE292" s="48">
        <f t="shared" si="58"/>
        <v>0.99791727770948724</v>
      </c>
      <c r="AF292" s="48">
        <f t="shared" si="62"/>
        <v>0.51879848958227037</v>
      </c>
      <c r="AH292" s="48">
        <f t="shared" si="63"/>
        <v>9.9920072216264089E-16</v>
      </c>
    </row>
    <row r="293" spans="4:34" ht="13.9" customHeight="1">
      <c r="D293" s="8"/>
      <c r="E293" s="9"/>
      <c r="F293" s="18"/>
      <c r="G293" s="18"/>
      <c r="H293" s="18"/>
      <c r="J293" s="40"/>
      <c r="K293" s="40"/>
      <c r="L293" s="40"/>
      <c r="M293" s="38"/>
      <c r="O293" s="12">
        <f t="shared" si="53"/>
        <v>23.333333333333332</v>
      </c>
      <c r="P293" s="13">
        <v>280</v>
      </c>
      <c r="Q293" s="21">
        <v>2.8615464131539925E-2</v>
      </c>
      <c r="R293" s="18">
        <f t="shared" si="54"/>
        <v>2.5206482935703933E-2</v>
      </c>
      <c r="S293" s="21">
        <v>2.8661475738773534E-2</v>
      </c>
      <c r="T293" s="18">
        <f t="shared" si="55"/>
        <v>2.9014018186004353E-2</v>
      </c>
      <c r="U293" s="23">
        <v>3.2961082091114591E-2</v>
      </c>
      <c r="V293" s="23">
        <f t="shared" si="56"/>
        <v>3.2466789741732338E-2</v>
      </c>
      <c r="W293" s="22">
        <f t="shared" si="59"/>
        <v>2.6564979112058129E-3</v>
      </c>
      <c r="X293" s="23">
        <v>3.2103096989088753E-2</v>
      </c>
      <c r="Y293" s="23">
        <f t="shared" si="60"/>
        <v>3.177304821354654E-2</v>
      </c>
      <c r="Z293" s="22">
        <f t="shared" si="61"/>
        <v>2.5995239580962615E-3</v>
      </c>
      <c r="AA293" s="33"/>
      <c r="AB293" s="50">
        <f t="shared" si="57"/>
        <v>280</v>
      </c>
      <c r="AC293" s="48">
        <f t="shared" si="52"/>
        <v>0.51772068722145836</v>
      </c>
      <c r="AE293" s="48">
        <f t="shared" si="58"/>
        <v>0.9979225028937917</v>
      </c>
      <c r="AF293" s="48">
        <f t="shared" si="62"/>
        <v>0.51772068722145792</v>
      </c>
      <c r="AH293" s="48">
        <f t="shared" si="63"/>
        <v>0</v>
      </c>
    </row>
    <row r="294" spans="4:34" ht="13.9" customHeight="1">
      <c r="D294" s="8"/>
      <c r="E294" s="9"/>
      <c r="F294" s="18"/>
      <c r="G294" s="18"/>
      <c r="H294" s="18"/>
      <c r="J294" s="40"/>
      <c r="K294" s="40"/>
      <c r="L294" s="40"/>
      <c r="M294" s="38"/>
      <c r="O294" s="12">
        <f t="shared" si="53"/>
        <v>23.416666666666668</v>
      </c>
      <c r="P294" s="13">
        <v>281</v>
      </c>
      <c r="Q294" s="21">
        <v>2.8603312450159901E-2</v>
      </c>
      <c r="R294" s="18">
        <f t="shared" si="54"/>
        <v>2.5144063081460555E-2</v>
      </c>
      <c r="S294" s="21">
        <v>2.8662730124055846E-2</v>
      </c>
      <c r="T294" s="18">
        <f t="shared" si="55"/>
        <v>2.9181874620251458E-2</v>
      </c>
      <c r="U294" s="23">
        <v>3.2959322624102505E-2</v>
      </c>
      <c r="V294" s="23">
        <f t="shared" si="56"/>
        <v>3.2584275282867114E-2</v>
      </c>
      <c r="W294" s="22">
        <f t="shared" si="59"/>
        <v>2.666121166257085E-3</v>
      </c>
      <c r="X294" s="23">
        <v>3.2101922251114079E-2</v>
      </c>
      <c r="Y294" s="23">
        <f t="shared" si="60"/>
        <v>3.1900356043969236E-2</v>
      </c>
      <c r="Z294" s="22">
        <f t="shared" si="61"/>
        <v>2.6099607288925242E-3</v>
      </c>
      <c r="AA294" s="33"/>
      <c r="AB294" s="50">
        <f t="shared" si="57"/>
        <v>281</v>
      </c>
      <c r="AC294" s="48">
        <f t="shared" si="52"/>
        <v>0.51664778722228222</v>
      </c>
      <c r="AE294" s="48">
        <f t="shared" si="58"/>
        <v>0.99792764703892123</v>
      </c>
      <c r="AF294" s="48">
        <f t="shared" si="62"/>
        <v>0.51664778722228277</v>
      </c>
      <c r="AH294" s="48">
        <f t="shared" si="63"/>
        <v>0</v>
      </c>
    </row>
    <row r="295" spans="4:34" ht="13.9" customHeight="1">
      <c r="D295" s="8"/>
      <c r="E295" s="9"/>
      <c r="F295" s="18"/>
      <c r="G295" s="18"/>
      <c r="H295" s="18"/>
      <c r="J295" s="40"/>
      <c r="K295" s="40"/>
      <c r="L295" s="40"/>
      <c r="M295" s="38"/>
      <c r="O295" s="12">
        <f t="shared" si="53"/>
        <v>23.5</v>
      </c>
      <c r="P295" s="13">
        <v>282</v>
      </c>
      <c r="Q295" s="21">
        <v>2.8591025008424475E-2</v>
      </c>
      <c r="R295" s="18">
        <f t="shared" si="54"/>
        <v>2.5082636305338246E-2</v>
      </c>
      <c r="S295" s="21">
        <v>2.8664570599246986E-2</v>
      </c>
      <c r="T295" s="18">
        <f t="shared" si="55"/>
        <v>2.9347546738595298E-2</v>
      </c>
      <c r="U295" s="23">
        <v>3.2957992428349403E-2</v>
      </c>
      <c r="V295" s="23">
        <f t="shared" si="56"/>
        <v>3.2700360365450321E-2</v>
      </c>
      <c r="W295" s="22">
        <f t="shared" si="59"/>
        <v>2.675628544584141E-3</v>
      </c>
      <c r="X295" s="23">
        <v>3.2101207407771781E-2</v>
      </c>
      <c r="Y295" s="23">
        <f t="shared" si="60"/>
        <v>3.2026116415317274E-2</v>
      </c>
      <c r="Z295" s="22">
        <f t="shared" si="61"/>
        <v>2.6202692685848294E-3</v>
      </c>
      <c r="AA295" s="33"/>
      <c r="AB295" s="50">
        <f t="shared" si="57"/>
        <v>282</v>
      </c>
      <c r="AC295" s="48">
        <f t="shared" si="52"/>
        <v>0.51557972665284002</v>
      </c>
      <c r="AE295" s="48">
        <f t="shared" si="58"/>
        <v>0.99793271045408893</v>
      </c>
      <c r="AF295" s="48">
        <f t="shared" si="62"/>
        <v>0.51557972665284002</v>
      </c>
      <c r="AH295" s="48">
        <f t="shared" si="63"/>
        <v>0</v>
      </c>
    </row>
    <row r="296" spans="4:34" ht="13.9" customHeight="1">
      <c r="D296" s="8"/>
      <c r="E296" s="9"/>
      <c r="F296" s="18"/>
      <c r="G296" s="18"/>
      <c r="H296" s="18"/>
      <c r="J296" s="40"/>
      <c r="K296" s="40"/>
      <c r="L296" s="40"/>
      <c r="M296" s="38"/>
      <c r="O296" s="12">
        <f t="shared" si="53"/>
        <v>23.583333333333332</v>
      </c>
      <c r="P296" s="13">
        <v>283</v>
      </c>
      <c r="Q296" s="21">
        <v>2.8578606759466885E-2</v>
      </c>
      <c r="R296" s="18">
        <f t="shared" si="54"/>
        <v>2.5022189214919832E-2</v>
      </c>
      <c r="S296" s="21">
        <v>2.8666983144516101E-2</v>
      </c>
      <c r="T296" s="18">
        <f t="shared" si="55"/>
        <v>2.9511067003504809E-2</v>
      </c>
      <c r="U296" s="23">
        <v>3.2957081954558154E-2</v>
      </c>
      <c r="V296" s="23">
        <f t="shared" si="56"/>
        <v>3.281506367627518E-2</v>
      </c>
      <c r="W296" s="22">
        <f t="shared" si="59"/>
        <v>2.6850216185825282E-3</v>
      </c>
      <c r="X296" s="23">
        <v>3.2100942058957083E-2</v>
      </c>
      <c r="Y296" s="23">
        <f t="shared" si="60"/>
        <v>3.2150350473854283E-2</v>
      </c>
      <c r="Z296" s="22">
        <f t="shared" si="61"/>
        <v>2.6304513607826596E-3</v>
      </c>
      <c r="AA296" s="33"/>
      <c r="AB296" s="50">
        <f t="shared" si="57"/>
        <v>283</v>
      </c>
      <c r="AC296" s="48">
        <f t="shared" si="52"/>
        <v>0.51451644330253066</v>
      </c>
      <c r="AE296" s="48">
        <f t="shared" si="58"/>
        <v>0.9979376936381662</v>
      </c>
      <c r="AF296" s="48">
        <f t="shared" si="62"/>
        <v>0.51451644330253132</v>
      </c>
      <c r="AH296" s="48">
        <f t="shared" si="63"/>
        <v>0</v>
      </c>
    </row>
    <row r="297" spans="4:34" ht="13.9" customHeight="1">
      <c r="D297" s="8"/>
      <c r="E297" s="9"/>
      <c r="F297" s="18"/>
      <c r="G297" s="18"/>
      <c r="H297" s="18"/>
      <c r="J297" s="40"/>
      <c r="K297" s="40"/>
      <c r="L297" s="40"/>
      <c r="M297" s="38"/>
      <c r="O297" s="12">
        <f t="shared" si="53"/>
        <v>23.666666666666668</v>
      </c>
      <c r="P297" s="13">
        <v>284</v>
      </c>
      <c r="Q297" s="21">
        <v>2.8566062539848946E-2</v>
      </c>
      <c r="R297" s="18">
        <f t="shared" si="54"/>
        <v>2.4962715518805911E-2</v>
      </c>
      <c r="S297" s="21">
        <v>2.866995405633177E-2</v>
      </c>
      <c r="T297" s="18">
        <f t="shared" si="55"/>
        <v>2.9672467299233674E-2</v>
      </c>
      <c r="U297" s="23">
        <v>3.2956581855939637E-2</v>
      </c>
      <c r="V297" s="23">
        <f t="shared" si="56"/>
        <v>3.2928403608784462E-2</v>
      </c>
      <c r="W297" s="22">
        <f t="shared" si="59"/>
        <v>2.6943019353107278E-3</v>
      </c>
      <c r="X297" s="23">
        <v>3.2101116028099508E-2</v>
      </c>
      <c r="Y297" s="23">
        <f t="shared" si="60"/>
        <v>3.227307902413834E-2</v>
      </c>
      <c r="Z297" s="22">
        <f t="shared" si="61"/>
        <v>2.640508759545801E-3</v>
      </c>
      <c r="AA297" s="33"/>
      <c r="AB297" s="50">
        <f t="shared" si="57"/>
        <v>284</v>
      </c>
      <c r="AC297" s="48">
        <f t="shared" si="52"/>
        <v>0.51345787596916892</v>
      </c>
      <c r="AE297" s="48">
        <f t="shared" si="58"/>
        <v>0.99794259766205495</v>
      </c>
      <c r="AF297" s="48">
        <f t="shared" si="62"/>
        <v>0.51345787596916947</v>
      </c>
      <c r="AH297" s="48">
        <f t="shared" si="63"/>
        <v>0</v>
      </c>
    </row>
    <row r="298" spans="4:34" ht="13.9" customHeight="1">
      <c r="D298" s="8"/>
      <c r="E298" s="9"/>
      <c r="F298" s="18"/>
      <c r="G298" s="18"/>
      <c r="H298" s="18"/>
      <c r="J298" s="40"/>
      <c r="K298" s="40"/>
      <c r="L298" s="40"/>
      <c r="M298" s="38"/>
      <c r="O298" s="12">
        <f t="shared" si="53"/>
        <v>23.75</v>
      </c>
      <c r="P298" s="13">
        <v>285</v>
      </c>
      <c r="Q298" s="21">
        <v>2.8553397096586552E-2</v>
      </c>
      <c r="R298" s="18">
        <f t="shared" si="54"/>
        <v>2.4904211309514368E-2</v>
      </c>
      <c r="S298" s="21">
        <v>2.8673469939705987E-2</v>
      </c>
      <c r="T298" s="18">
        <f t="shared" si="55"/>
        <v>2.9831778942682519E-2</v>
      </c>
      <c r="U298" s="23">
        <v>3.2956482983553137E-2</v>
      </c>
      <c r="V298" s="23">
        <f t="shared" si="56"/>
        <v>3.3040398268481042E-2</v>
      </c>
      <c r="W298" s="22">
        <f t="shared" si="59"/>
        <v>2.703471017050818E-3</v>
      </c>
      <c r="X298" s="23">
        <v>3.2101719356949054E-2</v>
      </c>
      <c r="Y298" s="23">
        <f t="shared" si="60"/>
        <v>3.2394322535566955E-2</v>
      </c>
      <c r="Z298" s="22">
        <f t="shared" si="61"/>
        <v>2.6504431899943004E-3</v>
      </c>
      <c r="AA298" s="33"/>
      <c r="AB298" s="50">
        <f t="shared" si="57"/>
        <v>285</v>
      </c>
      <c r="AC298" s="48">
        <f t="shared" si="52"/>
        <v>0.51240396415328171</v>
      </c>
      <c r="AE298" s="48">
        <f t="shared" si="58"/>
        <v>0.99794742302102557</v>
      </c>
      <c r="AF298" s="48">
        <f t="shared" si="62"/>
        <v>0.51240396415328204</v>
      </c>
      <c r="AH298" s="48">
        <f t="shared" si="63"/>
        <v>0</v>
      </c>
    </row>
    <row r="299" spans="4:34" ht="13.9" customHeight="1">
      <c r="D299" s="8"/>
      <c r="E299" s="9"/>
      <c r="F299" s="18"/>
      <c r="G299" s="18"/>
      <c r="H299" s="18"/>
      <c r="J299" s="40"/>
      <c r="K299" s="40"/>
      <c r="L299" s="40"/>
      <c r="M299" s="38"/>
      <c r="O299" s="12">
        <f t="shared" si="53"/>
        <v>23.833333333333332</v>
      </c>
      <c r="P299" s="13">
        <v>286</v>
      </c>
      <c r="Q299" s="21">
        <v>2.8540615097061517E-2</v>
      </c>
      <c r="R299" s="18">
        <f t="shared" si="54"/>
        <v>2.4846672704441186E-2</v>
      </c>
      <c r="S299" s="21">
        <v>2.8677517700646638E-2</v>
      </c>
      <c r="T299" s="18">
        <f t="shared" si="55"/>
        <v>2.9989032697624651E-2</v>
      </c>
      <c r="U299" s="23">
        <v>3.2956776381764641E-2</v>
      </c>
      <c r="V299" s="23">
        <f t="shared" si="56"/>
        <v>3.3151065478086661E-2</v>
      </c>
      <c r="W299" s="22">
        <f t="shared" si="59"/>
        <v>2.7125303617772101E-3</v>
      </c>
      <c r="X299" s="23">
        <v>3.2102742300496701E-2</v>
      </c>
      <c r="Y299" s="23">
        <f t="shared" si="60"/>
        <v>3.2514101149610397E-2</v>
      </c>
      <c r="Z299" s="22">
        <f t="shared" si="61"/>
        <v>2.6602563488760111E-3</v>
      </c>
      <c r="AA299" s="33"/>
      <c r="AB299" s="50">
        <f t="shared" si="57"/>
        <v>286</v>
      </c>
      <c r="AC299" s="48">
        <f t="shared" si="52"/>
        <v>0.51135464795222607</v>
      </c>
      <c r="AE299" s="48">
        <f t="shared" si="58"/>
        <v>0.99795217001728265</v>
      </c>
      <c r="AF299" s="48">
        <f t="shared" si="62"/>
        <v>0.51135464795222574</v>
      </c>
      <c r="AH299" s="48">
        <f t="shared" si="63"/>
        <v>0</v>
      </c>
    </row>
    <row r="300" spans="4:34" ht="13.9" customHeight="1">
      <c r="D300" s="8"/>
      <c r="E300" s="9"/>
      <c r="F300" s="18"/>
      <c r="G300" s="18"/>
      <c r="H300" s="18"/>
      <c r="J300" s="40"/>
      <c r="K300" s="40"/>
      <c r="L300" s="40"/>
      <c r="M300" s="38"/>
      <c r="O300" s="12">
        <f t="shared" si="53"/>
        <v>23.916666666666668</v>
      </c>
      <c r="P300" s="13">
        <v>287</v>
      </c>
      <c r="Q300" s="21">
        <v>2.8527721130479744E-2</v>
      </c>
      <c r="R300" s="18">
        <f t="shared" si="54"/>
        <v>2.4790095847356586E-2</v>
      </c>
      <c r="S300" s="21">
        <v>2.8682084538823149E-2</v>
      </c>
      <c r="T300" s="18">
        <f t="shared" si="55"/>
        <v>3.0144258785287592E-2</v>
      </c>
      <c r="U300" s="23">
        <v>3.2957453283821492E-2</v>
      </c>
      <c r="V300" s="23">
        <f t="shared" si="56"/>
        <v>3.3260422783422561E-2</v>
      </c>
      <c r="W300" s="22">
        <f t="shared" si="59"/>
        <v>2.72148144360429E-3</v>
      </c>
      <c r="X300" s="23">
        <v>3.2104175322029915E-2</v>
      </c>
      <c r="Y300" s="23">
        <f t="shared" si="60"/>
        <v>3.2632434685194722E-2</v>
      </c>
      <c r="Z300" s="22">
        <f t="shared" si="61"/>
        <v>2.6699499051905384E-3</v>
      </c>
      <c r="AA300" s="33"/>
      <c r="AB300" s="50">
        <f t="shared" si="57"/>
        <v>287</v>
      </c>
      <c r="AC300" s="48">
        <f t="shared" si="52"/>
        <v>0.51030986805347256</v>
      </c>
      <c r="AE300" s="48">
        <f t="shared" si="58"/>
        <v>0.99795683895132881</v>
      </c>
      <c r="AF300" s="48">
        <f t="shared" si="62"/>
        <v>0.51030986805347278</v>
      </c>
      <c r="AH300" s="48">
        <f t="shared" si="63"/>
        <v>0</v>
      </c>
    </row>
    <row r="301" spans="4:34" ht="13.9" customHeight="1">
      <c r="D301" s="8"/>
      <c r="E301" s="9"/>
      <c r="F301" s="18"/>
      <c r="G301" s="18"/>
      <c r="H301" s="18"/>
      <c r="J301" s="40"/>
      <c r="K301" s="40"/>
      <c r="L301" s="40"/>
      <c r="M301" s="38"/>
      <c r="O301" s="12">
        <f t="shared" si="53"/>
        <v>24</v>
      </c>
      <c r="P301" s="13">
        <v>288</v>
      </c>
      <c r="Q301" s="21">
        <v>2.851471970930386E-2</v>
      </c>
      <c r="R301" s="18">
        <f t="shared" si="54"/>
        <v>2.473447458462652E-2</v>
      </c>
      <c r="S301" s="21">
        <v>2.8687157940427532E-2</v>
      </c>
      <c r="T301" s="18">
        <f t="shared" si="55"/>
        <v>3.0297486896647685E-2</v>
      </c>
      <c r="U301" s="23">
        <v>3.295850510754228E-2</v>
      </c>
      <c r="V301" s="23">
        <f t="shared" si="56"/>
        <v>3.3368487457978269E-2</v>
      </c>
      <c r="W301" s="22">
        <f t="shared" si="59"/>
        <v>2.7303257132902381E-3</v>
      </c>
      <c r="X301" s="23">
        <v>3.2106009088313181E-2</v>
      </c>
      <c r="Y301" s="23">
        <f t="shared" si="60"/>
        <v>3.2749342645510549E-2</v>
      </c>
      <c r="Z301" s="22">
        <f t="shared" si="61"/>
        <v>2.67952550066064E-3</v>
      </c>
      <c r="AA301" s="33"/>
      <c r="AB301" s="50">
        <f t="shared" si="57"/>
        <v>288</v>
      </c>
      <c r="AC301" s="48">
        <f t="shared" si="52"/>
        <v>0.50926956572793092</v>
      </c>
      <c r="AE301" s="48">
        <f t="shared" si="58"/>
        <v>0.99796143012184024</v>
      </c>
      <c r="AF301" s="48">
        <f t="shared" si="62"/>
        <v>0.50926956572793125</v>
      </c>
      <c r="AH301" s="48">
        <f t="shared" si="63"/>
        <v>0</v>
      </c>
    </row>
    <row r="302" spans="4:34" ht="13.9" customHeight="1">
      <c r="D302" s="8"/>
      <c r="E302" s="9"/>
      <c r="F302" s="18"/>
      <c r="G302" s="18"/>
      <c r="H302" s="18"/>
      <c r="J302" s="40"/>
      <c r="K302" s="40"/>
      <c r="L302" s="40"/>
      <c r="M302" s="38"/>
      <c r="O302" s="12">
        <f t="shared" si="53"/>
        <v>24.083333333333332</v>
      </c>
      <c r="P302" s="13">
        <v>289</v>
      </c>
      <c r="Q302" s="21">
        <v>2.8501615262586988E-2</v>
      </c>
      <c r="R302" s="18">
        <f t="shared" si="54"/>
        <v>2.4679795820329753E-2</v>
      </c>
      <c r="S302" s="21">
        <v>2.8692725671233266E-2</v>
      </c>
      <c r="T302" s="18">
        <f t="shared" si="55"/>
        <v>3.0448746203462607E-2</v>
      </c>
      <c r="U302" s="23">
        <v>3.295992345111376E-2</v>
      </c>
      <c r="V302" s="23">
        <f t="shared" si="56"/>
        <v>3.3475276508592389E-2</v>
      </c>
      <c r="W302" s="22">
        <f t="shared" si="59"/>
        <v>2.7390645986362649E-3</v>
      </c>
      <c r="X302" s="23">
        <v>3.2108234464894858E-2</v>
      </c>
      <c r="Y302" s="23">
        <f t="shared" si="60"/>
        <v>3.2864844224070877E-2</v>
      </c>
      <c r="Z302" s="22">
        <f t="shared" si="61"/>
        <v>2.6889847503193121E-3</v>
      </c>
      <c r="AA302" s="33"/>
      <c r="AB302" s="50">
        <f t="shared" si="57"/>
        <v>289</v>
      </c>
      <c r="AC302" s="48">
        <f t="shared" si="52"/>
        <v>0.50823368291940318</v>
      </c>
      <c r="AE302" s="48">
        <f t="shared" si="58"/>
        <v>0.99796594401425265</v>
      </c>
      <c r="AF302" s="48">
        <f t="shared" si="62"/>
        <v>0.50823368291940341</v>
      </c>
      <c r="AH302" s="48">
        <f t="shared" si="63"/>
        <v>0</v>
      </c>
    </row>
    <row r="303" spans="4:34" ht="13.9" customHeight="1">
      <c r="D303" s="8"/>
      <c r="E303" s="9"/>
      <c r="F303" s="18"/>
      <c r="G303" s="18"/>
      <c r="H303" s="18"/>
      <c r="J303" s="40"/>
      <c r="K303" s="40"/>
      <c r="L303" s="40"/>
      <c r="M303" s="38"/>
      <c r="O303" s="12">
        <f t="shared" si="53"/>
        <v>24.166666666666668</v>
      </c>
      <c r="P303" s="13">
        <v>290</v>
      </c>
      <c r="Q303" s="21">
        <v>2.8488412113366612E-2</v>
      </c>
      <c r="R303" s="18">
        <f t="shared" si="54"/>
        <v>2.4626053466097586E-2</v>
      </c>
      <c r="S303" s="21">
        <v>2.8698775769839369E-2</v>
      </c>
      <c r="T303" s="18">
        <f t="shared" si="55"/>
        <v>3.0598065369745076E-2</v>
      </c>
      <c r="U303" s="23">
        <v>3.2961700088997015E-2</v>
      </c>
      <c r="V303" s="23">
        <f t="shared" si="56"/>
        <v>3.3580806680032271E-2</v>
      </c>
      <c r="W303" s="22">
        <f t="shared" si="59"/>
        <v>2.747699504972001E-3</v>
      </c>
      <c r="X303" s="23">
        <v>3.2110842511534399E-2</v>
      </c>
      <c r="Y303" s="23">
        <f t="shared" si="60"/>
        <v>3.297895831065234E-2</v>
      </c>
      <c r="Z303" s="22">
        <f t="shared" si="61"/>
        <v>2.6983292430333705E-3</v>
      </c>
      <c r="AA303" s="33"/>
      <c r="AB303" s="50">
        <f t="shared" si="57"/>
        <v>290</v>
      </c>
      <c r="AC303" s="48">
        <f t="shared" si="52"/>
        <v>0.5072021625245885</v>
      </c>
      <c r="AE303" s="48">
        <f t="shared" si="58"/>
        <v>0.99797038167779661</v>
      </c>
      <c r="AF303" s="48">
        <f t="shared" si="62"/>
        <v>0.50720216252458927</v>
      </c>
      <c r="AH303" s="48">
        <f t="shared" si="63"/>
        <v>0</v>
      </c>
    </row>
    <row r="304" spans="4:34" ht="13.9" customHeight="1">
      <c r="D304" s="8"/>
      <c r="E304" s="9"/>
      <c r="F304" s="18"/>
      <c r="G304" s="18"/>
      <c r="H304" s="18"/>
      <c r="J304" s="40"/>
      <c r="K304" s="40"/>
      <c r="L304" s="40"/>
      <c r="M304" s="38"/>
      <c r="O304" s="12">
        <f t="shared" si="53"/>
        <v>24.25</v>
      </c>
      <c r="P304" s="13">
        <v>291</v>
      </c>
      <c r="Q304" s="21">
        <v>2.8475114504637578E-2</v>
      </c>
      <c r="R304" s="18">
        <f t="shared" si="54"/>
        <v>2.45732437852062E-2</v>
      </c>
      <c r="S304" s="21">
        <v>2.8705296541100989E-2</v>
      </c>
      <c r="T304" s="18">
        <f t="shared" si="55"/>
        <v>3.074547256222826E-2</v>
      </c>
      <c r="U304" s="23">
        <v>3.2963826967935983E-2</v>
      </c>
      <c r="V304" s="23">
        <f t="shared" si="56"/>
        <v>3.3685094460076392E-2</v>
      </c>
      <c r="W304" s="22">
        <f t="shared" si="59"/>
        <v>2.7562318155527343E-3</v>
      </c>
      <c r="X304" s="23">
        <v>3.2113824477747688E-2</v>
      </c>
      <c r="Y304" s="23">
        <f t="shared" si="60"/>
        <v>3.3091703497215352E-2</v>
      </c>
      <c r="Z304" s="22">
        <f t="shared" si="61"/>
        <v>2.7075605420183724E-3</v>
      </c>
      <c r="AA304" s="33"/>
      <c r="AB304" s="50">
        <f t="shared" si="57"/>
        <v>291</v>
      </c>
      <c r="AC304" s="48">
        <f t="shared" si="52"/>
        <v>0.50617494809549624</v>
      </c>
      <c r="AE304" s="48">
        <f t="shared" si="58"/>
        <v>0.9979747435934021</v>
      </c>
      <c r="AF304" s="48">
        <f t="shared" si="62"/>
        <v>0.50617494809549601</v>
      </c>
      <c r="AH304" s="48">
        <f t="shared" si="63"/>
        <v>0</v>
      </c>
    </row>
    <row r="305" spans="4:34" ht="13.9" customHeight="1">
      <c r="D305" s="8"/>
      <c r="E305" s="9"/>
      <c r="F305" s="18"/>
      <c r="G305" s="18"/>
      <c r="H305" s="18"/>
      <c r="J305" s="40"/>
      <c r="K305" s="40"/>
      <c r="L305" s="40"/>
      <c r="M305" s="38"/>
      <c r="O305" s="12">
        <f t="shared" si="53"/>
        <v>24.333333333333332</v>
      </c>
      <c r="P305" s="13">
        <v>292</v>
      </c>
      <c r="Q305" s="21">
        <v>2.8461726608792315E-2</v>
      </c>
      <c r="R305" s="18">
        <f t="shared" si="54"/>
        <v>2.4521363070979074E-2</v>
      </c>
      <c r="S305" s="21">
        <v>2.8712276549734073E-2</v>
      </c>
      <c r="T305" s="18">
        <f t="shared" si="55"/>
        <v>3.089099546089269E-2</v>
      </c>
      <c r="U305" s="23">
        <v>3.2966296203067458E-2</v>
      </c>
      <c r="V305" s="23">
        <f t="shared" si="56"/>
        <v>3.3788156084304077E-2</v>
      </c>
      <c r="W305" s="22">
        <f t="shared" si="59"/>
        <v>2.7646628919970606E-3</v>
      </c>
      <c r="X305" s="23">
        <v>3.2117171798466071E-2</v>
      </c>
      <c r="Y305" s="23">
        <f t="shared" si="60"/>
        <v>3.3203098083240068E-2</v>
      </c>
      <c r="Z305" s="22">
        <f t="shared" si="61"/>
        <v>2.7166801853490963E-3</v>
      </c>
      <c r="AA305" s="33"/>
      <c r="AB305" s="50">
        <f t="shared" si="57"/>
        <v>292</v>
      </c>
      <c r="AC305" s="48">
        <f t="shared" si="52"/>
        <v>0.50515198373668724</v>
      </c>
      <c r="AE305" s="48">
        <f t="shared" si="58"/>
        <v>0.99797903005145205</v>
      </c>
      <c r="AF305" s="48">
        <f t="shared" si="62"/>
        <v>0.50515198373668724</v>
      </c>
      <c r="AH305" s="48">
        <f t="shared" si="63"/>
        <v>0</v>
      </c>
    </row>
    <row r="306" spans="4:34" ht="13.9" customHeight="1">
      <c r="D306" s="8"/>
      <c r="E306" s="9"/>
      <c r="F306" s="18"/>
      <c r="G306" s="18"/>
      <c r="H306" s="18"/>
      <c r="J306" s="40"/>
      <c r="K306" s="40"/>
      <c r="L306" s="40"/>
      <c r="M306" s="38"/>
      <c r="O306" s="12">
        <f t="shared" si="53"/>
        <v>24.416666666666668</v>
      </c>
      <c r="P306" s="13">
        <v>293</v>
      </c>
      <c r="Q306" s="21">
        <v>2.8448252528914031E-2</v>
      </c>
      <c r="R306" s="18">
        <f t="shared" si="54"/>
        <v>2.4470407645646564E-2</v>
      </c>
      <c r="S306" s="21">
        <v>2.8719704614092789E-2</v>
      </c>
      <c r="T306" s="18">
        <f t="shared" si="55"/>
        <v>3.103466126927712E-2</v>
      </c>
      <c r="U306" s="23">
        <v>3.2969100074128788E-2</v>
      </c>
      <c r="V306" s="23">
        <f t="shared" si="56"/>
        <v>3.3890007540435363E-2</v>
      </c>
      <c r="W306" s="22">
        <f t="shared" si="59"/>
        <v>2.7729940746976656E-3</v>
      </c>
      <c r="X306" s="23">
        <v>3.2120876089805517E-2</v>
      </c>
      <c r="Y306" s="23">
        <f t="shared" si="60"/>
        <v>3.3313160081446247E-2</v>
      </c>
      <c r="Z306" s="22">
        <f t="shared" si="61"/>
        <v>2.7256896864227276E-3</v>
      </c>
      <c r="AA306" s="33"/>
      <c r="AB306" s="50">
        <f t="shared" si="57"/>
        <v>293</v>
      </c>
      <c r="AC306" s="48">
        <f t="shared" si="52"/>
        <v>0.50413321409896061</v>
      </c>
      <c r="AE306" s="48">
        <f t="shared" si="58"/>
        <v>0.99798324134017957</v>
      </c>
      <c r="AF306" s="48">
        <f t="shared" si="62"/>
        <v>0.50413321409896084</v>
      </c>
      <c r="AH306" s="48">
        <f t="shared" si="63"/>
        <v>0</v>
      </c>
    </row>
    <row r="307" spans="4:34" ht="13.9" customHeight="1">
      <c r="D307" s="8"/>
      <c r="E307" s="9"/>
      <c r="F307" s="18"/>
      <c r="G307" s="18"/>
      <c r="H307" s="18"/>
      <c r="J307" s="40"/>
      <c r="K307" s="40"/>
      <c r="L307" s="40"/>
      <c r="M307" s="38"/>
      <c r="O307" s="12">
        <f t="shared" si="53"/>
        <v>24.5</v>
      </c>
      <c r="P307" s="13">
        <v>294</v>
      </c>
      <c r="Q307" s="21">
        <v>2.8434696300041251E-2</v>
      </c>
      <c r="R307" s="18">
        <f t="shared" si="54"/>
        <v>2.4420371570838428E-2</v>
      </c>
      <c r="S307" s="21">
        <v>2.8727569800113706E-2</v>
      </c>
      <c r="T307" s="18">
        <f t="shared" si="55"/>
        <v>3.1176496724496294E-2</v>
      </c>
      <c r="U307" s="23">
        <v>3.2972231021760612E-2</v>
      </c>
      <c r="V307" s="23">
        <f t="shared" si="56"/>
        <v>3.3990664573422036E-2</v>
      </c>
      <c r="W307" s="22">
        <f t="shared" si="59"/>
        <v>2.7812266831974686E-3</v>
      </c>
      <c r="X307" s="23">
        <v>3.2124929144943914E-2</v>
      </c>
      <c r="Y307" s="23">
        <f t="shared" si="60"/>
        <v>3.342190722348648E-2</v>
      </c>
      <c r="Z307" s="22">
        <f t="shared" si="61"/>
        <v>2.7345905344522414E-3</v>
      </c>
      <c r="AA307" s="33"/>
      <c r="AB307" s="50">
        <f t="shared" si="57"/>
        <v>294</v>
      </c>
      <c r="AC307" s="48">
        <f t="shared" si="52"/>
        <v>0.50311858437316137</v>
      </c>
      <c r="AE307" s="48">
        <f t="shared" si="58"/>
        <v>0.99798737774575708</v>
      </c>
      <c r="AF307" s="48">
        <f t="shared" si="62"/>
        <v>0.50311858437316226</v>
      </c>
      <c r="AH307" s="48">
        <f t="shared" si="63"/>
        <v>8.8817841970012523E-16</v>
      </c>
    </row>
    <row r="308" spans="4:34" ht="13.9" customHeight="1">
      <c r="D308" s="8"/>
      <c r="E308" s="9"/>
      <c r="F308" s="18"/>
      <c r="G308" s="18"/>
      <c r="H308" s="18"/>
      <c r="J308" s="40"/>
      <c r="K308" s="40"/>
      <c r="L308" s="40"/>
      <c r="M308" s="38"/>
      <c r="O308" s="12">
        <f t="shared" si="53"/>
        <v>24.583333333333332</v>
      </c>
      <c r="P308" s="13">
        <v>295</v>
      </c>
      <c r="Q308" s="21">
        <v>2.8421061882614618E-2</v>
      </c>
      <c r="R308" s="18">
        <f t="shared" si="54"/>
        <v>2.4371242068228938E-2</v>
      </c>
      <c r="S308" s="21">
        <v>2.8735861415420949E-2</v>
      </c>
      <c r="T308" s="18">
        <f t="shared" si="55"/>
        <v>3.1316528107183217E-2</v>
      </c>
      <c r="U308" s="23">
        <v>3.297568164390241E-2</v>
      </c>
      <c r="V308" s="23">
        <f t="shared" si="56"/>
        <v>3.4090142689180425E-2</v>
      </c>
      <c r="W308" s="22">
        <f t="shared" si="59"/>
        <v>2.789362016624608E-3</v>
      </c>
      <c r="X308" s="23">
        <v>3.2129322930102955E-2</v>
      </c>
      <c r="Y308" s="23">
        <f t="shared" si="60"/>
        <v>3.3529356965029233E-2</v>
      </c>
      <c r="Z308" s="22">
        <f t="shared" si="61"/>
        <v>2.743384194955123E-3</v>
      </c>
      <c r="AA308" s="33"/>
      <c r="AB308" s="50">
        <f t="shared" si="57"/>
        <v>295</v>
      </c>
      <c r="AC308" s="48">
        <f t="shared" si="52"/>
        <v>0.50210804037759882</v>
      </c>
      <c r="AE308" s="48">
        <f t="shared" si="58"/>
        <v>0.99799143973816384</v>
      </c>
      <c r="AF308" s="48">
        <f t="shared" si="62"/>
        <v>0.50210804037759904</v>
      </c>
      <c r="AH308" s="48">
        <f t="shared" si="63"/>
        <v>0</v>
      </c>
    </row>
    <row r="309" spans="4:34" ht="13.9" customHeight="1">
      <c r="D309" s="8"/>
      <c r="E309" s="9"/>
      <c r="F309" s="18"/>
      <c r="G309" s="18"/>
      <c r="H309" s="18"/>
      <c r="J309" s="40"/>
      <c r="K309" s="40"/>
      <c r="L309" s="40"/>
      <c r="M309" s="38"/>
      <c r="O309" s="12">
        <f t="shared" si="53"/>
        <v>24.666666666666668</v>
      </c>
      <c r="P309" s="13">
        <v>296</v>
      </c>
      <c r="Q309" s="21">
        <v>2.8407353140524894E-2</v>
      </c>
      <c r="R309" s="18">
        <f t="shared" si="54"/>
        <v>2.4323013270714178E-2</v>
      </c>
      <c r="S309" s="21">
        <v>2.8744569003590126E-2</v>
      </c>
      <c r="T309" s="18">
        <f t="shared" si="55"/>
        <v>3.145478125025658E-2</v>
      </c>
      <c r="U309" s="23">
        <v>3.2979444692277537E-2</v>
      </c>
      <c r="V309" s="23">
        <f t="shared" si="56"/>
        <v>3.4188457159825214E-2</v>
      </c>
      <c r="W309" s="22">
        <f t="shared" si="59"/>
        <v>2.7974013540168485E-3</v>
      </c>
      <c r="X309" s="23">
        <v>3.2134049580632373E-2</v>
      </c>
      <c r="Y309" s="23">
        <f t="shared" si="60"/>
        <v>3.3635526490707335E-2</v>
      </c>
      <c r="Z309" s="22">
        <f t="shared" si="61"/>
        <v>2.7520721101941259E-3</v>
      </c>
      <c r="AA309" s="33"/>
      <c r="AB309" s="50">
        <f t="shared" si="57"/>
        <v>296</v>
      </c>
      <c r="AC309" s="48">
        <f t="shared" si="52"/>
        <v>0.50110152883111381</v>
      </c>
      <c r="AE309" s="48">
        <f t="shared" si="58"/>
        <v>0.99799542834301624</v>
      </c>
      <c r="AF309" s="48">
        <f t="shared" si="62"/>
        <v>0.50110152883111447</v>
      </c>
      <c r="AH309" s="48">
        <f t="shared" si="63"/>
        <v>0</v>
      </c>
    </row>
    <row r="310" spans="4:34" ht="13.9" customHeight="1">
      <c r="D310" s="8"/>
      <c r="E310" s="9"/>
      <c r="F310" s="18"/>
      <c r="G310" s="18"/>
      <c r="H310" s="18"/>
      <c r="J310" s="40"/>
      <c r="K310" s="40"/>
      <c r="L310" s="40"/>
      <c r="M310" s="38"/>
      <c r="O310" s="12">
        <f t="shared" si="53"/>
        <v>24.75</v>
      </c>
      <c r="P310" s="13">
        <v>297</v>
      </c>
      <c r="Q310" s="21">
        <v>2.8393573866084099E-2</v>
      </c>
      <c r="R310" s="18">
        <f t="shared" si="54"/>
        <v>2.4275681634800872E-2</v>
      </c>
      <c r="S310" s="21">
        <v>2.8753682338560349E-2</v>
      </c>
      <c r="T310" s="18">
        <f t="shared" si="55"/>
        <v>3.1591281548962513E-2</v>
      </c>
      <c r="U310" s="23">
        <v>3.298351306896663E-2</v>
      </c>
      <c r="V310" s="23">
        <f t="shared" si="56"/>
        <v>3.428562302708893E-2</v>
      </c>
      <c r="W310" s="22">
        <f t="shared" si="59"/>
        <v>2.8053459547661141E-3</v>
      </c>
      <c r="X310" s="23">
        <v>3.2139101397190561E-2</v>
      </c>
      <c r="Y310" s="23">
        <f t="shared" si="60"/>
        <v>3.3740432719825408E-2</v>
      </c>
      <c r="Z310" s="22">
        <f t="shared" si="61"/>
        <v>2.7606556996047082E-3</v>
      </c>
      <c r="AA310" s="33"/>
      <c r="AB310" s="50">
        <f t="shared" si="57"/>
        <v>297</v>
      </c>
      <c r="AC310" s="48">
        <f t="shared" si="52"/>
        <v>0.50009899706348881</v>
      </c>
      <c r="AE310" s="48">
        <f t="shared" si="58"/>
        <v>0.99799934402522394</v>
      </c>
      <c r="AF310" s="48">
        <f t="shared" si="62"/>
        <v>0.50009899706348904</v>
      </c>
      <c r="AH310" s="48">
        <f t="shared" si="63"/>
        <v>0</v>
      </c>
    </row>
    <row r="311" spans="4:34" ht="13.9" customHeight="1">
      <c r="D311" s="8"/>
      <c r="E311" s="9"/>
      <c r="F311" s="18"/>
      <c r="G311" s="18"/>
      <c r="H311" s="18"/>
      <c r="J311" s="40"/>
      <c r="K311" s="40"/>
      <c r="L311" s="40"/>
      <c r="M311" s="38"/>
      <c r="O311" s="12">
        <f t="shared" si="53"/>
        <v>24.833333333333332</v>
      </c>
      <c r="P311" s="13">
        <v>298</v>
      </c>
      <c r="Q311" s="21">
        <v>2.8379727789042963E-2</v>
      </c>
      <c r="R311" s="18">
        <f t="shared" si="54"/>
        <v>2.4229243648302923E-2</v>
      </c>
      <c r="S311" s="21">
        <v>2.8763191419197476E-2</v>
      </c>
      <c r="T311" s="18">
        <f t="shared" si="55"/>
        <v>3.1726053969493462E-2</v>
      </c>
      <c r="U311" s="23">
        <v>3.2987879823064725E-2</v>
      </c>
      <c r="V311" s="23">
        <f t="shared" si="56"/>
        <v>3.4381655106935138E-2</v>
      </c>
      <c r="W311" s="22">
        <f t="shared" si="59"/>
        <v>2.8131970589182487E-3</v>
      </c>
      <c r="X311" s="23">
        <v>3.2144470842024209E-2</v>
      </c>
      <c r="Y311" s="23">
        <f t="shared" si="60"/>
        <v>3.3844092310328255E-2</v>
      </c>
      <c r="Z311" s="22">
        <f t="shared" si="61"/>
        <v>2.7691363602826424E-3</v>
      </c>
      <c r="AA311" s="33"/>
      <c r="AB311" s="50">
        <f t="shared" si="57"/>
        <v>298</v>
      </c>
      <c r="AC311" s="48">
        <f t="shared" si="52"/>
        <v>0.49910039291553754</v>
      </c>
      <c r="AE311" s="48">
        <f t="shared" si="58"/>
        <v>0.99800318706133329</v>
      </c>
      <c r="AF311" s="48">
        <f t="shared" si="62"/>
        <v>0.49910039291553843</v>
      </c>
      <c r="AH311" s="48">
        <f t="shared" si="63"/>
        <v>8.8817841970012523E-16</v>
      </c>
    </row>
    <row r="312" spans="4:34" ht="13.9" customHeight="1">
      <c r="D312" s="8"/>
      <c r="E312" s="9"/>
      <c r="F312" s="18"/>
      <c r="G312" s="18"/>
      <c r="H312" s="18"/>
      <c r="J312" s="40"/>
      <c r="K312" s="40"/>
      <c r="L312" s="40"/>
      <c r="M312" s="38"/>
      <c r="O312" s="12">
        <f t="shared" si="53"/>
        <v>24.916666666666668</v>
      </c>
      <c r="P312" s="13">
        <v>299</v>
      </c>
      <c r="Q312" s="21">
        <v>2.8365818577730018E-2</v>
      </c>
      <c r="R312" s="18">
        <f t="shared" si="54"/>
        <v>2.4183695831336616E-2</v>
      </c>
      <c r="S312" s="21">
        <v>2.8773086463998565E-2</v>
      </c>
      <c r="T312" s="18">
        <f t="shared" si="55"/>
        <v>3.185912305791061E-2</v>
      </c>
      <c r="U312" s="23">
        <v>3.2992538147421424E-2</v>
      </c>
      <c r="V312" s="23">
        <f t="shared" si="56"/>
        <v>3.4476567993683815E-2</v>
      </c>
      <c r="W312" s="22">
        <f t="shared" si="59"/>
        <v>2.8209558875649243E-3</v>
      </c>
      <c r="X312" s="23">
        <v>3.2150150535337652E-2</v>
      </c>
      <c r="Y312" s="23">
        <f t="shared" si="60"/>
        <v>3.3946521664854235E-2</v>
      </c>
      <c r="Z312" s="22">
        <f t="shared" si="61"/>
        <v>2.7775154673324032E-3</v>
      </c>
      <c r="AA312" s="33"/>
      <c r="AB312" s="50">
        <f t="shared" si="57"/>
        <v>299</v>
      </c>
      <c r="AC312" s="48">
        <f t="shared" si="52"/>
        <v>0.49810566473329415</v>
      </c>
      <c r="AE312" s="48">
        <f t="shared" si="58"/>
        <v>0.99800695772561265</v>
      </c>
      <c r="AF312" s="48">
        <f t="shared" si="62"/>
        <v>0.49810566473329443</v>
      </c>
      <c r="AH312" s="48">
        <f t="shared" si="63"/>
        <v>0</v>
      </c>
    </row>
    <row r="313" spans="4:34" ht="13.9" customHeight="1">
      <c r="D313" s="8"/>
      <c r="E313" s="9"/>
      <c r="F313" s="18"/>
      <c r="G313" s="18"/>
      <c r="H313" s="18"/>
      <c r="J313" s="40"/>
      <c r="K313" s="40"/>
      <c r="L313" s="40"/>
      <c r="M313" s="38"/>
      <c r="O313" s="12">
        <f t="shared" si="53"/>
        <v>25</v>
      </c>
      <c r="P313" s="13">
        <v>300</v>
      </c>
      <c r="Q313" s="21">
        <v>2.8351849840172916E-2</v>
      </c>
      <c r="R313" s="18">
        <f t="shared" si="54"/>
        <v>2.4139032479244538E-2</v>
      </c>
      <c r="S313" s="21">
        <v>2.8783357905936224E-2</v>
      </c>
      <c r="T313" s="18">
        <f t="shared" si="55"/>
        <v>3.1990512948641969E-2</v>
      </c>
      <c r="U313" s="23">
        <v>3.2997481375462101E-2</v>
      </c>
      <c r="V313" s="23">
        <f t="shared" si="56"/>
        <v>3.4570376063811414E-2</v>
      </c>
      <c r="W313" s="22">
        <f t="shared" si="59"/>
        <v>2.828623643198025E-3</v>
      </c>
      <c r="X313" s="23">
        <v>3.2156133251756369E-2</v>
      </c>
      <c r="Y313" s="23">
        <f t="shared" si="60"/>
        <v>3.4047736934558426E-2</v>
      </c>
      <c r="Z313" s="22">
        <f t="shared" si="61"/>
        <v>2.7857943743805347E-3</v>
      </c>
      <c r="AA313" s="33"/>
      <c r="AB313" s="50">
        <f t="shared" si="57"/>
        <v>300</v>
      </c>
      <c r="AC313" s="48">
        <f t="shared" si="52"/>
        <v>0.49711476136222504</v>
      </c>
      <c r="AE313" s="48">
        <f t="shared" si="58"/>
        <v>0.99801065628996644</v>
      </c>
      <c r="AF313" s="48">
        <f t="shared" si="62"/>
        <v>0.49711476136222515</v>
      </c>
      <c r="AH313" s="48">
        <f t="shared" si="63"/>
        <v>0</v>
      </c>
    </row>
    <row r="314" spans="4:34" ht="13.9" customHeight="1">
      <c r="D314" s="8"/>
      <c r="E314" s="9"/>
      <c r="F314" s="18"/>
      <c r="G314" s="18"/>
      <c r="H314" s="18"/>
      <c r="J314" s="40"/>
      <c r="K314" s="40"/>
      <c r="L314" s="40"/>
      <c r="M314" s="38"/>
      <c r="O314" s="12">
        <f t="shared" si="53"/>
        <v>25.083333333333332</v>
      </c>
      <c r="P314" s="13">
        <v>301</v>
      </c>
      <c r="Q314" s="21">
        <v>2.8337825117667137E-2</v>
      </c>
      <c r="R314" s="18">
        <f t="shared" si="54"/>
        <v>2.4095241147911173E-2</v>
      </c>
      <c r="S314" s="21">
        <v>2.8793996387436627E-2</v>
      </c>
      <c r="T314" s="18">
        <f t="shared" si="55"/>
        <v>3.2120247373060185E-2</v>
      </c>
      <c r="U314" s="23">
        <v>3.3002702978086607E-2</v>
      </c>
      <c r="V314" s="23">
        <f t="shared" si="56"/>
        <v>3.4663093479783802E-2</v>
      </c>
      <c r="W314" s="22">
        <f t="shared" si="59"/>
        <v>2.8362015100367177E-3</v>
      </c>
      <c r="X314" s="23">
        <v>3.2162411916876632E-2</v>
      </c>
      <c r="Y314" s="23">
        <f t="shared" si="60"/>
        <v>3.4147754023955423E-2</v>
      </c>
      <c r="Z314" s="22">
        <f t="shared" si="61"/>
        <v>2.7939744139093836E-3</v>
      </c>
      <c r="AA314" s="33"/>
      <c r="AB314" s="50">
        <f t="shared" si="57"/>
        <v>301</v>
      </c>
      <c r="AC314" s="48">
        <f t="shared" si="52"/>
        <v>0.49612763223265205</v>
      </c>
      <c r="AE314" s="48">
        <f t="shared" si="58"/>
        <v>0.99801428320722585</v>
      </c>
      <c r="AF314" s="48">
        <f t="shared" si="62"/>
        <v>0.49612763223265227</v>
      </c>
      <c r="AH314" s="48">
        <f t="shared" si="63"/>
        <v>0</v>
      </c>
    </row>
    <row r="315" spans="4:34" ht="13.9" customHeight="1">
      <c r="D315" s="8"/>
      <c r="E315" s="9"/>
      <c r="F315" s="18"/>
      <c r="G315" s="18"/>
      <c r="H315" s="18"/>
      <c r="J315" s="40"/>
      <c r="K315" s="40"/>
      <c r="L315" s="40"/>
      <c r="M315" s="38"/>
      <c r="O315" s="12">
        <f t="shared" si="53"/>
        <v>25.166666666666668</v>
      </c>
      <c r="P315" s="13">
        <v>302</v>
      </c>
      <c r="Q315" s="21">
        <v>2.8323747863461035E-2</v>
      </c>
      <c r="R315" s="18">
        <f t="shared" si="54"/>
        <v>2.4052316210855462E-2</v>
      </c>
      <c r="S315" s="21">
        <v>2.8804992755489867E-2</v>
      </c>
      <c r="T315" s="18">
        <f t="shared" si="55"/>
        <v>3.2248349667101328E-2</v>
      </c>
      <c r="U315" s="23">
        <v>3.3008196560643466E-2</v>
      </c>
      <c r="V315" s="23">
        <f t="shared" si="56"/>
        <v>3.4754734194025527E-2</v>
      </c>
      <c r="W315" s="22">
        <f t="shared" si="59"/>
        <v>2.843690654355413E-3</v>
      </c>
      <c r="X315" s="23">
        <v>3.216897960389975E-2</v>
      </c>
      <c r="Y315" s="23">
        <f t="shared" si="60"/>
        <v>3.4246588595469252E-2</v>
      </c>
      <c r="Z315" s="22">
        <f t="shared" si="61"/>
        <v>2.8020568976732108E-3</v>
      </c>
      <c r="AA315" s="33"/>
      <c r="AB315" s="50">
        <f t="shared" si="57"/>
        <v>302</v>
      </c>
      <c r="AC315" s="48">
        <f t="shared" si="52"/>
        <v>0.49514422762608307</v>
      </c>
      <c r="AE315" s="48">
        <f t="shared" si="58"/>
        <v>0.99801783947782985</v>
      </c>
      <c r="AF315" s="48">
        <f t="shared" si="62"/>
        <v>0.49514422762608296</v>
      </c>
      <c r="AH315" s="48">
        <f t="shared" si="63"/>
        <v>0</v>
      </c>
    </row>
    <row r="316" spans="4:34" ht="13.9" customHeight="1">
      <c r="D316" s="8"/>
      <c r="E316" s="9"/>
      <c r="F316" s="18"/>
      <c r="G316" s="18"/>
      <c r="H316" s="18"/>
      <c r="J316" s="40"/>
      <c r="K316" s="40"/>
      <c r="L316" s="40"/>
      <c r="M316" s="38"/>
      <c r="O316" s="12">
        <f t="shared" si="53"/>
        <v>25.25</v>
      </c>
      <c r="P316" s="13">
        <v>303</v>
      </c>
      <c r="Q316" s="21">
        <v>2.8309621466789947E-2</v>
      </c>
      <c r="R316" s="18">
        <f t="shared" si="54"/>
        <v>2.4010254332692771E-2</v>
      </c>
      <c r="S316" s="21">
        <v>2.8816338056885549E-2</v>
      </c>
      <c r="T316" s="18">
        <f t="shared" si="55"/>
        <v>3.2374842780060531E-2</v>
      </c>
      <c r="U316" s="23">
        <v>3.3013955859978683E-2</v>
      </c>
      <c r="V316" s="23">
        <f t="shared" si="56"/>
        <v>3.4845311952890201E-2</v>
      </c>
      <c r="W316" s="22">
        <f t="shared" si="59"/>
        <v>2.8510922248243808E-3</v>
      </c>
      <c r="X316" s="23">
        <v>3.2175829530351585E-2</v>
      </c>
      <c r="Y316" s="23">
        <f t="shared" si="60"/>
        <v>3.434425607419489E-2</v>
      </c>
      <c r="Z316" s="22">
        <f t="shared" si="61"/>
        <v>2.8100431170881013E-3</v>
      </c>
      <c r="AA316" s="33"/>
      <c r="AB316" s="50">
        <f t="shared" si="57"/>
        <v>303</v>
      </c>
      <c r="AC316" s="48">
        <f t="shared" si="52"/>
        <v>0.49416449839327226</v>
      </c>
      <c r="AE316" s="48">
        <f t="shared" si="58"/>
        <v>0.99802132554890677</v>
      </c>
      <c r="AF316" s="48">
        <f t="shared" si="62"/>
        <v>0.49416449839327292</v>
      </c>
      <c r="AH316" s="48">
        <f t="shared" si="63"/>
        <v>6.6613381477509392E-16</v>
      </c>
    </row>
    <row r="317" spans="4:34" ht="13.9" customHeight="1">
      <c r="D317" s="8"/>
      <c r="E317" s="9"/>
      <c r="F317" s="18"/>
      <c r="G317" s="18"/>
      <c r="H317" s="18"/>
      <c r="J317" s="40"/>
      <c r="K317" s="40"/>
      <c r="L317" s="40"/>
      <c r="M317" s="38"/>
      <c r="O317" s="12">
        <f t="shared" si="53"/>
        <v>25.333333333333332</v>
      </c>
      <c r="P317" s="13">
        <v>304</v>
      </c>
      <c r="Q317" s="21">
        <v>2.829544926148575E-2</v>
      </c>
      <c r="R317" s="18">
        <f t="shared" si="54"/>
        <v>2.3969052213555608E-2</v>
      </c>
      <c r="S317" s="21">
        <v>2.882802353357361E-2</v>
      </c>
      <c r="T317" s="18">
        <f t="shared" si="55"/>
        <v>3.2499749281631907E-2</v>
      </c>
      <c r="U317" s="23">
        <v>3.3019974741556712E-2</v>
      </c>
      <c r="V317" s="23">
        <f t="shared" si="56"/>
        <v>3.4934840299662762E-2</v>
      </c>
      <c r="W317" s="22">
        <f t="shared" si="59"/>
        <v>2.8584073528470366E-3</v>
      </c>
      <c r="X317" s="23">
        <v>3.2182955054882667E-2</v>
      </c>
      <c r="Y317" s="23">
        <f t="shared" si="60"/>
        <v>3.4440771651832458E-2</v>
      </c>
      <c r="Z317" s="22">
        <f t="shared" si="61"/>
        <v>2.8179343436394166E-3</v>
      </c>
      <c r="AA317" s="33"/>
      <c r="AB317" s="50">
        <f t="shared" si="57"/>
        <v>304</v>
      </c>
      <c r="AC317" s="48">
        <f t="shared" si="52"/>
        <v>0.49318839585725288</v>
      </c>
      <c r="AE317" s="48">
        <f t="shared" si="58"/>
        <v>0.99802474168178046</v>
      </c>
      <c r="AF317" s="48">
        <f t="shared" si="62"/>
        <v>0.49318839585725283</v>
      </c>
      <c r="AH317" s="48">
        <f t="shared" si="63"/>
        <v>0</v>
      </c>
    </row>
    <row r="318" spans="4:34" ht="13.9" customHeight="1">
      <c r="D318" s="8"/>
      <c r="E318" s="9"/>
      <c r="F318" s="18"/>
      <c r="G318" s="18"/>
      <c r="H318" s="18"/>
      <c r="J318" s="40"/>
      <c r="K318" s="40"/>
      <c r="L318" s="40"/>
      <c r="M318" s="38"/>
      <c r="O318" s="12">
        <f t="shared" si="53"/>
        <v>25.416666666666668</v>
      </c>
      <c r="P318" s="13">
        <v>305</v>
      </c>
      <c r="Q318" s="21">
        <v>2.828123452699316E-2</v>
      </c>
      <c r="R318" s="18">
        <f t="shared" si="54"/>
        <v>2.3928706587928339E-2</v>
      </c>
      <c r="S318" s="21">
        <v>2.8840040618143492E-2</v>
      </c>
      <c r="T318" s="18">
        <f t="shared" si="55"/>
        <v>3.2623091370062918E-2</v>
      </c>
      <c r="U318" s="23">
        <v>3.3026247196650482E-2</v>
      </c>
      <c r="V318" s="23">
        <f t="shared" si="56"/>
        <v>3.5023332578829169E-2</v>
      </c>
      <c r="W318" s="22">
        <f t="shared" si="59"/>
        <v>2.8656371528212876E-3</v>
      </c>
      <c r="X318" s="23">
        <v>3.2190349674146246E-2</v>
      </c>
      <c r="Y318" s="23">
        <f t="shared" si="60"/>
        <v>3.4536150290800371E-2</v>
      </c>
      <c r="Z318" s="22">
        <f t="shared" si="61"/>
        <v>2.8257318292215228E-3</v>
      </c>
      <c r="AA318" s="33"/>
      <c r="AB318" s="50">
        <f t="shared" si="57"/>
        <v>305</v>
      </c>
      <c r="AC318" s="48">
        <f t="shared" si="52"/>
        <v>0.49221587180784526</v>
      </c>
      <c r="AE318" s="48">
        <f t="shared" si="58"/>
        <v>0.99802808813512944</v>
      </c>
      <c r="AF318" s="48">
        <f t="shared" si="62"/>
        <v>0.49221587180784543</v>
      </c>
      <c r="AH318" s="48">
        <f t="shared" si="63"/>
        <v>0</v>
      </c>
    </row>
    <row r="319" spans="4:34" ht="13.9" customHeight="1">
      <c r="D319" s="8"/>
      <c r="E319" s="9"/>
      <c r="F319" s="18"/>
      <c r="G319" s="18"/>
      <c r="H319" s="18"/>
      <c r="J319" s="40"/>
      <c r="K319" s="40"/>
      <c r="L319" s="40"/>
      <c r="M319" s="38"/>
      <c r="O319" s="12">
        <f t="shared" si="53"/>
        <v>25.5</v>
      </c>
      <c r="P319" s="13">
        <v>306</v>
      </c>
      <c r="Q319" s="21">
        <v>2.826698048936116E-2</v>
      </c>
      <c r="R319" s="18">
        <f t="shared" si="54"/>
        <v>2.3889211999843507E-2</v>
      </c>
      <c r="S319" s="21">
        <v>2.8852380929420551E-2</v>
      </c>
      <c r="T319" s="18">
        <f t="shared" si="55"/>
        <v>3.2744890878681154E-2</v>
      </c>
      <c r="U319" s="23">
        <v>3.3032767339599811E-2</v>
      </c>
      <c r="V319" s="23">
        <f t="shared" si="56"/>
        <v>3.5110801938982084E-2</v>
      </c>
      <c r="W319" s="22">
        <f t="shared" si="59"/>
        <v>2.8727827225007996E-3</v>
      </c>
      <c r="X319" s="23">
        <v>3.2198007019752506E-2</v>
      </c>
      <c r="Y319" s="23">
        <f t="shared" si="60"/>
        <v>3.463040672871176E-2</v>
      </c>
      <c r="Z319" s="22">
        <f t="shared" si="61"/>
        <v>2.8334368064917292E-3</v>
      </c>
      <c r="AA319" s="33"/>
      <c r="AB319" s="50">
        <f t="shared" si="57"/>
        <v>306</v>
      </c>
      <c r="AC319" s="48">
        <f t="shared" si="52"/>
        <v>0.49124687849630261</v>
      </c>
      <c r="AE319" s="48">
        <f t="shared" si="58"/>
        <v>0.99803136516507795</v>
      </c>
      <c r="AF319" s="48">
        <f t="shared" si="62"/>
        <v>0.491246878496303</v>
      </c>
      <c r="AH319" s="48">
        <f t="shared" si="63"/>
        <v>0</v>
      </c>
    </row>
    <row r="320" spans="4:34" ht="13.9" customHeight="1">
      <c r="D320" s="8"/>
      <c r="E320" s="9"/>
      <c r="F320" s="18"/>
      <c r="G320" s="18"/>
      <c r="H320" s="18"/>
      <c r="J320" s="40"/>
      <c r="K320" s="40"/>
      <c r="L320" s="40"/>
      <c r="M320" s="38"/>
      <c r="O320" s="12">
        <f t="shared" si="53"/>
        <v>25.583333333333332</v>
      </c>
      <c r="P320" s="13">
        <v>307</v>
      </c>
      <c r="Q320" s="21">
        <v>2.8252690314938267E-2</v>
      </c>
      <c r="R320" s="18">
        <f t="shared" si="54"/>
        <v>2.3850556355094366E-2</v>
      </c>
      <c r="S320" s="21">
        <v>2.8865036268173716E-2</v>
      </c>
      <c r="T320" s="18">
        <f t="shared" si="55"/>
        <v>3.2865169284558293E-2</v>
      </c>
      <c r="U320" s="23">
        <v>3.3039529405135548E-2</v>
      </c>
      <c r="V320" s="23">
        <f t="shared" si="56"/>
        <v>3.5197261336851859E-2</v>
      </c>
      <c r="W320" s="22">
        <f t="shared" si="59"/>
        <v>2.8798451432461292E-3</v>
      </c>
      <c r="X320" s="23">
        <v>3.2205920855298498E-2</v>
      </c>
      <c r="Y320" s="23">
        <f t="shared" si="60"/>
        <v>3.47235554826828E-2</v>
      </c>
      <c r="Z320" s="22">
        <f t="shared" si="61"/>
        <v>2.8410504892515398E-3</v>
      </c>
      <c r="AA320" s="33"/>
      <c r="AB320" s="50">
        <f t="shared" si="57"/>
        <v>307</v>
      </c>
      <c r="AC320" s="48">
        <f t="shared" si="52"/>
        <v>0.49028136871879419</v>
      </c>
      <c r="AE320" s="48">
        <f t="shared" si="58"/>
        <v>0.99803457320591171</v>
      </c>
      <c r="AF320" s="48">
        <f t="shared" si="62"/>
        <v>0.49028136871879413</v>
      </c>
      <c r="AH320" s="48">
        <f t="shared" si="63"/>
        <v>0</v>
      </c>
    </row>
    <row r="321" spans="4:34" ht="13.9" customHeight="1">
      <c r="D321" s="8"/>
      <c r="E321" s="9"/>
      <c r="F321" s="18"/>
      <c r="G321" s="18"/>
      <c r="H321" s="18"/>
      <c r="J321" s="40"/>
      <c r="K321" s="40"/>
      <c r="L321" s="40"/>
      <c r="M321" s="38"/>
      <c r="O321" s="12">
        <f t="shared" si="53"/>
        <v>25.666666666666668</v>
      </c>
      <c r="P321" s="13">
        <v>308</v>
      </c>
      <c r="Q321" s="21">
        <v>2.82383670896873E-2</v>
      </c>
      <c r="R321" s="18">
        <f t="shared" si="54"/>
        <v>2.381273428023345E-2</v>
      </c>
      <c r="S321" s="21">
        <v>2.8877998612936162E-2</v>
      </c>
      <c r="T321" s="18">
        <f t="shared" si="55"/>
        <v>3.2983947714285256E-2</v>
      </c>
      <c r="U321" s="23">
        <v>3.3046527745769438E-2</v>
      </c>
      <c r="V321" s="23">
        <f t="shared" si="56"/>
        <v>3.5282723540146721E-2</v>
      </c>
      <c r="W321" s="22">
        <f t="shared" si="59"/>
        <v>2.8868254803671167E-3</v>
      </c>
      <c r="X321" s="23">
        <v>3.2214085073470455E-2</v>
      </c>
      <c r="Y321" s="23">
        <f t="shared" si="60"/>
        <v>3.4815610852406031E-2</v>
      </c>
      <c r="Z321" s="22">
        <f t="shared" si="61"/>
        <v>2.8485740728159126E-3</v>
      </c>
      <c r="AA321" s="33"/>
      <c r="AB321" s="50">
        <f t="shared" si="57"/>
        <v>308</v>
      </c>
      <c r="AC321" s="48">
        <f t="shared" si="52"/>
        <v>0.489319296076074</v>
      </c>
      <c r="AE321" s="48">
        <f t="shared" si="58"/>
        <v>0.99803771323141699</v>
      </c>
      <c r="AF321" s="48">
        <f t="shared" si="62"/>
        <v>0.48931929607607449</v>
      </c>
      <c r="AH321" s="48">
        <f t="shared" si="63"/>
        <v>4.9960036108132044E-16</v>
      </c>
    </row>
    <row r="322" spans="4:34" ht="13.9" customHeight="1">
      <c r="D322" s="8"/>
      <c r="E322" s="9"/>
      <c r="F322" s="18"/>
      <c r="G322" s="18"/>
      <c r="H322" s="18"/>
      <c r="J322" s="40"/>
      <c r="K322" s="40"/>
      <c r="L322" s="40"/>
      <c r="M322" s="38"/>
      <c r="O322" s="12">
        <f t="shared" si="53"/>
        <v>25.75</v>
      </c>
      <c r="P322" s="13">
        <v>309</v>
      </c>
      <c r="Q322" s="21">
        <v>2.8224013842318429E-2</v>
      </c>
      <c r="R322" s="18">
        <f t="shared" si="54"/>
        <v>2.3775742664730481E-2</v>
      </c>
      <c r="S322" s="21">
        <v>2.889126011592924E-2</v>
      </c>
      <c r="T322" s="18">
        <f t="shared" si="55"/>
        <v>3.310124695106631E-2</v>
      </c>
      <c r="U322" s="23">
        <v>3.3053756829245495E-2</v>
      </c>
      <c r="V322" s="23">
        <f t="shared" si="56"/>
        <v>3.536720113122116E-2</v>
      </c>
      <c r="W322" s="22">
        <f t="shared" si="59"/>
        <v>2.8937247833669133E-3</v>
      </c>
      <c r="X322" s="23">
        <v>3.2222493693214727E-2</v>
      </c>
      <c r="Y322" s="23">
        <f t="shared" si="60"/>
        <v>3.4906586924971617E-2</v>
      </c>
      <c r="Z322" s="22">
        <f t="shared" si="61"/>
        <v>2.8560087342794915E-3</v>
      </c>
      <c r="AA322" s="33"/>
      <c r="AB322" s="50">
        <f t="shared" si="57"/>
        <v>309</v>
      </c>
      <c r="AC322" s="48">
        <f t="shared" si="52"/>
        <v>0.48836061469913783</v>
      </c>
      <c r="AE322" s="48">
        <f t="shared" si="58"/>
        <v>0.99804078566975718</v>
      </c>
      <c r="AF322" s="48">
        <f t="shared" si="62"/>
        <v>0.48836061469913794</v>
      </c>
      <c r="AH322" s="48">
        <f t="shared" si="63"/>
        <v>0</v>
      </c>
    </row>
    <row r="323" spans="4:34" ht="13.9" customHeight="1">
      <c r="D323" s="8"/>
      <c r="E323" s="9"/>
      <c r="F323" s="18"/>
      <c r="G323" s="18"/>
      <c r="H323" s="18"/>
      <c r="J323" s="40"/>
      <c r="K323" s="40"/>
      <c r="L323" s="40"/>
      <c r="M323" s="38"/>
      <c r="O323" s="12">
        <f t="shared" si="53"/>
        <v>25.833333333333332</v>
      </c>
      <c r="P323" s="13">
        <v>310</v>
      </c>
      <c r="Q323" s="21">
        <v>2.8209633552535696E-2</v>
      </c>
      <c r="R323" s="18">
        <f t="shared" si="54"/>
        <v>2.3739578434225805E-2</v>
      </c>
      <c r="S323" s="21">
        <v>2.8904813099090543E-2</v>
      </c>
      <c r="T323" s="18">
        <f t="shared" si="55"/>
        <v>3.3217087442136695E-2</v>
      </c>
      <c r="U323" s="23">
        <v>3.3061211236052213E-2</v>
      </c>
      <c r="V323" s="23">
        <f t="shared" si="56"/>
        <v>3.5450706509688512E-2</v>
      </c>
      <c r="W323" s="22">
        <f t="shared" si="59"/>
        <v>2.9005440862541754E-3</v>
      </c>
      <c r="X323" s="23">
        <v>3.2231140856979756E-2</v>
      </c>
      <c r="Y323" s="23">
        <f t="shared" si="60"/>
        <v>3.4996497577693297E-2</v>
      </c>
      <c r="Z323" s="22">
        <f t="shared" si="61"/>
        <v>2.8633556329256127E-3</v>
      </c>
      <c r="AA323" s="33"/>
      <c r="AB323" s="50">
        <f t="shared" si="57"/>
        <v>310</v>
      </c>
      <c r="AC323" s="48">
        <f t="shared" si="52"/>
        <v>0.48740527915490139</v>
      </c>
      <c r="AE323" s="48">
        <f t="shared" si="58"/>
        <v>0.99804379076550753</v>
      </c>
      <c r="AF323" s="48">
        <f t="shared" si="62"/>
        <v>0.48740527915490106</v>
      </c>
      <c r="AH323" s="48">
        <f t="shared" si="63"/>
        <v>0</v>
      </c>
    </row>
    <row r="324" spans="4:34" ht="13.9" customHeight="1">
      <c r="D324" s="8"/>
      <c r="E324" s="9"/>
      <c r="F324" s="18"/>
      <c r="G324" s="18"/>
      <c r="H324" s="18"/>
      <c r="J324" s="40"/>
      <c r="K324" s="40"/>
      <c r="L324" s="40"/>
      <c r="M324" s="38"/>
      <c r="O324" s="12">
        <f t="shared" si="53"/>
        <v>25.916666666666668</v>
      </c>
      <c r="P324" s="13">
        <v>311</v>
      </c>
      <c r="Q324" s="21">
        <v>2.8195229151933399E-2</v>
      </c>
      <c r="R324" s="18">
        <f t="shared" si="54"/>
        <v>2.37042385514179E-2</v>
      </c>
      <c r="S324" s="21">
        <v>2.8918650050204553E-2</v>
      </c>
      <c r="T324" s="18">
        <f t="shared" si="55"/>
        <v>3.3331489304506245E-2</v>
      </c>
      <c r="U324" s="23">
        <v>3.3068885656994507E-2</v>
      </c>
      <c r="V324" s="23">
        <f t="shared" si="56"/>
        <v>3.5533251896599172E-2</v>
      </c>
      <c r="W324" s="22">
        <f t="shared" si="59"/>
        <v>2.9072844077684401E-3</v>
      </c>
      <c r="X324" s="23">
        <v>3.2240020828021576E-2</v>
      </c>
      <c r="Y324" s="23">
        <f t="shared" si="60"/>
        <v>3.5085356483236962E-2</v>
      </c>
      <c r="Z324" s="22">
        <f t="shared" si="61"/>
        <v>2.8706159104732176E-3</v>
      </c>
      <c r="AA324" s="33"/>
      <c r="AB324" s="50">
        <f t="shared" si="57"/>
        <v>311</v>
      </c>
      <c r="AC324" s="48">
        <f t="shared" si="52"/>
        <v>0.48645324444115706</v>
      </c>
      <c r="AE324" s="48">
        <f t="shared" si="58"/>
        <v>0.99804672876052214</v>
      </c>
      <c r="AF324" s="48">
        <f t="shared" si="62"/>
        <v>0.48645324444115812</v>
      </c>
      <c r="AH324" s="48">
        <f t="shared" si="63"/>
        <v>1.0547118733938987E-15</v>
      </c>
    </row>
    <row r="325" spans="4:34" ht="13.9" customHeight="1">
      <c r="D325" s="8"/>
      <c r="E325" s="9"/>
      <c r="F325" s="18"/>
      <c r="G325" s="18"/>
      <c r="H325" s="18"/>
      <c r="J325" s="40"/>
      <c r="K325" s="40"/>
      <c r="L325" s="40"/>
      <c r="M325" s="38"/>
      <c r="O325" s="12">
        <f t="shared" si="53"/>
        <v>26</v>
      </c>
      <c r="P325" s="13">
        <v>312</v>
      </c>
      <c r="Q325" s="21">
        <v>2.8180803524878062E-2</v>
      </c>
      <c r="R325" s="18">
        <f t="shared" si="54"/>
        <v>2.3669717821788172E-2</v>
      </c>
      <c r="S325" s="21">
        <v>2.8932763619128332E-2</v>
      </c>
      <c r="T325" s="18">
        <f t="shared" si="55"/>
        <v>3.3444472332226916E-2</v>
      </c>
      <c r="U325" s="23">
        <v>3.3076774890824279E-2</v>
      </c>
      <c r="V325" s="23">
        <f t="shared" si="56"/>
        <v>3.5614849336426113E-2</v>
      </c>
      <c r="W325" s="22">
        <f t="shared" si="59"/>
        <v>2.9139467517320661E-3</v>
      </c>
      <c r="X325" s="23">
        <v>3.224912798777857E-2</v>
      </c>
      <c r="Y325" s="23">
        <f t="shared" si="60"/>
        <v>3.5173177111690546E-2</v>
      </c>
      <c r="Z325" s="22">
        <f t="shared" si="61"/>
        <v>2.8777906915076201E-3</v>
      </c>
      <c r="AA325" s="33"/>
      <c r="AB325" s="50">
        <f t="shared" si="57"/>
        <v>312</v>
      </c>
      <c r="AC325" s="48">
        <f t="shared" si="52"/>
        <v>0.48550446598156627</v>
      </c>
      <c r="AE325" s="48">
        <f t="shared" si="58"/>
        <v>0.998049599893857</v>
      </c>
      <c r="AF325" s="48">
        <f t="shared" si="62"/>
        <v>0.48550446598156649</v>
      </c>
      <c r="AH325" s="48">
        <f t="shared" si="63"/>
        <v>0</v>
      </c>
    </row>
    <row r="326" spans="4:34" ht="13.9" customHeight="1">
      <c r="D326" s="8"/>
      <c r="E326" s="9"/>
      <c r="F326" s="18"/>
      <c r="G326" s="18"/>
      <c r="H326" s="18"/>
      <c r="J326" s="40"/>
      <c r="K326" s="40"/>
      <c r="L326" s="40"/>
      <c r="M326" s="38"/>
      <c r="O326" s="12">
        <f t="shared" si="53"/>
        <v>26.083333333333332</v>
      </c>
      <c r="P326" s="13">
        <v>313</v>
      </c>
      <c r="Q326" s="21">
        <v>2.8166359502334037E-2</v>
      </c>
      <c r="R326" s="18">
        <f t="shared" si="54"/>
        <v>2.3636004512913145E-2</v>
      </c>
      <c r="S326" s="21">
        <v>2.8947146614115127E-2</v>
      </c>
      <c r="T326" s="18">
        <f t="shared" si="55"/>
        <v>3.355605600160172E-2</v>
      </c>
      <c r="U326" s="23">
        <v>3.3084873841925377E-2</v>
      </c>
      <c r="V326" s="23">
        <f t="shared" si="56"/>
        <v>3.5695510701004851E-2</v>
      </c>
      <c r="W326" s="22">
        <f t="shared" si="59"/>
        <v>2.9205321072238721E-3</v>
      </c>
      <c r="X326" s="23">
        <v>3.2258456833305083E-2</v>
      </c>
      <c r="Y326" s="23">
        <f t="shared" si="60"/>
        <v>3.5259972735128153E-2</v>
      </c>
      <c r="Z326" s="22">
        <f t="shared" si="61"/>
        <v>2.8848810836661354E-3</v>
      </c>
      <c r="AA326" s="33"/>
      <c r="AB326" s="50">
        <f t="shared" si="57"/>
        <v>313</v>
      </c>
      <c r="AC326" s="48">
        <f t="shared" si="52"/>
        <v>0.4845588997072548</v>
      </c>
      <c r="AE326" s="48">
        <f t="shared" si="58"/>
        <v>0.9980524045800504</v>
      </c>
      <c r="AF326" s="48">
        <f t="shared" si="62"/>
        <v>0.48455889970725574</v>
      </c>
      <c r="AH326" s="48">
        <f t="shared" si="63"/>
        <v>9.4368957093138306E-16</v>
      </c>
    </row>
    <row r="327" spans="4:34" ht="13.9" customHeight="1">
      <c r="D327" s="8"/>
      <c r="E327" s="9"/>
      <c r="F327" s="18"/>
      <c r="G327" s="18"/>
      <c r="H327" s="18"/>
      <c r="J327" s="40"/>
      <c r="K327" s="40"/>
      <c r="L327" s="40"/>
      <c r="M327" s="38"/>
      <c r="O327" s="12">
        <f t="shared" si="53"/>
        <v>26.166666666666668</v>
      </c>
      <c r="P327" s="13">
        <v>314</v>
      </c>
      <c r="Q327" s="21">
        <v>2.8151899841791339E-2</v>
      </c>
      <c r="R327" s="18">
        <f t="shared" si="54"/>
        <v>2.3603093517380769E-2</v>
      </c>
      <c r="S327" s="21">
        <v>2.8961791998226794E-2</v>
      </c>
      <c r="T327" s="18">
        <f t="shared" si="55"/>
        <v>3.3666259478121852E-2</v>
      </c>
      <c r="U327" s="23">
        <v>3.3093177518055628E-2</v>
      </c>
      <c r="V327" s="23">
        <f t="shared" si="56"/>
        <v>3.5775247691709033E-2</v>
      </c>
      <c r="W327" s="22">
        <f t="shared" si="59"/>
        <v>2.9270414489117602E-3</v>
      </c>
      <c r="X327" s="23">
        <v>3.2268001974768756E-2</v>
      </c>
      <c r="Y327" s="23">
        <f t="shared" si="60"/>
        <v>3.5345756430550823E-2</v>
      </c>
      <c r="Z327" s="22">
        <f t="shared" si="61"/>
        <v>2.8918881780219952E-3</v>
      </c>
      <c r="AA327" s="33"/>
      <c r="AB327" s="50">
        <f t="shared" si="57"/>
        <v>314</v>
      </c>
      <c r="AC327" s="48">
        <f t="shared" si="52"/>
        <v>0.48361650230997577</v>
      </c>
      <c r="AE327" s="48">
        <f t="shared" si="58"/>
        <v>0.9980551437650842</v>
      </c>
      <c r="AF327" s="48">
        <f t="shared" si="62"/>
        <v>0.48361650230997616</v>
      </c>
      <c r="AH327" s="48">
        <f t="shared" si="63"/>
        <v>0</v>
      </c>
    </row>
    <row r="328" spans="4:34" ht="13.9" customHeight="1">
      <c r="D328" s="8"/>
      <c r="E328" s="9"/>
      <c r="F328" s="18"/>
      <c r="G328" s="18"/>
      <c r="H328" s="18"/>
      <c r="J328" s="40"/>
      <c r="K328" s="40"/>
      <c r="L328" s="40"/>
      <c r="M328" s="38"/>
      <c r="O328" s="12">
        <f t="shared" si="53"/>
        <v>26.25</v>
      </c>
      <c r="P328" s="13">
        <v>315</v>
      </c>
      <c r="Q328" s="21">
        <v>2.8137427249549152E-2</v>
      </c>
      <c r="R328" s="18">
        <f t="shared" si="54"/>
        <v>2.3570981961077431E-2</v>
      </c>
      <c r="S328" s="21">
        <v>2.8976692885838595E-2</v>
      </c>
      <c r="T328" s="18">
        <f t="shared" si="55"/>
        <v>3.3775101622190107E-2</v>
      </c>
      <c r="U328" s="23">
        <v>3.3101681028139485E-2</v>
      </c>
      <c r="V328" s="23">
        <f t="shared" si="56"/>
        <v>3.5854071842624347E-2</v>
      </c>
      <c r="W328" s="22">
        <f t="shared" si="59"/>
        <v>2.9334757372405651E-3</v>
      </c>
      <c r="X328" s="23">
        <v>3.2277758133006484E-2</v>
      </c>
      <c r="Y328" s="23">
        <f t="shared" si="60"/>
        <v>3.5430541083895539E-2</v>
      </c>
      <c r="Z328" s="22">
        <f t="shared" si="61"/>
        <v>2.8988130493399211E-3</v>
      </c>
      <c r="AA328" s="33"/>
      <c r="AB328" s="50">
        <f t="shared" si="57"/>
        <v>315</v>
      </c>
      <c r="AC328" s="48">
        <f t="shared" si="52"/>
        <v>0.4826772309750999</v>
      </c>
      <c r="AE328" s="48">
        <f t="shared" si="58"/>
        <v>0.99805781785693926</v>
      </c>
      <c r="AF328" s="48">
        <f t="shared" si="62"/>
        <v>0.48267723097510024</v>
      </c>
      <c r="AH328" s="48">
        <f t="shared" si="63"/>
        <v>0</v>
      </c>
    </row>
    <row r="329" spans="4:34" ht="13.9" customHeight="1">
      <c r="D329" s="8"/>
      <c r="E329" s="9"/>
      <c r="F329" s="18"/>
      <c r="G329" s="18"/>
      <c r="H329" s="18"/>
      <c r="J329" s="40"/>
      <c r="K329" s="40"/>
      <c r="L329" s="40"/>
      <c r="M329" s="38"/>
      <c r="O329" s="12">
        <f t="shared" si="53"/>
        <v>26.333333333333332</v>
      </c>
      <c r="P329" s="13">
        <v>316</v>
      </c>
      <c r="Q329" s="21">
        <v>2.8122944388616622E-2</v>
      </c>
      <c r="R329" s="18">
        <f t="shared" si="54"/>
        <v>2.3539667006798215E-2</v>
      </c>
      <c r="S329" s="21">
        <v>2.8991842539230372E-2</v>
      </c>
      <c r="T329" s="18">
        <f t="shared" si="55"/>
        <v>3.3882600995092105E-2</v>
      </c>
      <c r="U329" s="23">
        <v>3.3110379580114202E-2</v>
      </c>
      <c r="V329" s="23">
        <f t="shared" si="56"/>
        <v>3.5931994524176059E-2</v>
      </c>
      <c r="W329" s="22">
        <f t="shared" si="59"/>
        <v>2.9398359187018386E-3</v>
      </c>
      <c r="X329" s="23">
        <v>3.2287720137140319E-2</v>
      </c>
      <c r="Y329" s="23">
        <f t="shared" si="60"/>
        <v>3.551433939309101E-2</v>
      </c>
      <c r="Z329" s="22">
        <f t="shared" si="61"/>
        <v>2.9056567564136326E-3</v>
      </c>
      <c r="AA329" s="33"/>
      <c r="AB329" s="50">
        <f t="shared" si="57"/>
        <v>316</v>
      </c>
      <c r="AC329" s="48">
        <f t="shared" si="52"/>
        <v>0.48174104328993489</v>
      </c>
      <c r="AE329" s="48">
        <f t="shared" si="58"/>
        <v>0.99806042708234999</v>
      </c>
      <c r="AF329" s="48">
        <f t="shared" si="62"/>
        <v>0.48174104328993461</v>
      </c>
      <c r="AH329" s="48">
        <f t="shared" si="63"/>
        <v>0</v>
      </c>
    </row>
    <row r="330" spans="4:34" ht="13.9" customHeight="1">
      <c r="D330" s="8"/>
      <c r="E330" s="9"/>
      <c r="F330" s="18"/>
      <c r="G330" s="18"/>
      <c r="H330" s="18"/>
      <c r="J330" s="40"/>
      <c r="K330" s="40"/>
      <c r="L330" s="40"/>
      <c r="M330" s="38"/>
      <c r="O330" s="12">
        <f t="shared" si="53"/>
        <v>26.416666666666668</v>
      </c>
      <c r="P330" s="13">
        <v>317</v>
      </c>
      <c r="Q330" s="21">
        <v>2.8108453879506223E-2</v>
      </c>
      <c r="R330" s="18">
        <f t="shared" si="54"/>
        <v>2.3509145856770441E-2</v>
      </c>
      <c r="S330" s="21">
        <v>2.9007234365262535E-2</v>
      </c>
      <c r="T330" s="18">
        <f t="shared" si="55"/>
        <v>3.3988775864260301E-2</v>
      </c>
      <c r="U330" s="23">
        <v>3.3119268478827957E-2</v>
      </c>
      <c r="V330" s="23">
        <f t="shared" si="56"/>
        <v>3.6009026944395339E-2</v>
      </c>
      <c r="W330" s="22">
        <f t="shared" si="59"/>
        <v>2.9461229261382726E-3</v>
      </c>
      <c r="X330" s="23">
        <v>3.2297882922248888E-2</v>
      </c>
      <c r="Y330" s="23">
        <f t="shared" si="60"/>
        <v>3.5597163870507043E-2</v>
      </c>
      <c r="Z330" s="22">
        <f t="shared" si="61"/>
        <v>2.9124203423291917E-3</v>
      </c>
      <c r="AA330" s="33"/>
      <c r="AB330" s="50">
        <f t="shared" si="57"/>
        <v>317</v>
      </c>
      <c r="AC330" s="48">
        <f t="shared" si="52"/>
        <v>0.4808078972390693</v>
      </c>
      <c r="AE330" s="48">
        <f t="shared" si="58"/>
        <v>0.99806297166524793</v>
      </c>
      <c r="AF330" s="48">
        <f t="shared" si="62"/>
        <v>0.48080789723906897</v>
      </c>
      <c r="AH330" s="48">
        <f t="shared" si="63"/>
        <v>0</v>
      </c>
    </row>
    <row r="331" spans="4:34" ht="13.9" customHeight="1">
      <c r="D331" s="8"/>
      <c r="E331" s="9"/>
      <c r="F331" s="18"/>
      <c r="G331" s="18"/>
      <c r="H331" s="18"/>
      <c r="J331" s="40"/>
      <c r="K331" s="40"/>
      <c r="L331" s="40"/>
      <c r="M331" s="38"/>
      <c r="O331" s="12">
        <f t="shared" si="53"/>
        <v>26.5</v>
      </c>
      <c r="P331" s="13">
        <v>318</v>
      </c>
      <c r="Q331" s="21">
        <v>2.8093958301019795E-2</v>
      </c>
      <c r="R331" s="18">
        <f t="shared" si="54"/>
        <v>2.3479413589996057E-2</v>
      </c>
      <c r="S331" s="21">
        <v>2.902286191213399E-2</v>
      </c>
      <c r="T331" s="18">
        <f t="shared" si="55"/>
        <v>3.4093644209371998E-2</v>
      </c>
      <c r="U331" s="23">
        <v>3.3128343123983273E-2</v>
      </c>
      <c r="V331" s="23">
        <f t="shared" si="56"/>
        <v>3.6085180152824137E-2</v>
      </c>
      <c r="W331" s="22">
        <f t="shared" si="59"/>
        <v>2.9523376788591627E-3</v>
      </c>
      <c r="X331" s="23">
        <v>3.230824152709233E-2</v>
      </c>
      <c r="Y331" s="23">
        <f t="shared" si="60"/>
        <v>3.5679026847920348E-2</v>
      </c>
      <c r="Z331" s="22">
        <f t="shared" si="61"/>
        <v>2.9191048346772774E-3</v>
      </c>
      <c r="AA331" s="33"/>
      <c r="AB331" s="50">
        <f t="shared" si="57"/>
        <v>318</v>
      </c>
      <c r="AC331" s="48">
        <f t="shared" si="52"/>
        <v>0.47987775119968673</v>
      </c>
      <c r="AE331" s="48">
        <f t="shared" si="58"/>
        <v>0.99806545182655415</v>
      </c>
      <c r="AF331" s="48">
        <f t="shared" si="62"/>
        <v>0.47987775119968679</v>
      </c>
      <c r="AH331" s="48">
        <f t="shared" si="63"/>
        <v>0</v>
      </c>
    </row>
    <row r="332" spans="4:34" ht="13.9" customHeight="1">
      <c r="D332" s="8"/>
      <c r="E332" s="9"/>
      <c r="F332" s="18"/>
      <c r="G332" s="18"/>
      <c r="H332" s="18"/>
      <c r="J332" s="40"/>
      <c r="K332" s="40"/>
      <c r="L332" s="40"/>
      <c r="M332" s="38"/>
      <c r="O332" s="12">
        <f t="shared" si="53"/>
        <v>26.583333333333332</v>
      </c>
      <c r="P332" s="13">
        <v>319</v>
      </c>
      <c r="Q332" s="21">
        <v>2.8079460184210037E-2</v>
      </c>
      <c r="R332" s="18">
        <f t="shared" si="54"/>
        <v>2.3450458844155975E-2</v>
      </c>
      <c r="S332" s="21">
        <v>2.9038718866220892E-2</v>
      </c>
      <c r="T332" s="18">
        <f t="shared" si="55"/>
        <v>3.4197223727479908E-2</v>
      </c>
      <c r="U332" s="23">
        <v>3.3137599008132179E-2</v>
      </c>
      <c r="V332" s="23">
        <f t="shared" si="56"/>
        <v>3.6160465042868184E-2</v>
      </c>
      <c r="W332" s="22">
        <f t="shared" si="59"/>
        <v>2.9584810829659247E-3</v>
      </c>
      <c r="X332" s="23">
        <v>3.2318791091894949E-2</v>
      </c>
      <c r="Y332" s="23">
        <f t="shared" si="60"/>
        <v>3.575994047774933E-2</v>
      </c>
      <c r="Z332" s="22">
        <f t="shared" si="61"/>
        <v>2.9257112459681878E-3</v>
      </c>
      <c r="AA332" s="33"/>
      <c r="AB332" s="50">
        <f t="shared" si="57"/>
        <v>319</v>
      </c>
      <c r="AC332" s="48">
        <f t="shared" si="52"/>
        <v>0.47895056402127378</v>
      </c>
      <c r="AE332" s="48">
        <f t="shared" si="58"/>
        <v>0.99806786795992375</v>
      </c>
      <c r="AF332" s="48">
        <f t="shared" si="62"/>
        <v>0.47895056402127412</v>
      </c>
      <c r="AH332" s="48">
        <f t="shared" si="63"/>
        <v>0</v>
      </c>
    </row>
    <row r="333" spans="4:34" ht="13.9" customHeight="1">
      <c r="D333" s="8"/>
      <c r="E333" s="9"/>
      <c r="F333" s="18"/>
      <c r="G333" s="18"/>
      <c r="H333" s="18"/>
      <c r="J333" s="40"/>
      <c r="K333" s="40"/>
      <c r="L333" s="40"/>
      <c r="M333" s="38"/>
      <c r="O333" s="12">
        <f t="shared" si="53"/>
        <v>26.666666666666668</v>
      </c>
      <c r="P333" s="13">
        <v>320</v>
      </c>
      <c r="Q333" s="21">
        <v>2.8064961992900317E-2</v>
      </c>
      <c r="R333" s="18">
        <f t="shared" si="54"/>
        <v>2.3422276788396923E-2</v>
      </c>
      <c r="S333" s="21">
        <v>2.9054799048992663E-2</v>
      </c>
      <c r="T333" s="18">
        <f t="shared" si="55"/>
        <v>3.4299531838382524E-2</v>
      </c>
      <c r="U333" s="23">
        <v>3.3147031714716002E-2</v>
      </c>
      <c r="V333" s="23">
        <f t="shared" si="56"/>
        <v>3.6234892354229498E-2</v>
      </c>
      <c r="W333" s="22">
        <f t="shared" si="59"/>
        <v>2.9645540315548224E-3</v>
      </c>
      <c r="X333" s="23">
        <v>3.2329526856175406E-2</v>
      </c>
      <c r="Y333" s="23">
        <f t="shared" si="60"/>
        <v>3.5839916737768318E-2</v>
      </c>
      <c r="Z333" s="22">
        <f t="shared" si="61"/>
        <v>2.9322405737464141E-3</v>
      </c>
      <c r="AA333" s="33"/>
      <c r="AB333" s="50">
        <f t="shared" si="57"/>
        <v>320</v>
      </c>
      <c r="AC333" s="48">
        <f t="shared" ref="AC333:AC396" si="64">1/(1+Q333)^(P333/12)</f>
        <v>0.47802629527249613</v>
      </c>
      <c r="AE333" s="48">
        <f t="shared" si="58"/>
        <v>0.99807022098268761</v>
      </c>
      <c r="AF333" s="48">
        <f t="shared" si="62"/>
        <v>0.4780262952724959</v>
      </c>
      <c r="AH333" s="48">
        <f t="shared" si="63"/>
        <v>0</v>
      </c>
    </row>
    <row r="334" spans="4:34" ht="13.9" customHeight="1">
      <c r="D334" s="8"/>
      <c r="E334" s="9"/>
      <c r="F334" s="18"/>
      <c r="G334" s="18"/>
      <c r="H334" s="18"/>
      <c r="J334" s="40"/>
      <c r="K334" s="40"/>
      <c r="L334" s="40"/>
      <c r="M334" s="38"/>
      <c r="O334" s="12">
        <f t="shared" ref="O334:O397" si="65">P334/12</f>
        <v>26.75</v>
      </c>
      <c r="P334" s="13">
        <v>321</v>
      </c>
      <c r="Q334" s="21">
        <v>2.8050466145164155E-2</v>
      </c>
      <c r="R334" s="18">
        <f t="shared" ref="R334:R397" si="66">(1+Q335)^P335/(1+Q334)^P334-1</f>
        <v>2.3394864794727521E-2</v>
      </c>
      <c r="S334" s="21">
        <v>2.9071096414004183E-2</v>
      </c>
      <c r="T334" s="18">
        <f t="shared" ref="T334:T397" si="67">(1+S335)^P335/(1+S334)^P334-1</f>
        <v>3.4400585690116392E-2</v>
      </c>
      <c r="U334" s="23">
        <v>3.3156636916151561E-2</v>
      </c>
      <c r="V334" s="23">
        <f t="shared" ref="V334:V397" si="68">(1+U335)^P335/(1+U334)^P334-1</f>
        <v>3.6308472675620873E-2</v>
      </c>
      <c r="W334" s="22">
        <f t="shared" si="59"/>
        <v>2.9705574049234684E-3</v>
      </c>
      <c r="X334" s="23">
        <v>3.2340444156632842E-2</v>
      </c>
      <c r="Y334" s="23">
        <f t="shared" si="60"/>
        <v>3.5918967432696514E-2</v>
      </c>
      <c r="Z334" s="22">
        <f t="shared" si="61"/>
        <v>2.9386938009843266E-3</v>
      </c>
      <c r="AA334" s="33"/>
      <c r="AB334" s="50">
        <f t="shared" ref="AB334:AB397" si="69">+P334</f>
        <v>321</v>
      </c>
      <c r="AC334" s="48">
        <f t="shared" si="64"/>
        <v>0.47710490498127822</v>
      </c>
      <c r="AE334" s="48">
        <f t="shared" ref="AE334:AE397" si="70">1/(1+R333)^(1/12)</f>
        <v>0.9980725112816401</v>
      </c>
      <c r="AF334" s="48">
        <f t="shared" si="62"/>
        <v>0.47710490498127878</v>
      </c>
      <c r="AH334" s="48">
        <f t="shared" si="63"/>
        <v>5.5511151231257827E-16</v>
      </c>
    </row>
    <row r="335" spans="4:34" ht="13.9" customHeight="1">
      <c r="D335" s="8"/>
      <c r="E335" s="9"/>
      <c r="F335" s="18"/>
      <c r="G335" s="18"/>
      <c r="H335" s="18"/>
      <c r="J335" s="40"/>
      <c r="K335" s="40"/>
      <c r="L335" s="40"/>
      <c r="M335" s="38"/>
      <c r="O335" s="12">
        <f t="shared" si="65"/>
        <v>26.833333333333332</v>
      </c>
      <c r="P335" s="13">
        <v>322</v>
      </c>
      <c r="Q335" s="21">
        <v>2.803597502090116E-2</v>
      </c>
      <c r="R335" s="18">
        <f t="shared" si="66"/>
        <v>2.336822027369001E-2</v>
      </c>
      <c r="S335" s="21">
        <v>2.908760504396235E-2</v>
      </c>
      <c r="T335" s="18">
        <f t="shared" si="67"/>
        <v>3.4500402163525123E-2</v>
      </c>
      <c r="U335" s="23">
        <v>3.3166410371960664E-2</v>
      </c>
      <c r="V335" s="23">
        <f t="shared" si="68"/>
        <v>3.638121644752057E-2</v>
      </c>
      <c r="W335" s="22">
        <f t="shared" ref="W335:W398" si="71">(1+V334)^(1/12)-1</f>
        <v>2.9764920708008624E-3</v>
      </c>
      <c r="X335" s="23">
        <v>3.2351538425077431E-2</v>
      </c>
      <c r="Y335" s="23">
        <f t="shared" ref="Y335:Y398" si="72">(1+X336)^P336/(1+X335)^P335-1</f>
        <v>3.5997104198263852E-2</v>
      </c>
      <c r="Z335" s="22">
        <f t="shared" ref="Z335:Z398" si="73">(1+Y334)^(1/12)-1</f>
        <v>2.9450718962229505E-3</v>
      </c>
      <c r="AA335" s="33"/>
      <c r="AB335" s="50">
        <f t="shared" si="69"/>
        <v>322</v>
      </c>
      <c r="AC335" s="48">
        <f t="shared" si="64"/>
        <v>0.4761863535457001</v>
      </c>
      <c r="AE335" s="48">
        <f t="shared" si="70"/>
        <v>0.99807473906474631</v>
      </c>
      <c r="AF335" s="48">
        <f t="shared" ref="AF335:AF398" si="74">+AF334*AE335</f>
        <v>0.47618635354570038</v>
      </c>
      <c r="AH335" s="48">
        <f t="shared" ref="AH335:AH398" si="75">+AF335-AC335</f>
        <v>0</v>
      </c>
    </row>
    <row r="336" spans="4:34" ht="13.9" customHeight="1">
      <c r="D336" s="8"/>
      <c r="E336" s="9"/>
      <c r="F336" s="18"/>
      <c r="G336" s="18"/>
      <c r="H336" s="18"/>
      <c r="J336" s="40"/>
      <c r="K336" s="40"/>
      <c r="L336" s="40"/>
      <c r="M336" s="38"/>
      <c r="O336" s="12">
        <f t="shared" si="65"/>
        <v>26.916666666666668</v>
      </c>
      <c r="P336" s="13">
        <v>323</v>
      </c>
      <c r="Q336" s="21">
        <v>2.8021490962542916E-2</v>
      </c>
      <c r="R336" s="18">
        <f t="shared" si="66"/>
        <v>2.3342340676333784E-2</v>
      </c>
      <c r="S336" s="21">
        <v>2.9104319147862601E-2</v>
      </c>
      <c r="T336" s="18">
        <f t="shared" si="67"/>
        <v>3.4598997877598014E-2</v>
      </c>
      <c r="U336" s="23">
        <v>3.3176347926944461E-2</v>
      </c>
      <c r="V336" s="23">
        <f t="shared" si="68"/>
        <v>3.6453133963749496E-2</v>
      </c>
      <c r="W336" s="22">
        <f t="shared" si="71"/>
        <v>2.9823588845807603E-3</v>
      </c>
      <c r="X336" s="23">
        <v>3.2362805186413768E-2</v>
      </c>
      <c r="Y336" s="23">
        <f t="shared" si="72"/>
        <v>3.6074338503457204E-2</v>
      </c>
      <c r="Z336" s="22">
        <f t="shared" si="73"/>
        <v>2.9513758139148027E-3</v>
      </c>
      <c r="AA336" s="33"/>
      <c r="AB336" s="50">
        <f t="shared" si="69"/>
        <v>323</v>
      </c>
      <c r="AC336" s="48">
        <f t="shared" si="64"/>
        <v>0.47527060172966223</v>
      </c>
      <c r="AE336" s="48">
        <f t="shared" si="70"/>
        <v>0.99807690453701703</v>
      </c>
      <c r="AF336" s="48">
        <f t="shared" si="74"/>
        <v>0.47527060172966223</v>
      </c>
      <c r="AH336" s="48">
        <f t="shared" si="75"/>
        <v>0</v>
      </c>
    </row>
    <row r="337" spans="4:34" ht="13.9" customHeight="1">
      <c r="D337" s="8"/>
      <c r="E337" s="9"/>
      <c r="F337" s="18"/>
      <c r="G337" s="18"/>
      <c r="H337" s="18"/>
      <c r="J337" s="40"/>
      <c r="K337" s="40"/>
      <c r="L337" s="40"/>
      <c r="M337" s="38"/>
      <c r="O337" s="12">
        <f t="shared" si="65"/>
        <v>27</v>
      </c>
      <c r="P337" s="13">
        <v>324</v>
      </c>
      <c r="Q337" s="21">
        <v>2.8007016275750862E-2</v>
      </c>
      <c r="R337" s="18">
        <f t="shared" si="66"/>
        <v>2.331722136320491E-2</v>
      </c>
      <c r="S337" s="21">
        <v>2.9121233058196694E-2</v>
      </c>
      <c r="T337" s="18">
        <f t="shared" si="67"/>
        <v>3.4696389194220689E-2</v>
      </c>
      <c r="U337" s="23">
        <v>3.3186445509397311E-2</v>
      </c>
      <c r="V337" s="23">
        <f t="shared" si="68"/>
        <v>3.6524235375312575E-2</v>
      </c>
      <c r="W337" s="22">
        <f t="shared" si="71"/>
        <v>2.9881586894582313E-3</v>
      </c>
      <c r="X337" s="23">
        <v>3.2374240056668002E-2</v>
      </c>
      <c r="Y337" s="23">
        <f t="shared" si="72"/>
        <v>3.6150681653476235E-2</v>
      </c>
      <c r="Z337" s="22">
        <f t="shared" si="73"/>
        <v>2.9576064946164049E-3</v>
      </c>
      <c r="AA337" s="33"/>
      <c r="AB337" s="50">
        <f t="shared" si="69"/>
        <v>324</v>
      </c>
      <c r="AC337" s="48">
        <f t="shared" si="64"/>
        <v>0.47435761065854193</v>
      </c>
      <c r="AE337" s="48">
        <f t="shared" si="70"/>
        <v>0.99807900790034632</v>
      </c>
      <c r="AF337" s="48">
        <f t="shared" si="74"/>
        <v>0.47435761065854187</v>
      </c>
      <c r="AH337" s="48">
        <f t="shared" si="75"/>
        <v>0</v>
      </c>
    </row>
    <row r="338" spans="4:34" ht="13.9" customHeight="1">
      <c r="D338" s="8"/>
      <c r="E338" s="9"/>
      <c r="F338" s="18"/>
      <c r="G338" s="18"/>
      <c r="H338" s="18"/>
      <c r="J338" s="40"/>
      <c r="K338" s="40"/>
      <c r="L338" s="40"/>
      <c r="M338" s="38"/>
      <c r="O338" s="12">
        <f t="shared" si="65"/>
        <v>27.083333333333332</v>
      </c>
      <c r="P338" s="13">
        <v>325</v>
      </c>
      <c r="Q338" s="21">
        <v>2.7992553223515015E-2</v>
      </c>
      <c r="R338" s="18">
        <f t="shared" si="66"/>
        <v>2.3292851350671162E-2</v>
      </c>
      <c r="S338" s="21">
        <v>2.9138341228227338E-2</v>
      </c>
      <c r="T338" s="18">
        <f t="shared" si="67"/>
        <v>3.4792592222977925E-2</v>
      </c>
      <c r="U338" s="23">
        <v>3.3196699129364848E-2</v>
      </c>
      <c r="V338" s="23">
        <f t="shared" si="68"/>
        <v>3.659453069141394E-2</v>
      </c>
      <c r="W338" s="22">
        <f t="shared" si="71"/>
        <v>2.9938923167505127E-3</v>
      </c>
      <c r="X338" s="23">
        <v>3.2385838741062711E-2</v>
      </c>
      <c r="Y338" s="23">
        <f t="shared" si="72"/>
        <v>3.6226144792609549E-2</v>
      </c>
      <c r="Z338" s="22">
        <f t="shared" si="73"/>
        <v>2.9637648652389714E-3</v>
      </c>
      <c r="AA338" s="33"/>
      <c r="AB338" s="50">
        <f t="shared" si="69"/>
        <v>325</v>
      </c>
      <c r="AC338" s="48">
        <f t="shared" si="64"/>
        <v>0.47344734189706145</v>
      </c>
      <c r="AE338" s="48">
        <f t="shared" si="70"/>
        <v>0.99808104952671461</v>
      </c>
      <c r="AF338" s="48">
        <f t="shared" si="74"/>
        <v>0.47344734189706211</v>
      </c>
      <c r="AH338" s="48">
        <f t="shared" si="75"/>
        <v>6.6613381477509392E-16</v>
      </c>
    </row>
    <row r="339" spans="4:34" ht="13.9" customHeight="1">
      <c r="D339" s="8"/>
      <c r="E339" s="9"/>
      <c r="F339" s="18"/>
      <c r="G339" s="18"/>
      <c r="H339" s="18"/>
      <c r="J339" s="40"/>
      <c r="K339" s="40"/>
      <c r="L339" s="40"/>
      <c r="M339" s="38"/>
      <c r="O339" s="12">
        <f t="shared" si="65"/>
        <v>27.166666666666668</v>
      </c>
      <c r="P339" s="13">
        <v>326</v>
      </c>
      <c r="Q339" s="21">
        <v>2.7978104007253091E-2</v>
      </c>
      <c r="R339" s="18">
        <f t="shared" si="66"/>
        <v>2.3269226092328843E-2</v>
      </c>
      <c r="S339" s="21">
        <v>2.9155638229330094E-2</v>
      </c>
      <c r="T339" s="18">
        <f t="shared" si="67"/>
        <v>3.4887622825767961E-2</v>
      </c>
      <c r="U339" s="23">
        <v>3.320710487693912E-2</v>
      </c>
      <c r="V339" s="23">
        <f t="shared" si="68"/>
        <v>3.6664029782294882E-2</v>
      </c>
      <c r="W339" s="22">
        <f t="shared" si="71"/>
        <v>2.999560585987604E-3</v>
      </c>
      <c r="X339" s="23">
        <v>3.2397597032135295E-2</v>
      </c>
      <c r="Y339" s="23">
        <f t="shared" si="72"/>
        <v>3.6300738906861252E-2</v>
      </c>
      <c r="Z339" s="22">
        <f t="shared" si="73"/>
        <v>2.9698518392931028E-3</v>
      </c>
      <c r="AA339" s="33"/>
      <c r="AB339" s="50">
        <f t="shared" si="69"/>
        <v>326</v>
      </c>
      <c r="AC339" s="48">
        <f t="shared" si="64"/>
        <v>0.47253975768996881</v>
      </c>
      <c r="AE339" s="48">
        <f t="shared" si="70"/>
        <v>0.99808303030394763</v>
      </c>
      <c r="AF339" s="48">
        <f t="shared" si="74"/>
        <v>0.47253975768996892</v>
      </c>
      <c r="AH339" s="48">
        <f t="shared" si="75"/>
        <v>0</v>
      </c>
    </row>
    <row r="340" spans="4:34" ht="13.9" customHeight="1">
      <c r="D340" s="8"/>
      <c r="E340" s="9"/>
      <c r="F340" s="18"/>
      <c r="G340" s="18"/>
      <c r="H340" s="18"/>
      <c r="J340" s="40"/>
      <c r="K340" s="40"/>
      <c r="L340" s="40"/>
      <c r="M340" s="38"/>
      <c r="O340" s="12">
        <f t="shared" si="65"/>
        <v>27.25</v>
      </c>
      <c r="P340" s="13">
        <v>327</v>
      </c>
      <c r="Q340" s="21">
        <v>2.7963670787522821E-2</v>
      </c>
      <c r="R340" s="18">
        <f t="shared" si="66"/>
        <v>2.3246343214675669E-2</v>
      </c>
      <c r="S340" s="21">
        <v>2.9173118748397897E-2</v>
      </c>
      <c r="T340" s="18">
        <f t="shared" si="67"/>
        <v>3.4981496621243613E-2</v>
      </c>
      <c r="U340" s="23">
        <v>3.3217658920593474E-2</v>
      </c>
      <c r="V340" s="23">
        <f t="shared" si="68"/>
        <v>3.6732742382090455E-2</v>
      </c>
      <c r="W340" s="22">
        <f t="shared" si="71"/>
        <v>3.0051643051520749E-3</v>
      </c>
      <c r="X340" s="23">
        <v>3.2409510807900999E-2</v>
      </c>
      <c r="Y340" s="23">
        <f t="shared" si="72"/>
        <v>3.6374474826705638E-2</v>
      </c>
      <c r="Z340" s="22">
        <f t="shared" si="73"/>
        <v>2.9758683171119404E-3</v>
      </c>
      <c r="AA340" s="33"/>
      <c r="AB340" s="50">
        <f t="shared" si="69"/>
        <v>327</v>
      </c>
      <c r="AC340" s="48">
        <f t="shared" si="64"/>
        <v>0.47163482070905249</v>
      </c>
      <c r="AE340" s="48">
        <f t="shared" si="70"/>
        <v>0.99808495059687719</v>
      </c>
      <c r="AF340" s="48">
        <f t="shared" si="74"/>
        <v>0.47163482070905294</v>
      </c>
      <c r="AH340" s="48">
        <f t="shared" si="75"/>
        <v>4.4408920985006262E-16</v>
      </c>
    </row>
    <row r="341" spans="4:34" ht="13.9" customHeight="1">
      <c r="D341" s="8"/>
      <c r="E341" s="9"/>
      <c r="F341" s="18"/>
      <c r="G341" s="18"/>
      <c r="H341" s="18"/>
      <c r="J341" s="40"/>
      <c r="K341" s="40"/>
      <c r="L341" s="40"/>
      <c r="M341" s="38"/>
      <c r="O341" s="12">
        <f t="shared" si="65"/>
        <v>27.333333333333332</v>
      </c>
      <c r="P341" s="13">
        <v>328</v>
      </c>
      <c r="Q341" s="21">
        <v>2.7949255691294361E-2</v>
      </c>
      <c r="R341" s="18">
        <f t="shared" si="66"/>
        <v>2.3224200383840321E-2</v>
      </c>
      <c r="S341" s="21">
        <v>2.9190777585308858E-2</v>
      </c>
      <c r="T341" s="18">
        <f t="shared" si="67"/>
        <v>3.5074228989521394E-2</v>
      </c>
      <c r="U341" s="23">
        <v>3.3228357505557415E-2</v>
      </c>
      <c r="V341" s="23">
        <f t="shared" si="68"/>
        <v>3.6800678090004091E-2</v>
      </c>
      <c r="W341" s="22">
        <f t="shared" si="71"/>
        <v>3.0107042709166532E-3</v>
      </c>
      <c r="X341" s="23">
        <v>3.2421576030056798E-2</v>
      </c>
      <c r="Y341" s="23">
        <f t="shared" si="72"/>
        <v>3.6447363229549223E-2</v>
      </c>
      <c r="Z341" s="22">
        <f t="shared" si="73"/>
        <v>2.9818151860843134E-3</v>
      </c>
      <c r="AA341" s="33"/>
      <c r="AB341" s="50">
        <f t="shared" si="69"/>
        <v>328</v>
      </c>
      <c r="AC341" s="48">
        <f t="shared" si="64"/>
        <v>0.47073249396652067</v>
      </c>
      <c r="AE341" s="48">
        <f t="shared" si="70"/>
        <v>0.9980868105938917</v>
      </c>
      <c r="AF341" s="48">
        <f t="shared" si="74"/>
        <v>0.47073249396652062</v>
      </c>
      <c r="AH341" s="48">
        <f t="shared" si="75"/>
        <v>0</v>
      </c>
    </row>
    <row r="342" spans="4:34" ht="13.9" customHeight="1">
      <c r="D342" s="8"/>
      <c r="E342" s="9"/>
      <c r="F342" s="18"/>
      <c r="G342" s="18"/>
      <c r="H342" s="18"/>
      <c r="J342" s="40"/>
      <c r="K342" s="40"/>
      <c r="L342" s="40"/>
      <c r="M342" s="38"/>
      <c r="O342" s="12">
        <f t="shared" si="65"/>
        <v>27.416666666666668</v>
      </c>
      <c r="P342" s="13">
        <v>329</v>
      </c>
      <c r="Q342" s="21">
        <v>2.7934860812577567E-2</v>
      </c>
      <c r="R342" s="18">
        <f t="shared" si="66"/>
        <v>2.3202795307524005E-2</v>
      </c>
      <c r="S342" s="21">
        <v>2.9208609650455797E-2</v>
      </c>
      <c r="T342" s="18">
        <f t="shared" si="67"/>
        <v>3.5165835076105489E-2</v>
      </c>
      <c r="U342" s="23">
        <v>3.3239196952224992E-2</v>
      </c>
      <c r="V342" s="23">
        <f t="shared" si="68"/>
        <v>3.6867846372909296E-2</v>
      </c>
      <c r="W342" s="22">
        <f t="shared" si="71"/>
        <v>3.0161812687496958E-3</v>
      </c>
      <c r="X342" s="23">
        <v>3.2433788742228353E-2</v>
      </c>
      <c r="Y342" s="23">
        <f t="shared" si="72"/>
        <v>3.6519414642292913E-2</v>
      </c>
      <c r="Z342" s="22">
        <f t="shared" si="73"/>
        <v>2.9876933208652368E-3</v>
      </c>
      <c r="AA342" s="33"/>
      <c r="AB342" s="50">
        <f t="shared" si="69"/>
        <v>329</v>
      </c>
      <c r="AC342" s="48">
        <f t="shared" si="64"/>
        <v>0.46983274081098014</v>
      </c>
      <c r="AE342" s="48">
        <f t="shared" si="70"/>
        <v>0.99808861048031916</v>
      </c>
      <c r="AF342" s="48">
        <f t="shared" si="74"/>
        <v>0.46983274081097981</v>
      </c>
      <c r="AH342" s="48">
        <f t="shared" si="75"/>
        <v>0</v>
      </c>
    </row>
    <row r="343" spans="4:34" ht="13.9" customHeight="1">
      <c r="D343" s="8"/>
      <c r="E343" s="9"/>
      <c r="F343" s="18"/>
      <c r="G343" s="18"/>
      <c r="H343" s="18"/>
      <c r="J343" s="40"/>
      <c r="K343" s="40"/>
      <c r="L343" s="40"/>
      <c r="M343" s="38"/>
      <c r="O343" s="12">
        <f t="shared" si="65"/>
        <v>27.5</v>
      </c>
      <c r="P343" s="13">
        <v>330</v>
      </c>
      <c r="Q343" s="21">
        <v>2.7920488213043049E-2</v>
      </c>
      <c r="R343" s="18">
        <f t="shared" si="66"/>
        <v>2.3182123635776541E-2</v>
      </c>
      <c r="S343" s="21">
        <v>2.9226609962332617E-2</v>
      </c>
      <c r="T343" s="18">
        <f t="shared" si="67"/>
        <v>3.5256329796893304E-2</v>
      </c>
      <c r="U343" s="23">
        <v>3.3250173654601145E-2</v>
      </c>
      <c r="V343" s="23">
        <f t="shared" si="68"/>
        <v>3.6934256568318835E-2</v>
      </c>
      <c r="W343" s="22">
        <f t="shared" si="71"/>
        <v>3.021596073133237E-3</v>
      </c>
      <c r="X343" s="23">
        <v>3.2446145068255161E-2</v>
      </c>
      <c r="Y343" s="23">
        <f t="shared" si="72"/>
        <v>3.659063944409624E-2</v>
      </c>
      <c r="Z343" s="22">
        <f t="shared" si="73"/>
        <v>2.993503583591739E-3</v>
      </c>
      <c r="AA343" s="33"/>
      <c r="AB343" s="50">
        <f t="shared" si="69"/>
        <v>330</v>
      </c>
      <c r="AC343" s="48">
        <f t="shared" si="64"/>
        <v>0.46893552492340279</v>
      </c>
      <c r="AE343" s="48">
        <f t="shared" si="70"/>
        <v>0.99809035043826755</v>
      </c>
      <c r="AF343" s="48">
        <f t="shared" si="74"/>
        <v>0.46893552492340257</v>
      </c>
      <c r="AH343" s="48">
        <f t="shared" si="75"/>
        <v>0</v>
      </c>
    </row>
    <row r="344" spans="4:34" ht="13.9" customHeight="1">
      <c r="D344" s="8"/>
      <c r="E344" s="9"/>
      <c r="F344" s="18"/>
      <c r="G344" s="18"/>
      <c r="H344" s="18"/>
      <c r="J344" s="40"/>
      <c r="K344" s="40"/>
      <c r="L344" s="40"/>
      <c r="M344" s="38"/>
      <c r="O344" s="12">
        <f t="shared" si="65"/>
        <v>27.583333333333332</v>
      </c>
      <c r="P344" s="13">
        <v>331</v>
      </c>
      <c r="Q344" s="21">
        <v>2.7906139916261008E-2</v>
      </c>
      <c r="R344" s="18">
        <f t="shared" si="66"/>
        <v>2.3162174768456723E-2</v>
      </c>
      <c r="S344" s="21">
        <v>2.9244773645181521E-2</v>
      </c>
      <c r="T344" s="18">
        <f t="shared" si="67"/>
        <v>3.5345727840911279E-2</v>
      </c>
      <c r="U344" s="23">
        <v>3.3261284078784703E-2</v>
      </c>
      <c r="V344" s="23">
        <f t="shared" si="68"/>
        <v>3.6999917884605216E-2</v>
      </c>
      <c r="W344" s="22">
        <f t="shared" si="71"/>
        <v>3.0269494478101233E-3</v>
      </c>
      <c r="X344" s="23">
        <v>3.2458641210517003E-2</v>
      </c>
      <c r="Y344" s="23">
        <f t="shared" si="72"/>
        <v>3.6661047868332686E-2</v>
      </c>
      <c r="Z344" s="22">
        <f t="shared" si="73"/>
        <v>2.9992468241173409E-3</v>
      </c>
      <c r="AA344" s="33"/>
      <c r="AB344" s="50">
        <f t="shared" si="69"/>
        <v>331</v>
      </c>
      <c r="AC344" s="48">
        <f t="shared" si="64"/>
        <v>0.46804081039316076</v>
      </c>
      <c r="AE344" s="48">
        <f t="shared" si="70"/>
        <v>0.99809203081726783</v>
      </c>
      <c r="AF344" s="48">
        <f t="shared" si="74"/>
        <v>0.46804081039316037</v>
      </c>
      <c r="AH344" s="48">
        <f t="shared" si="75"/>
        <v>0</v>
      </c>
    </row>
    <row r="345" spans="4:34" ht="13.9" customHeight="1">
      <c r="D345" s="8"/>
      <c r="E345" s="9"/>
      <c r="F345" s="18"/>
      <c r="G345" s="18"/>
      <c r="H345" s="18"/>
      <c r="J345" s="40"/>
      <c r="K345" s="40"/>
      <c r="L345" s="40"/>
      <c r="M345" s="38"/>
      <c r="O345" s="12">
        <f t="shared" si="65"/>
        <v>27.666666666666668</v>
      </c>
      <c r="P345" s="13">
        <v>332</v>
      </c>
      <c r="Q345" s="21">
        <v>2.7891817889357906E-2</v>
      </c>
      <c r="R345" s="18">
        <f t="shared" si="66"/>
        <v>2.3142944451174152E-2</v>
      </c>
      <c r="S345" s="21">
        <v>2.9263095926691962E-2</v>
      </c>
      <c r="T345" s="18">
        <f t="shared" si="67"/>
        <v>3.5434043676364269E-2</v>
      </c>
      <c r="U345" s="23">
        <v>3.327252476148046E-2</v>
      </c>
      <c r="V345" s="23">
        <f t="shared" si="68"/>
        <v>3.7064839405382966E-2</v>
      </c>
      <c r="W345" s="22">
        <f t="shared" si="71"/>
        <v>3.0322421458111037E-3</v>
      </c>
      <c r="X345" s="23">
        <v>3.2471273448296589E-2</v>
      </c>
      <c r="Y345" s="23">
        <f t="shared" si="72"/>
        <v>3.6730650005584176E-2</v>
      </c>
      <c r="Z345" s="22">
        <f t="shared" si="73"/>
        <v>3.0049238801796996E-3</v>
      </c>
      <c r="AA345" s="33"/>
      <c r="AB345" s="50">
        <f t="shared" si="69"/>
        <v>332</v>
      </c>
      <c r="AC345" s="48">
        <f t="shared" si="64"/>
        <v>0.4671485619527192</v>
      </c>
      <c r="AE345" s="48">
        <f t="shared" si="70"/>
        <v>0.99809365247510962</v>
      </c>
      <c r="AF345" s="48">
        <f t="shared" si="74"/>
        <v>0.4671485619527197</v>
      </c>
      <c r="AH345" s="48">
        <f t="shared" si="75"/>
        <v>4.9960036108132044E-16</v>
      </c>
    </row>
    <row r="346" spans="4:34" ht="13.9" customHeight="1">
      <c r="D346" s="8"/>
      <c r="E346" s="9"/>
      <c r="F346" s="18"/>
      <c r="G346" s="18"/>
      <c r="H346" s="18"/>
      <c r="J346" s="40"/>
      <c r="K346" s="40"/>
      <c r="L346" s="40"/>
      <c r="M346" s="38"/>
      <c r="O346" s="12">
        <f t="shared" si="65"/>
        <v>27.75</v>
      </c>
      <c r="P346" s="13">
        <v>333</v>
      </c>
      <c r="Q346" s="21">
        <v>2.7877524063003589E-2</v>
      </c>
      <c r="R346" s="18">
        <f t="shared" si="66"/>
        <v>2.3124430570908183E-2</v>
      </c>
      <c r="S346" s="21">
        <v>2.9281572135759548E-2</v>
      </c>
      <c r="T346" s="18">
        <f t="shared" si="67"/>
        <v>3.5521291553109346E-2</v>
      </c>
      <c r="U346" s="23">
        <v>3.328389230855211E-2</v>
      </c>
      <c r="V346" s="23">
        <f t="shared" si="68"/>
        <v>3.7129030089669168E-2</v>
      </c>
      <c r="W346" s="22">
        <f t="shared" si="71"/>
        <v>3.0374749098156517E-3</v>
      </c>
      <c r="X346" s="23">
        <v>3.2484038136181059E-2</v>
      </c>
      <c r="Y346" s="23">
        <f t="shared" si="72"/>
        <v>3.6799455805372583E-2</v>
      </c>
      <c r="Z346" s="22">
        <f t="shared" si="73"/>
        <v>3.0105355776517406E-3</v>
      </c>
      <c r="AA346" s="33"/>
      <c r="AB346" s="50">
        <f t="shared" si="69"/>
        <v>333</v>
      </c>
      <c r="AC346" s="48">
        <f t="shared" si="64"/>
        <v>0.46625874473133527</v>
      </c>
      <c r="AE346" s="48">
        <f t="shared" si="70"/>
        <v>0.99809521575392424</v>
      </c>
      <c r="AF346" s="48">
        <f t="shared" si="74"/>
        <v>0.46625874473133522</v>
      </c>
      <c r="AH346" s="48">
        <f t="shared" si="75"/>
        <v>0</v>
      </c>
    </row>
    <row r="347" spans="4:34" ht="13.9" customHeight="1">
      <c r="D347" s="8"/>
      <c r="E347" s="9"/>
      <c r="F347" s="18"/>
      <c r="G347" s="18"/>
      <c r="H347" s="18"/>
      <c r="J347" s="40"/>
      <c r="K347" s="40"/>
      <c r="L347" s="40"/>
      <c r="M347" s="38"/>
      <c r="O347" s="12">
        <f t="shared" si="65"/>
        <v>27.833333333333332</v>
      </c>
      <c r="P347" s="13">
        <v>334</v>
      </c>
      <c r="Q347" s="21">
        <v>2.7863260338394591E-2</v>
      </c>
      <c r="R347" s="18">
        <f t="shared" si="66"/>
        <v>2.3106631056750926E-2</v>
      </c>
      <c r="S347" s="21">
        <v>2.9300197700293795E-2</v>
      </c>
      <c r="T347" s="18">
        <f t="shared" si="67"/>
        <v>3.5607485506698344E-2</v>
      </c>
      <c r="U347" s="23">
        <v>3.3295383393600941E-2</v>
      </c>
      <c r="V347" s="23">
        <f t="shared" si="68"/>
        <v>3.7192498774603733E-2</v>
      </c>
      <c r="W347" s="22">
        <f t="shared" si="71"/>
        <v>3.0426484721728375E-3</v>
      </c>
      <c r="X347" s="23">
        <v>3.249693170249901E-2</v>
      </c>
      <c r="Y347" s="23">
        <f t="shared" si="72"/>
        <v>3.6867475079187528E-2</v>
      </c>
      <c r="Z347" s="22">
        <f t="shared" si="73"/>
        <v>3.016082730689984E-3</v>
      </c>
      <c r="AA347" s="33"/>
      <c r="AB347" s="50">
        <f t="shared" si="69"/>
        <v>334</v>
      </c>
      <c r="AC347" s="48">
        <f t="shared" si="64"/>
        <v>0.46537132417089128</v>
      </c>
      <c r="AE347" s="48">
        <f t="shared" si="70"/>
        <v>0.99809672082192236</v>
      </c>
      <c r="AF347" s="48">
        <f t="shared" si="74"/>
        <v>0.46537132417089144</v>
      </c>
      <c r="AH347" s="48">
        <f t="shared" si="75"/>
        <v>0</v>
      </c>
    </row>
    <row r="348" spans="4:34" ht="13.9" customHeight="1">
      <c r="D348" s="8"/>
      <c r="E348" s="9"/>
      <c r="F348" s="18"/>
      <c r="G348" s="18"/>
      <c r="H348" s="18"/>
      <c r="J348" s="40"/>
      <c r="K348" s="40"/>
      <c r="L348" s="40"/>
      <c r="M348" s="38"/>
      <c r="O348" s="12">
        <f t="shared" si="65"/>
        <v>27.916666666666668</v>
      </c>
      <c r="P348" s="13">
        <v>335</v>
      </c>
      <c r="Q348" s="21">
        <v>2.7849028587815683E-2</v>
      </c>
      <c r="R348" s="18">
        <f t="shared" si="66"/>
        <v>2.3089543879158292E-2</v>
      </c>
      <c r="S348" s="21">
        <v>2.9318968145078728E-2</v>
      </c>
      <c r="T348" s="18">
        <f t="shared" si="67"/>
        <v>3.5692639362797429E-2</v>
      </c>
      <c r="U348" s="23">
        <v>3.3306994756580055E-2</v>
      </c>
      <c r="V348" s="23">
        <f t="shared" si="68"/>
        <v>3.7255254177576802E-2</v>
      </c>
      <c r="W348" s="22">
        <f t="shared" si="71"/>
        <v>3.0477635551280358E-3</v>
      </c>
      <c r="X348" s="23">
        <v>3.2509950647793051E-2</v>
      </c>
      <c r="Y348" s="23">
        <f t="shared" si="72"/>
        <v>3.6934717502090431E-2</v>
      </c>
      <c r="Z348" s="22">
        <f t="shared" si="73"/>
        <v>3.0215661419898954E-3</v>
      </c>
      <c r="AA348" s="33"/>
      <c r="AB348" s="50">
        <f t="shared" si="69"/>
        <v>335</v>
      </c>
      <c r="AC348" s="48">
        <f t="shared" si="64"/>
        <v>0.46448626602212073</v>
      </c>
      <c r="AE348" s="48">
        <f t="shared" si="70"/>
        <v>0.99809816784403738</v>
      </c>
      <c r="AF348" s="48">
        <f t="shared" si="74"/>
        <v>0.46448626602212034</v>
      </c>
      <c r="AH348" s="48">
        <f t="shared" si="75"/>
        <v>0</v>
      </c>
    </row>
    <row r="349" spans="4:34" ht="13.9" customHeight="1">
      <c r="D349" s="8"/>
      <c r="E349" s="9"/>
      <c r="F349" s="18"/>
      <c r="G349" s="18"/>
      <c r="H349" s="18"/>
      <c r="J349" s="40"/>
      <c r="K349" s="40"/>
      <c r="L349" s="40"/>
      <c r="M349" s="38"/>
      <c r="O349" s="12">
        <f t="shared" si="65"/>
        <v>28</v>
      </c>
      <c r="P349" s="13">
        <v>336</v>
      </c>
      <c r="Q349" s="21">
        <v>2.7834830655190546E-2</v>
      </c>
      <c r="R349" s="18">
        <f t="shared" si="66"/>
        <v>2.3073164983214323E-2</v>
      </c>
      <c r="S349" s="21">
        <v>2.9337879089685215E-2</v>
      </c>
      <c r="T349" s="18">
        <f t="shared" si="67"/>
        <v>3.5776766740688748E-2</v>
      </c>
      <c r="U349" s="23">
        <v>3.3318723202438338E-2</v>
      </c>
      <c r="V349" s="23">
        <f t="shared" si="68"/>
        <v>3.7317304897674264E-2</v>
      </c>
      <c r="W349" s="22">
        <f t="shared" si="71"/>
        <v>3.0528208710023375E-3</v>
      </c>
      <c r="X349" s="23">
        <v>3.2523091543326776E-2</v>
      </c>
      <c r="Y349" s="23">
        <f t="shared" si="72"/>
        <v>3.7001192615014666E-2</v>
      </c>
      <c r="Z349" s="22">
        <f t="shared" si="73"/>
        <v>3.0269866029222214E-3</v>
      </c>
      <c r="AA349" s="33"/>
      <c r="AB349" s="50">
        <f t="shared" si="69"/>
        <v>336</v>
      </c>
      <c r="AC349" s="48">
        <f t="shared" si="64"/>
        <v>0.4636035363408943</v>
      </c>
      <c r="AE349" s="48">
        <f t="shared" si="70"/>
        <v>0.99809955698198405</v>
      </c>
      <c r="AF349" s="48">
        <f t="shared" si="74"/>
        <v>0.4636035363408943</v>
      </c>
      <c r="AH349" s="48">
        <f t="shared" si="75"/>
        <v>0</v>
      </c>
    </row>
    <row r="350" spans="4:34" ht="13.9" customHeight="1">
      <c r="D350" s="8"/>
      <c r="E350" s="9"/>
      <c r="F350" s="18"/>
      <c r="G350" s="18"/>
      <c r="H350" s="18"/>
      <c r="J350" s="40"/>
      <c r="K350" s="40"/>
      <c r="L350" s="40"/>
      <c r="M350" s="38"/>
      <c r="O350" s="12">
        <f t="shared" si="65"/>
        <v>28.083333333333332</v>
      </c>
      <c r="P350" s="13">
        <v>337</v>
      </c>
      <c r="Q350" s="21">
        <v>2.7820668350460043E-2</v>
      </c>
      <c r="R350" s="18">
        <f t="shared" si="66"/>
        <v>2.3057484157106289E-2</v>
      </c>
      <c r="S350" s="21">
        <v>2.9356926246430826E-2</v>
      </c>
      <c r="T350" s="18">
        <f t="shared" si="67"/>
        <v>3.585988105703497E-2</v>
      </c>
      <c r="U350" s="23">
        <v>3.3330565599794637E-2</v>
      </c>
      <c r="V350" s="23">
        <f t="shared" si="68"/>
        <v>3.7378659417921734E-2</v>
      </c>
      <c r="W350" s="22">
        <f t="shared" si="71"/>
        <v>3.0578211223160068E-3</v>
      </c>
      <c r="X350" s="23">
        <v>3.2536351029624822E-2</v>
      </c>
      <c r="Y350" s="23">
        <f t="shared" si="72"/>
        <v>3.7066909827780492E-2</v>
      </c>
      <c r="Z350" s="22">
        <f t="shared" si="73"/>
        <v>3.0323448937283892E-3</v>
      </c>
      <c r="AA350" s="33"/>
      <c r="AB350" s="50">
        <f t="shared" si="69"/>
        <v>337</v>
      </c>
      <c r="AC350" s="48">
        <f t="shared" si="64"/>
        <v>0.46272310156246282</v>
      </c>
      <c r="AE350" s="48">
        <f t="shared" si="70"/>
        <v>0.99810088856228152</v>
      </c>
      <c r="AF350" s="48">
        <f t="shared" si="74"/>
        <v>0.46272310156246255</v>
      </c>
      <c r="AH350" s="48">
        <f t="shared" si="75"/>
        <v>0</v>
      </c>
    </row>
    <row r="351" spans="4:34" ht="13.9" customHeight="1">
      <c r="D351" s="8"/>
      <c r="E351" s="9"/>
      <c r="F351" s="18"/>
      <c r="G351" s="18"/>
      <c r="H351" s="18"/>
      <c r="J351" s="40"/>
      <c r="K351" s="40"/>
      <c r="L351" s="40"/>
      <c r="M351" s="38"/>
      <c r="O351" s="12">
        <f t="shared" si="65"/>
        <v>28.166666666666668</v>
      </c>
      <c r="P351" s="13">
        <v>338</v>
      </c>
      <c r="Q351" s="21">
        <v>2.7806543431782016E-2</v>
      </c>
      <c r="R351" s="18">
        <f t="shared" si="66"/>
        <v>2.3042497443183541E-2</v>
      </c>
      <c r="S351" s="21">
        <v>2.9376105418389642E-2</v>
      </c>
      <c r="T351" s="18">
        <f t="shared" si="67"/>
        <v>3.5941995528520509E-2</v>
      </c>
      <c r="U351" s="23">
        <v>3.3342518879641903E-2</v>
      </c>
      <c r="V351" s="23">
        <f t="shared" si="68"/>
        <v>3.7439326106975868E-2</v>
      </c>
      <c r="W351" s="22">
        <f t="shared" si="71"/>
        <v>3.0627650019765529E-3</v>
      </c>
      <c r="X351" s="23">
        <v>3.2549725815047781E-2</v>
      </c>
      <c r="Y351" s="23">
        <f t="shared" si="72"/>
        <v>3.7131878419805586E-2</v>
      </c>
      <c r="Z351" s="22">
        <f t="shared" si="73"/>
        <v>3.0376417837720826E-3</v>
      </c>
      <c r="AA351" s="33"/>
      <c r="AB351" s="50">
        <f t="shared" si="69"/>
        <v>338</v>
      </c>
      <c r="AC351" s="48">
        <f t="shared" si="64"/>
        <v>0.46184492873027921</v>
      </c>
      <c r="AE351" s="48">
        <f t="shared" si="70"/>
        <v>0.99810216341216096</v>
      </c>
      <c r="AF351" s="48">
        <f t="shared" si="74"/>
        <v>0.46184492873027894</v>
      </c>
      <c r="AH351" s="48">
        <f t="shared" si="75"/>
        <v>0</v>
      </c>
    </row>
    <row r="352" spans="4:34" ht="13.9" customHeight="1">
      <c r="D352" s="8"/>
      <c r="E352" s="9"/>
      <c r="F352" s="18"/>
      <c r="G352" s="18"/>
      <c r="H352" s="18"/>
      <c r="J352" s="40"/>
      <c r="K352" s="40"/>
      <c r="L352" s="40"/>
      <c r="M352" s="38"/>
      <c r="O352" s="12">
        <f t="shared" si="65"/>
        <v>28.25</v>
      </c>
      <c r="P352" s="13">
        <v>339</v>
      </c>
      <c r="Q352" s="21">
        <v>2.7792457624825406E-2</v>
      </c>
      <c r="R352" s="18">
        <f t="shared" si="66"/>
        <v>2.3028202995653668E-2</v>
      </c>
      <c r="S352" s="21">
        <v>2.9395412497444262E-2</v>
      </c>
      <c r="T352" s="18">
        <f t="shared" si="67"/>
        <v>3.602312317680445E-2</v>
      </c>
      <c r="U352" s="23">
        <v>3.3354580034079984E-2</v>
      </c>
      <c r="V352" s="23">
        <f t="shared" si="68"/>
        <v>3.7499313220826114E-2</v>
      </c>
      <c r="W352" s="22">
        <f t="shared" si="71"/>
        <v>3.0676531934215046E-3</v>
      </c>
      <c r="X352" s="23">
        <v>3.2563212674396214E-2</v>
      </c>
      <c r="Y352" s="23">
        <f t="shared" si="72"/>
        <v>3.7196107543419288E-2</v>
      </c>
      <c r="Z352" s="22">
        <f t="shared" si="73"/>
        <v>3.0428780316043014E-3</v>
      </c>
      <c r="AA352" s="33"/>
      <c r="AB352" s="50">
        <f t="shared" si="69"/>
        <v>339</v>
      </c>
      <c r="AC352" s="48">
        <f t="shared" si="64"/>
        <v>0.46096898525622287</v>
      </c>
      <c r="AE352" s="48">
        <f t="shared" si="70"/>
        <v>0.99810338185056025</v>
      </c>
      <c r="AF352" s="48">
        <f t="shared" si="74"/>
        <v>0.46096898525622237</v>
      </c>
      <c r="AH352" s="48">
        <f t="shared" si="75"/>
        <v>-4.9960036108132044E-16</v>
      </c>
    </row>
    <row r="353" spans="4:34" ht="13.9" customHeight="1">
      <c r="D353" s="8"/>
      <c r="E353" s="9"/>
      <c r="F353" s="18"/>
      <c r="G353" s="18"/>
      <c r="H353" s="18"/>
      <c r="J353" s="40"/>
      <c r="K353" s="40"/>
      <c r="L353" s="40"/>
      <c r="M353" s="38"/>
      <c r="O353" s="12">
        <f t="shared" si="65"/>
        <v>28.333333333333332</v>
      </c>
      <c r="P353" s="13">
        <v>340</v>
      </c>
      <c r="Q353" s="21">
        <v>2.7778412629485327E-2</v>
      </c>
      <c r="R353" s="18">
        <f t="shared" si="66"/>
        <v>2.3014599010770853E-2</v>
      </c>
      <c r="S353" s="21">
        <v>2.9414843462388429E-2</v>
      </c>
      <c r="T353" s="18">
        <f t="shared" si="67"/>
        <v>3.6103276831045639E-2</v>
      </c>
      <c r="U353" s="23">
        <v>3.3366746115075285E-2</v>
      </c>
      <c r="V353" s="23">
        <f t="shared" si="68"/>
        <v>3.7558628904846403E-2</v>
      </c>
      <c r="W353" s="22">
        <f t="shared" si="71"/>
        <v>3.0724863707622951E-3</v>
      </c>
      <c r="X353" s="23">
        <v>3.2576808447547512E-2</v>
      </c>
      <c r="Y353" s="23">
        <f t="shared" si="72"/>
        <v>3.7259606225471087E-2</v>
      </c>
      <c r="Z353" s="22">
        <f t="shared" si="73"/>
        <v>3.0480543852391406E-3</v>
      </c>
      <c r="AA353" s="33"/>
      <c r="AB353" s="50">
        <f t="shared" si="69"/>
        <v>340</v>
      </c>
      <c r="AC353" s="48">
        <f t="shared" si="64"/>
        <v>0.46009523883876463</v>
      </c>
      <c r="AE353" s="48">
        <f t="shared" si="70"/>
        <v>0.99810454402486226</v>
      </c>
      <c r="AF353" s="48">
        <f t="shared" si="74"/>
        <v>0.4600952388387653</v>
      </c>
      <c r="AH353" s="48">
        <f t="shared" si="75"/>
        <v>6.6613381477509392E-16</v>
      </c>
    </row>
    <row r="354" spans="4:34" ht="13.9" customHeight="1">
      <c r="D354" s="8"/>
      <c r="E354" s="9"/>
      <c r="F354" s="18"/>
      <c r="G354" s="18"/>
      <c r="H354" s="18"/>
      <c r="J354" s="40"/>
      <c r="K354" s="40"/>
      <c r="L354" s="40"/>
      <c r="M354" s="38"/>
      <c r="O354" s="12">
        <f t="shared" si="65"/>
        <v>28.416666666666668</v>
      </c>
      <c r="P354" s="13">
        <v>341</v>
      </c>
      <c r="Q354" s="21">
        <v>2.7764410120380889E-2</v>
      </c>
      <c r="R354" s="18">
        <f t="shared" si="66"/>
        <v>2.3001683727427169E-2</v>
      </c>
      <c r="S354" s="21">
        <v>2.9434394377070516E-2</v>
      </c>
      <c r="T354" s="18">
        <f t="shared" si="67"/>
        <v>3.6182469131361916E-2</v>
      </c>
      <c r="U354" s="23">
        <v>3.3379014233249515E-2</v>
      </c>
      <c r="V354" s="23">
        <f t="shared" si="68"/>
        <v>3.7617281195081231E-2</v>
      </c>
      <c r="W354" s="22">
        <f t="shared" si="71"/>
        <v>3.0772651989570132E-3</v>
      </c>
      <c r="X354" s="23">
        <v>3.2590510038123632E-2</v>
      </c>
      <c r="Y354" s="23">
        <f t="shared" si="72"/>
        <v>3.7322383369194023E-2</v>
      </c>
      <c r="Z354" s="22">
        <f t="shared" si="73"/>
        <v>3.0531715822910144E-3</v>
      </c>
      <c r="AA354" s="33"/>
      <c r="AB354" s="50">
        <f t="shared" si="69"/>
        <v>341</v>
      </c>
      <c r="AC354" s="48">
        <f t="shared" si="64"/>
        <v>0.45922365745949434</v>
      </c>
      <c r="AE354" s="48">
        <f t="shared" si="70"/>
        <v>0.99810565007916374</v>
      </c>
      <c r="AF354" s="48">
        <f t="shared" si="74"/>
        <v>0.45922365745949395</v>
      </c>
      <c r="AH354" s="48">
        <f t="shared" si="75"/>
        <v>0</v>
      </c>
    </row>
    <row r="355" spans="4:34" ht="13.9" customHeight="1">
      <c r="D355" s="8"/>
      <c r="E355" s="9"/>
      <c r="F355" s="18"/>
      <c r="G355" s="18"/>
      <c r="H355" s="18"/>
      <c r="J355" s="40"/>
      <c r="K355" s="40"/>
      <c r="L355" s="40"/>
      <c r="M355" s="38"/>
      <c r="O355" s="12">
        <f t="shared" si="65"/>
        <v>28.5</v>
      </c>
      <c r="P355" s="13">
        <v>342</v>
      </c>
      <c r="Q355" s="21">
        <v>2.7750451747347693E-2</v>
      </c>
      <c r="R355" s="18">
        <f t="shared" si="66"/>
        <v>2.2989453390590109E-2</v>
      </c>
      <c r="S355" s="21">
        <v>2.9454061388580977E-2</v>
      </c>
      <c r="T355" s="18">
        <f t="shared" si="67"/>
        <v>3.6260712532187211E-2</v>
      </c>
      <c r="U355" s="23">
        <v>3.3391381556693744E-2</v>
      </c>
      <c r="V355" s="23">
        <f t="shared" si="68"/>
        <v>3.767527802053916E-2</v>
      </c>
      <c r="W355" s="22">
        <f t="shared" si="71"/>
        <v>3.0819903339192045E-3</v>
      </c>
      <c r="X355" s="23">
        <v>3.2604314412187474E-2</v>
      </c>
      <c r="Y355" s="23">
        <f t="shared" si="72"/>
        <v>3.7384447756212635E-2</v>
      </c>
      <c r="Z355" s="22">
        <f t="shared" si="73"/>
        <v>3.0582303501325292E-3</v>
      </c>
      <c r="AA355" s="33"/>
      <c r="AB355" s="50">
        <f t="shared" si="69"/>
        <v>342</v>
      </c>
      <c r="AC355" s="48">
        <f t="shared" si="64"/>
        <v>0.45835420937965038</v>
      </c>
      <c r="AE355" s="48">
        <f t="shared" si="70"/>
        <v>0.99810670015422631</v>
      </c>
      <c r="AF355" s="48">
        <f t="shared" si="74"/>
        <v>0.45835420937965027</v>
      </c>
      <c r="AH355" s="48">
        <f t="shared" si="75"/>
        <v>0</v>
      </c>
    </row>
    <row r="356" spans="4:34" ht="13.9" customHeight="1">
      <c r="D356" s="8"/>
      <c r="E356" s="9"/>
      <c r="F356" s="18"/>
      <c r="G356" s="18"/>
      <c r="H356" s="18"/>
      <c r="J356" s="40"/>
      <c r="K356" s="40"/>
      <c r="L356" s="40"/>
      <c r="M356" s="38"/>
      <c r="O356" s="12">
        <f t="shared" si="65"/>
        <v>28.583333333333332</v>
      </c>
      <c r="P356" s="13">
        <v>343</v>
      </c>
      <c r="Q356" s="21">
        <v>2.7736539129954663E-2</v>
      </c>
      <c r="R356" s="18">
        <f t="shared" si="66"/>
        <v>2.2977898179629364E-2</v>
      </c>
      <c r="S356" s="21">
        <v>2.9473840725481315E-2</v>
      </c>
      <c r="T356" s="18">
        <f t="shared" si="67"/>
        <v>3.6338019305875768E-2</v>
      </c>
      <c r="U356" s="23">
        <v>3.340384530980911E-2</v>
      </c>
      <c r="V356" s="23">
        <f t="shared" si="68"/>
        <v>3.7732627204323244E-2</v>
      </c>
      <c r="W356" s="22">
        <f t="shared" si="71"/>
        <v>3.0866624227090522E-3</v>
      </c>
      <c r="X356" s="23">
        <v>3.2618218596967452E-2</v>
      </c>
      <c r="Y356" s="23">
        <f t="shared" si="72"/>
        <v>3.744580804916553E-2</v>
      </c>
      <c r="Z356" s="22">
        <f t="shared" si="73"/>
        <v>3.0632314060639043E-3</v>
      </c>
      <c r="AA356" s="33"/>
      <c r="AB356" s="50">
        <f t="shared" si="69"/>
        <v>343</v>
      </c>
      <c r="AC356" s="48">
        <f t="shared" si="64"/>
        <v>0.45748686321261484</v>
      </c>
      <c r="AE356" s="48">
        <f t="shared" si="70"/>
        <v>0.99810769455306159</v>
      </c>
      <c r="AF356" s="48">
        <f t="shared" si="74"/>
        <v>0.457486863212614</v>
      </c>
      <c r="AH356" s="48">
        <f t="shared" si="75"/>
        <v>-8.3266726846886741E-16</v>
      </c>
    </row>
    <row r="357" spans="4:34" ht="13.9" customHeight="1">
      <c r="D357" s="8"/>
      <c r="E357" s="9"/>
      <c r="F357" s="18"/>
      <c r="G357" s="18"/>
      <c r="H357" s="18"/>
      <c r="J357" s="40"/>
      <c r="K357" s="40"/>
      <c r="L357" s="40"/>
      <c r="M357" s="38"/>
      <c r="O357" s="12">
        <f t="shared" si="65"/>
        <v>28.666666666666668</v>
      </c>
      <c r="P357" s="13">
        <v>344</v>
      </c>
      <c r="Q357" s="21">
        <v>2.7722673840227419E-2</v>
      </c>
      <c r="R357" s="18">
        <f t="shared" si="66"/>
        <v>2.2967014438769473E-2</v>
      </c>
      <c r="S357" s="21">
        <v>2.9493728696075472E-2</v>
      </c>
      <c r="T357" s="18">
        <f t="shared" si="67"/>
        <v>3.6414401544849095E-2</v>
      </c>
      <c r="U357" s="23">
        <v>3.3416402772172837E-2</v>
      </c>
      <c r="V357" s="23">
        <f t="shared" si="68"/>
        <v>3.7789336465409606E-2</v>
      </c>
      <c r="W357" s="22">
        <f t="shared" si="71"/>
        <v>3.0912821036315208E-3</v>
      </c>
      <c r="X357" s="23">
        <v>3.2632219679613383E-2</v>
      </c>
      <c r="Y357" s="23">
        <f t="shared" si="72"/>
        <v>3.7506472791944523E-2</v>
      </c>
      <c r="Z357" s="22">
        <f t="shared" si="73"/>
        <v>3.0681754575319076E-3</v>
      </c>
      <c r="AA357" s="33"/>
      <c r="AB357" s="50">
        <f t="shared" si="69"/>
        <v>344</v>
      </c>
      <c r="AC357" s="48">
        <f t="shared" si="64"/>
        <v>0.45662158814702491</v>
      </c>
      <c r="AE357" s="48">
        <f t="shared" si="70"/>
        <v>0.99810863407199646</v>
      </c>
      <c r="AF357" s="48">
        <f t="shared" si="74"/>
        <v>0.45662158814702447</v>
      </c>
      <c r="AH357" s="48">
        <f t="shared" si="75"/>
        <v>-4.4408920985006262E-16</v>
      </c>
    </row>
    <row r="358" spans="4:34" ht="13.9" customHeight="1">
      <c r="D358" s="8"/>
      <c r="E358" s="9"/>
      <c r="F358" s="18"/>
      <c r="G358" s="18"/>
      <c r="H358" s="18"/>
      <c r="J358" s="40"/>
      <c r="K358" s="40"/>
      <c r="L358" s="40"/>
      <c r="M358" s="38"/>
      <c r="O358" s="12">
        <f t="shared" si="65"/>
        <v>28.75</v>
      </c>
      <c r="P358" s="13">
        <v>345</v>
      </c>
      <c r="Q358" s="21">
        <v>2.7708857421286259E-2</v>
      </c>
      <c r="R358" s="18">
        <f t="shared" si="66"/>
        <v>2.2956800592572213E-2</v>
      </c>
      <c r="S358" s="21">
        <v>2.9513721686718064E-2</v>
      </c>
      <c r="T358" s="18">
        <f t="shared" si="67"/>
        <v>3.6489871165846344E-2</v>
      </c>
      <c r="U358" s="23">
        <v>3.3429051277428679E-2</v>
      </c>
      <c r="V358" s="23">
        <f t="shared" si="68"/>
        <v>3.7845413420901863E-2</v>
      </c>
      <c r="W358" s="22">
        <f t="shared" si="71"/>
        <v>3.0958500063842376E-3</v>
      </c>
      <c r="X358" s="23">
        <v>3.2646314805975019E-2</v>
      </c>
      <c r="Y358" s="23">
        <f t="shared" si="72"/>
        <v>3.7566450414120434E-2</v>
      </c>
      <c r="Z358" s="22">
        <f t="shared" si="73"/>
        <v>3.0730632021553905E-3</v>
      </c>
      <c r="AA358" s="33"/>
      <c r="AB358" s="50">
        <f t="shared" si="69"/>
        <v>345</v>
      </c>
      <c r="AC358" s="48">
        <f t="shared" si="64"/>
        <v>0.45575835371330137</v>
      </c>
      <c r="AE358" s="48">
        <f t="shared" si="70"/>
        <v>0.99810951900626099</v>
      </c>
      <c r="AF358" s="48">
        <f t="shared" si="74"/>
        <v>0.45575835371330159</v>
      </c>
      <c r="AH358" s="48">
        <f t="shared" si="75"/>
        <v>0</v>
      </c>
    </row>
    <row r="359" spans="4:34" ht="13.9" customHeight="1">
      <c r="D359" s="8"/>
      <c r="E359" s="9"/>
      <c r="F359" s="18"/>
      <c r="G359" s="18"/>
      <c r="H359" s="18"/>
      <c r="J359" s="40"/>
      <c r="K359" s="40"/>
      <c r="L359" s="40"/>
      <c r="M359" s="38"/>
      <c r="O359" s="12">
        <f t="shared" si="65"/>
        <v>28.833333333333332</v>
      </c>
      <c r="P359" s="13">
        <v>346</v>
      </c>
      <c r="Q359" s="21">
        <v>2.7695091393801663E-2</v>
      </c>
      <c r="R359" s="18">
        <f t="shared" si="66"/>
        <v>2.2947255109979636E-2</v>
      </c>
      <c r="S359" s="21">
        <v>2.9533816160164816E-2</v>
      </c>
      <c r="T359" s="18">
        <f t="shared" si="67"/>
        <v>3.6564439912134539E-2</v>
      </c>
      <c r="U359" s="23">
        <v>3.3441788212202894E-2</v>
      </c>
      <c r="V359" s="23">
        <f t="shared" si="68"/>
        <v>3.7900865586056876E-2</v>
      </c>
      <c r="W359" s="22">
        <f t="shared" si="71"/>
        <v>3.1003667522451206E-3</v>
      </c>
      <c r="X359" s="23">
        <v>3.2660501179413659E-2</v>
      </c>
      <c r="Y359" s="23">
        <f t="shared" si="72"/>
        <v>3.7625749229867722E-2</v>
      </c>
      <c r="Z359" s="22">
        <f t="shared" si="73"/>
        <v>3.0778953280894417E-3</v>
      </c>
      <c r="AA359" s="33"/>
      <c r="AB359" s="50">
        <f t="shared" si="69"/>
        <v>346</v>
      </c>
      <c r="AC359" s="48">
        <f t="shared" si="64"/>
        <v>0.45489712970415375</v>
      </c>
      <c r="AE359" s="48">
        <f t="shared" si="70"/>
        <v>0.99811034948206545</v>
      </c>
      <c r="AF359" s="48">
        <f t="shared" si="74"/>
        <v>0.45489712970415425</v>
      </c>
      <c r="AH359" s="48">
        <f t="shared" si="75"/>
        <v>4.9960036108132044E-16</v>
      </c>
    </row>
    <row r="360" spans="4:34" ht="13.9" customHeight="1">
      <c r="D360" s="8"/>
      <c r="E360" s="9"/>
      <c r="F360" s="18"/>
      <c r="G360" s="18"/>
      <c r="H360" s="18"/>
      <c r="J360" s="40"/>
      <c r="K360" s="40"/>
      <c r="L360" s="40"/>
      <c r="M360" s="38"/>
      <c r="O360" s="12">
        <f t="shared" si="65"/>
        <v>28.916666666666668</v>
      </c>
      <c r="P360" s="13">
        <v>347</v>
      </c>
      <c r="Q360" s="21">
        <v>2.7681377256443485E-2</v>
      </c>
      <c r="R360" s="18">
        <f t="shared" si="66"/>
        <v>2.2938376502493085E-2</v>
      </c>
      <c r="S360" s="21">
        <v>2.9554008653957853E-2</v>
      </c>
      <c r="T360" s="18">
        <f t="shared" si="67"/>
        <v>3.6638119356910526E-2</v>
      </c>
      <c r="U360" s="23">
        <v>3.3454611015040436E-2</v>
      </c>
      <c r="V360" s="23">
        <f t="shared" si="68"/>
        <v>3.7955700377877877E-2</v>
      </c>
      <c r="W360" s="22">
        <f t="shared" si="71"/>
        <v>3.1048329540805941E-3</v>
      </c>
      <c r="X360" s="23">
        <v>3.2674776059633093E-2</v>
      </c>
      <c r="Y360" s="23">
        <f t="shared" si="72"/>
        <v>3.7684377442056549E-2</v>
      </c>
      <c r="Z360" s="22">
        <f t="shared" si="73"/>
        <v>3.0826725139458944E-3</v>
      </c>
      <c r="AA360" s="33"/>
      <c r="AB360" s="50">
        <f t="shared" si="69"/>
        <v>347</v>
      </c>
      <c r="AC360" s="48">
        <f t="shared" si="64"/>
        <v>0.45403788617129037</v>
      </c>
      <c r="AE360" s="48">
        <f t="shared" si="70"/>
        <v>0.99811112562213289</v>
      </c>
      <c r="AF360" s="48">
        <f t="shared" si="74"/>
        <v>0.45403788617129076</v>
      </c>
      <c r="AH360" s="48">
        <f t="shared" si="75"/>
        <v>0</v>
      </c>
    </row>
    <row r="361" spans="4:34" ht="13.9" customHeight="1">
      <c r="D361" s="8"/>
      <c r="E361" s="9"/>
      <c r="F361" s="18"/>
      <c r="G361" s="18"/>
      <c r="H361" s="18"/>
      <c r="J361" s="40"/>
      <c r="K361" s="40"/>
      <c r="L361" s="40"/>
      <c r="M361" s="38"/>
      <c r="O361" s="12">
        <f t="shared" si="65"/>
        <v>29</v>
      </c>
      <c r="P361" s="13">
        <v>348</v>
      </c>
      <c r="Q361" s="21">
        <v>2.7667716486317051E-2</v>
      </c>
      <c r="R361" s="18">
        <f t="shared" si="66"/>
        <v>2.2930161317911812E-2</v>
      </c>
      <c r="S361" s="21">
        <v>2.9574295778850512E-2</v>
      </c>
      <c r="T361" s="18">
        <f t="shared" si="67"/>
        <v>3.6710920905766997E-2</v>
      </c>
      <c r="U361" s="23">
        <v>3.346751717536911E-2</v>
      </c>
      <c r="V361" s="23">
        <f t="shared" si="68"/>
        <v>3.8009925114836696E-2</v>
      </c>
      <c r="W361" s="22">
        <f t="shared" si="71"/>
        <v>3.1092492166397978E-3</v>
      </c>
      <c r="X361" s="23">
        <v>3.2689136761542059E-2</v>
      </c>
      <c r="Y361" s="23">
        <f t="shared" si="72"/>
        <v>3.7742343142783907E-2</v>
      </c>
      <c r="Z361" s="22">
        <f t="shared" si="73"/>
        <v>3.0873954291281702E-3</v>
      </c>
      <c r="AA361" s="33"/>
      <c r="AB361" s="50">
        <f t="shared" si="69"/>
        <v>348</v>
      </c>
      <c r="AC361" s="48">
        <f t="shared" si="64"/>
        <v>0.45318059342223771</v>
      </c>
      <c r="AE361" s="48">
        <f t="shared" si="70"/>
        <v>0.99811184754584659</v>
      </c>
      <c r="AF361" s="48">
        <f t="shared" si="74"/>
        <v>0.45318059342223782</v>
      </c>
      <c r="AH361" s="48">
        <f t="shared" si="75"/>
        <v>0</v>
      </c>
    </row>
    <row r="362" spans="4:34" ht="13.9" customHeight="1">
      <c r="D362" s="8"/>
      <c r="E362" s="9"/>
      <c r="F362" s="18"/>
      <c r="G362" s="18"/>
      <c r="H362" s="18"/>
      <c r="J362" s="40"/>
      <c r="K362" s="40"/>
      <c r="L362" s="40"/>
      <c r="M362" s="38"/>
      <c r="O362" s="12">
        <f t="shared" si="65"/>
        <v>29.083333333333332</v>
      </c>
      <c r="P362" s="13">
        <v>349</v>
      </c>
      <c r="Q362" s="21">
        <v>2.7654110533616771E-2</v>
      </c>
      <c r="R362" s="18">
        <f t="shared" si="66"/>
        <v>2.2922600130802273E-2</v>
      </c>
      <c r="S362" s="21">
        <v>2.9594674217265027E-2</v>
      </c>
      <c r="T362" s="18">
        <f t="shared" si="67"/>
        <v>3.6782855800352676E-2</v>
      </c>
      <c r="U362" s="23">
        <v>3.3480504232481723E-2</v>
      </c>
      <c r="V362" s="23">
        <f t="shared" si="68"/>
        <v>3.8063547019599575E-2</v>
      </c>
      <c r="W362" s="22">
        <f t="shared" si="71"/>
        <v>3.1136161365381554E-3</v>
      </c>
      <c r="X362" s="23">
        <v>3.2703580654137365E-2</v>
      </c>
      <c r="Y362" s="23">
        <f t="shared" si="72"/>
        <v>3.7799654316004183E-2</v>
      </c>
      <c r="Z362" s="22">
        <f t="shared" si="73"/>
        <v>3.0920647338816831E-3</v>
      </c>
      <c r="AA362" s="33"/>
      <c r="AB362" s="50">
        <f t="shared" si="69"/>
        <v>349</v>
      </c>
      <c r="AC362" s="48">
        <f t="shared" si="64"/>
        <v>0.45232522209112641</v>
      </c>
      <c r="AE362" s="48">
        <f t="shared" si="70"/>
        <v>0.99811251553238078</v>
      </c>
      <c r="AF362" s="48">
        <f t="shared" si="74"/>
        <v>0.45232522209112691</v>
      </c>
      <c r="AH362" s="48">
        <f t="shared" si="75"/>
        <v>4.9960036108132044E-16</v>
      </c>
    </row>
    <row r="363" spans="4:34" ht="13.9" customHeight="1">
      <c r="D363" s="8"/>
      <c r="E363" s="9"/>
      <c r="F363" s="18"/>
      <c r="G363" s="18"/>
      <c r="H363" s="18"/>
      <c r="J363" s="40"/>
      <c r="K363" s="40"/>
      <c r="L363" s="40"/>
      <c r="M363" s="38"/>
      <c r="O363" s="12">
        <f t="shared" si="65"/>
        <v>29.166666666666668</v>
      </c>
      <c r="P363" s="13">
        <v>350</v>
      </c>
      <c r="Q363" s="21">
        <v>2.7640560804862657E-2</v>
      </c>
      <c r="R363" s="18">
        <f t="shared" si="66"/>
        <v>2.2915689588224541E-2</v>
      </c>
      <c r="S363" s="21">
        <v>2.9615140721789057E-2</v>
      </c>
      <c r="T363" s="18">
        <f t="shared" si="67"/>
        <v>3.6853935119804726E-2</v>
      </c>
      <c r="U363" s="23">
        <v>3.3493569774542875E-2</v>
      </c>
      <c r="V363" s="23">
        <f t="shared" si="68"/>
        <v>3.811657321958517E-2</v>
      </c>
      <c r="W363" s="22">
        <f t="shared" si="71"/>
        <v>3.1179343024814177E-3</v>
      </c>
      <c r="X363" s="23">
        <v>3.2718105159415645E-2</v>
      </c>
      <c r="Y363" s="23">
        <f t="shared" si="72"/>
        <v>3.7856318837705905E-2</v>
      </c>
      <c r="Z363" s="22">
        <f t="shared" si="73"/>
        <v>3.096681079511443E-3</v>
      </c>
      <c r="AA363" s="33"/>
      <c r="AB363" s="50">
        <f t="shared" si="69"/>
        <v>350</v>
      </c>
      <c r="AC363" s="48">
        <f t="shared" si="64"/>
        <v>0.45147174335615536</v>
      </c>
      <c r="AE363" s="48">
        <f t="shared" si="70"/>
        <v>0.99811313034673044</v>
      </c>
      <c r="AF363" s="48">
        <f t="shared" si="74"/>
        <v>0.45147174335615475</v>
      </c>
      <c r="AH363" s="48">
        <f t="shared" si="75"/>
        <v>-6.106226635438361E-16</v>
      </c>
    </row>
    <row r="364" spans="4:34" ht="13.9" customHeight="1">
      <c r="D364" s="8"/>
      <c r="E364" s="9"/>
      <c r="F364" s="18"/>
      <c r="G364" s="18"/>
      <c r="H364" s="18"/>
      <c r="J364" s="40"/>
      <c r="K364" s="40"/>
      <c r="L364" s="40"/>
      <c r="M364" s="38"/>
      <c r="O364" s="12">
        <f t="shared" si="65"/>
        <v>29.25</v>
      </c>
      <c r="P364" s="13">
        <v>351</v>
      </c>
      <c r="Q364" s="21">
        <v>2.7627068680901701E-2</v>
      </c>
      <c r="R364" s="18">
        <f t="shared" si="66"/>
        <v>2.2909428391363118E-2</v>
      </c>
      <c r="S364" s="21">
        <v>2.9635692113701984E-2</v>
      </c>
      <c r="T364" s="18">
        <f t="shared" si="67"/>
        <v>3.6924169785172545E-2</v>
      </c>
      <c r="U364" s="23">
        <v>3.3506711437615522E-2</v>
      </c>
      <c r="V364" s="23">
        <f t="shared" si="68"/>
        <v>3.816901074938972E-2</v>
      </c>
      <c r="W364" s="22">
        <f t="shared" si="71"/>
        <v>3.1222042953156226E-3</v>
      </c>
      <c r="X364" s="23">
        <v>3.2732707751302659E-2</v>
      </c>
      <c r="Y364" s="23">
        <f t="shared" si="72"/>
        <v>3.7912344479548166E-2</v>
      </c>
      <c r="Z364" s="22">
        <f t="shared" si="73"/>
        <v>3.1012451084024839E-3</v>
      </c>
      <c r="AA364" s="33"/>
      <c r="AB364" s="50">
        <f t="shared" si="69"/>
        <v>351</v>
      </c>
      <c r="AC364" s="48">
        <f t="shared" si="64"/>
        <v>0.45062012871238527</v>
      </c>
      <c r="AE364" s="48">
        <f t="shared" si="70"/>
        <v>0.99811369226025515</v>
      </c>
      <c r="AF364" s="48">
        <f t="shared" si="74"/>
        <v>0.45062012871238594</v>
      </c>
      <c r="AH364" s="48">
        <f t="shared" si="75"/>
        <v>6.6613381477509392E-16</v>
      </c>
    </row>
    <row r="365" spans="4:34" ht="13.9" customHeight="1">
      <c r="D365" s="8"/>
      <c r="E365" s="9"/>
      <c r="F365" s="18"/>
      <c r="G365" s="18"/>
      <c r="H365" s="18"/>
      <c r="J365" s="40"/>
      <c r="K365" s="40"/>
      <c r="L365" s="40"/>
      <c r="M365" s="38"/>
      <c r="O365" s="12">
        <f t="shared" si="65"/>
        <v>29.333333333333332</v>
      </c>
      <c r="P365" s="13">
        <v>352</v>
      </c>
      <c r="Q365" s="21">
        <v>2.7613635523131563E-2</v>
      </c>
      <c r="R365" s="18">
        <f t="shared" si="66"/>
        <v>2.2903815283878748E-2</v>
      </c>
      <c r="S365" s="21">
        <v>2.9656325281538942E-2</v>
      </c>
      <c r="T365" s="18">
        <f t="shared" si="67"/>
        <v>3.6993570560322153E-2</v>
      </c>
      <c r="U365" s="23">
        <v>3.3519926904710617E-2</v>
      </c>
      <c r="V365" s="23">
        <f t="shared" si="68"/>
        <v>3.8220866550959576E-2</v>
      </c>
      <c r="W365" s="22">
        <f t="shared" si="71"/>
        <v>3.1264266882278235E-3</v>
      </c>
      <c r="X365" s="23">
        <v>3.2747385954613017E-2</v>
      </c>
      <c r="Y365" s="23">
        <f t="shared" si="72"/>
        <v>3.7967738908926796E-2</v>
      </c>
      <c r="Z365" s="22">
        <f t="shared" si="73"/>
        <v>3.1057574543189581E-3</v>
      </c>
      <c r="AA365" s="33"/>
      <c r="AB365" s="50">
        <f t="shared" si="69"/>
        <v>352</v>
      </c>
      <c r="AC365" s="48">
        <f t="shared" si="64"/>
        <v>0.44977034989434594</v>
      </c>
      <c r="AE365" s="48">
        <f t="shared" si="70"/>
        <v>0.99811420137740436</v>
      </c>
      <c r="AF365" s="48">
        <f t="shared" si="74"/>
        <v>0.44977034989434628</v>
      </c>
      <c r="AH365" s="48">
        <f t="shared" si="75"/>
        <v>0</v>
      </c>
    </row>
    <row r="366" spans="4:34" ht="13.9" customHeight="1">
      <c r="D366" s="8"/>
      <c r="E366" s="9"/>
      <c r="F366" s="18"/>
      <c r="G366" s="18"/>
      <c r="H366" s="18"/>
      <c r="J366" s="40"/>
      <c r="K366" s="40"/>
      <c r="L366" s="40"/>
      <c r="M366" s="38"/>
      <c r="O366" s="12">
        <f t="shared" si="65"/>
        <v>29.416666666666668</v>
      </c>
      <c r="P366" s="13">
        <v>353</v>
      </c>
      <c r="Q366" s="21">
        <v>2.7600262673895593E-2</v>
      </c>
      <c r="R366" s="18">
        <f t="shared" si="66"/>
        <v>2.2898849053820225E-2</v>
      </c>
      <c r="S366" s="21">
        <v>2.9677037179682841E-2</v>
      </c>
      <c r="T366" s="18">
        <f t="shared" si="67"/>
        <v>3.7062148056045574E-2</v>
      </c>
      <c r="U366" s="23">
        <v>3.3533213904853643E-2</v>
      </c>
      <c r="V366" s="23">
        <f t="shared" si="68"/>
        <v>3.82721474763279E-2</v>
      </c>
      <c r="W366" s="22">
        <f t="shared" si="71"/>
        <v>3.1306020467647411E-3</v>
      </c>
      <c r="X366" s="23">
        <v>3.2762137344026776E-2</v>
      </c>
      <c r="Y366" s="23">
        <f t="shared" si="72"/>
        <v>3.8022509691353346E-2</v>
      </c>
      <c r="Z366" s="22">
        <f t="shared" si="73"/>
        <v>3.1102187424141281E-3</v>
      </c>
      <c r="AA366" s="33"/>
      <c r="AB366" s="50">
        <f t="shared" si="69"/>
        <v>353</v>
      </c>
      <c r="AC366" s="48">
        <f t="shared" si="64"/>
        <v>0.44892237887305958</v>
      </c>
      <c r="AE366" s="48">
        <f t="shared" si="70"/>
        <v>0.99811465779928554</v>
      </c>
      <c r="AF366" s="48">
        <f t="shared" si="74"/>
        <v>0.44892237887306036</v>
      </c>
      <c r="AH366" s="48">
        <f t="shared" si="75"/>
        <v>7.7715611723760958E-16</v>
      </c>
    </row>
    <row r="367" spans="4:34" ht="13.9" customHeight="1">
      <c r="D367" s="8"/>
      <c r="E367" s="9"/>
      <c r="F367" s="18"/>
      <c r="G367" s="18"/>
      <c r="H367" s="18"/>
      <c r="J367" s="40"/>
      <c r="K367" s="40"/>
      <c r="L367" s="40"/>
      <c r="M367" s="38"/>
      <c r="O367" s="12">
        <f t="shared" si="65"/>
        <v>29.5</v>
      </c>
      <c r="P367" s="13">
        <v>354</v>
      </c>
      <c r="Q367" s="21">
        <v>2.7586951456874731E-2</v>
      </c>
      <c r="R367" s="18">
        <f t="shared" si="66"/>
        <v>2.2894526556033634E-2</v>
      </c>
      <c r="S367" s="21">
        <v>2.9697824826992125E-2</v>
      </c>
      <c r="T367" s="18">
        <f t="shared" si="67"/>
        <v>3.7129912731658887E-2</v>
      </c>
      <c r="U367" s="23">
        <v>3.3546570212175109E-2</v>
      </c>
      <c r="V367" s="23">
        <f t="shared" si="68"/>
        <v>3.8322860288021676E-2</v>
      </c>
      <c r="W367" s="22">
        <f t="shared" si="71"/>
        <v>3.13473092905725E-3</v>
      </c>
      <c r="X367" s="23">
        <v>3.2776959543091122E-2</v>
      </c>
      <c r="Y367" s="23">
        <f t="shared" si="72"/>
        <v>3.8076664291789797E-2</v>
      </c>
      <c r="Z367" s="22">
        <f t="shared" si="73"/>
        <v>3.1146295894290965E-3</v>
      </c>
      <c r="AA367" s="33"/>
      <c r="AB367" s="50">
        <f t="shared" si="69"/>
        <v>354</v>
      </c>
      <c r="AC367" s="48">
        <f t="shared" si="64"/>
        <v>0.44807618785305536</v>
      </c>
      <c r="AE367" s="48">
        <f t="shared" si="70"/>
        <v>0.99811506162350772</v>
      </c>
      <c r="AF367" s="48">
        <f t="shared" si="74"/>
        <v>0.44807618785305631</v>
      </c>
      <c r="AH367" s="48">
        <f t="shared" si="75"/>
        <v>9.4368957093138306E-16</v>
      </c>
    </row>
    <row r="368" spans="4:34" ht="13.9" customHeight="1">
      <c r="D368" s="8"/>
      <c r="E368" s="9"/>
      <c r="F368" s="18"/>
      <c r="G368" s="18"/>
      <c r="H368" s="18"/>
      <c r="J368" s="40"/>
      <c r="K368" s="40"/>
      <c r="L368" s="40"/>
      <c r="M368" s="38"/>
      <c r="O368" s="12">
        <f t="shared" si="65"/>
        <v>29.583333333333332</v>
      </c>
      <c r="P368" s="13">
        <v>355</v>
      </c>
      <c r="Q368" s="21">
        <v>2.7573703171877684E-2</v>
      </c>
      <c r="R368" s="18">
        <f t="shared" si="66"/>
        <v>2.2890838759223042E-2</v>
      </c>
      <c r="S368" s="21">
        <v>2.9718685305456516E-2</v>
      </c>
      <c r="T368" s="18">
        <f t="shared" si="67"/>
        <v>3.7196874898209442E-2</v>
      </c>
      <c r="U368" s="23">
        <v>3.3559993645017938E-2</v>
      </c>
      <c r="V368" s="23">
        <f t="shared" si="68"/>
        <v>3.8373011660587819E-2</v>
      </c>
      <c r="W368" s="22">
        <f t="shared" si="71"/>
        <v>3.1388138858576831E-3</v>
      </c>
      <c r="X368" s="23">
        <v>3.2791850223242935E-2</v>
      </c>
      <c r="Y368" s="23">
        <f t="shared" si="72"/>
        <v>3.8130210076342985E-2</v>
      </c>
      <c r="Z368" s="22">
        <f t="shared" si="73"/>
        <v>3.1189906038042725E-3</v>
      </c>
      <c r="AA368" s="33"/>
      <c r="AB368" s="50">
        <f t="shared" si="69"/>
        <v>355</v>
      </c>
      <c r="AC368" s="48">
        <f t="shared" si="64"/>
        <v>0.44723174934146165</v>
      </c>
      <c r="AE368" s="48">
        <f t="shared" si="70"/>
        <v>0.99811541310498808</v>
      </c>
      <c r="AF368" s="48">
        <f t="shared" si="74"/>
        <v>0.44723174934146154</v>
      </c>
      <c r="AH368" s="48">
        <f t="shared" si="75"/>
        <v>0</v>
      </c>
    </row>
    <row r="369" spans="4:34" ht="13.9" customHeight="1">
      <c r="D369" s="8"/>
      <c r="E369" s="9"/>
      <c r="F369" s="18"/>
      <c r="G369" s="18"/>
      <c r="H369" s="18"/>
      <c r="J369" s="40"/>
      <c r="K369" s="40"/>
      <c r="L369" s="40"/>
      <c r="M369" s="38"/>
      <c r="O369" s="12">
        <f t="shared" si="65"/>
        <v>29.666666666666668</v>
      </c>
      <c r="P369" s="13">
        <v>356</v>
      </c>
      <c r="Q369" s="21">
        <v>2.7560519078564827E-2</v>
      </c>
      <c r="R369" s="18">
        <f t="shared" si="66"/>
        <v>2.2887782619300356E-2</v>
      </c>
      <c r="S369" s="21">
        <v>2.973961575888473E-2</v>
      </c>
      <c r="T369" s="18">
        <f t="shared" si="67"/>
        <v>3.7263044720097671E-2</v>
      </c>
      <c r="U369" s="23">
        <v>3.3573482065063498E-2</v>
      </c>
      <c r="V369" s="23">
        <f t="shared" si="68"/>
        <v>3.842260818226606E-2</v>
      </c>
      <c r="W369" s="22">
        <f t="shared" si="71"/>
        <v>3.1428514606677282E-3</v>
      </c>
      <c r="X369" s="23">
        <v>3.2806807102851776E-2</v>
      </c>
      <c r="Y369" s="23">
        <f t="shared" si="72"/>
        <v>3.8183154313463863E-2</v>
      </c>
      <c r="Z369" s="22">
        <f t="shared" si="73"/>
        <v>3.1233023858225906E-3</v>
      </c>
      <c r="AA369" s="33"/>
      <c r="AB369" s="50">
        <f t="shared" si="69"/>
        <v>356</v>
      </c>
      <c r="AC369" s="48">
        <f t="shared" si="64"/>
        <v>0.44638903636007676</v>
      </c>
      <c r="AE369" s="48">
        <f t="shared" si="70"/>
        <v>0.99811571297738688</v>
      </c>
      <c r="AF369" s="48">
        <f t="shared" si="74"/>
        <v>0.44638903636007687</v>
      </c>
      <c r="AH369" s="48">
        <f t="shared" si="75"/>
        <v>0</v>
      </c>
    </row>
    <row r="370" spans="4:34" ht="13.9" customHeight="1">
      <c r="D370" s="8"/>
      <c r="E370" s="9"/>
      <c r="F370" s="18"/>
      <c r="G370" s="18"/>
      <c r="H370" s="18"/>
      <c r="J370" s="40"/>
      <c r="K370" s="40"/>
      <c r="L370" s="40"/>
      <c r="M370" s="38"/>
      <c r="O370" s="12">
        <f t="shared" si="65"/>
        <v>29.75</v>
      </c>
      <c r="P370" s="13">
        <v>357</v>
      </c>
      <c r="Q370" s="21">
        <v>2.754740041385606E-2</v>
      </c>
      <c r="R370" s="18">
        <f t="shared" si="66"/>
        <v>2.2885357114715843E-2</v>
      </c>
      <c r="S370" s="21">
        <v>2.9760613391619284E-2</v>
      </c>
      <c r="T370" s="18">
        <f t="shared" si="67"/>
        <v>3.732843221849258E-2</v>
      </c>
      <c r="U370" s="23">
        <v>3.3587033376478725E-2</v>
      </c>
      <c r="V370" s="23">
        <f t="shared" si="68"/>
        <v>3.8471656355889117E-2</v>
      </c>
      <c r="W370" s="22">
        <f t="shared" si="71"/>
        <v>3.146844189877207E-3</v>
      </c>
      <c r="X370" s="23">
        <v>3.2821827946284632E-2</v>
      </c>
      <c r="Y370" s="23">
        <f t="shared" si="72"/>
        <v>3.8235504175869739E-2</v>
      </c>
      <c r="Z370" s="22">
        <f t="shared" si="73"/>
        <v>3.1275655277098746E-3</v>
      </c>
      <c r="AA370" s="33"/>
      <c r="AB370" s="50">
        <f t="shared" si="69"/>
        <v>357</v>
      </c>
      <c r="AC370" s="48">
        <f t="shared" si="64"/>
        <v>0.4455480222240748</v>
      </c>
      <c r="AE370" s="48">
        <f t="shared" si="70"/>
        <v>0.99811596148763027</v>
      </c>
      <c r="AF370" s="48">
        <f t="shared" si="74"/>
        <v>0.44554802222407486</v>
      </c>
      <c r="AH370" s="48">
        <f t="shared" si="75"/>
        <v>0</v>
      </c>
    </row>
    <row r="371" spans="4:34" ht="13.9" customHeight="1">
      <c r="D371" s="8"/>
      <c r="E371" s="9"/>
      <c r="F371" s="18"/>
      <c r="G371" s="18"/>
      <c r="H371" s="18"/>
      <c r="J371" s="40"/>
      <c r="K371" s="40"/>
      <c r="L371" s="40"/>
      <c r="M371" s="38"/>
      <c r="O371" s="12">
        <f t="shared" si="65"/>
        <v>29.833333333333332</v>
      </c>
      <c r="P371" s="13">
        <v>358</v>
      </c>
      <c r="Q371" s="21">
        <v>2.7534348397922237E-2</v>
      </c>
      <c r="R371" s="18">
        <f t="shared" si="66"/>
        <v>2.2883561268390418E-2</v>
      </c>
      <c r="S371" s="21">
        <v>2.9781675467283053E-2</v>
      </c>
      <c r="T371" s="18">
        <f t="shared" si="67"/>
        <v>3.7393047272967328E-2</v>
      </c>
      <c r="U371" s="23">
        <v>3.3600645525078576E-2</v>
      </c>
      <c r="V371" s="23">
        <f t="shared" si="68"/>
        <v>3.8520162600588437E-2</v>
      </c>
      <c r="W371" s="22">
        <f t="shared" si="71"/>
        <v>3.1507926028404576E-3</v>
      </c>
      <c r="X371" s="23">
        <v>3.2836910562989097E-2</v>
      </c>
      <c r="Y371" s="23">
        <f t="shared" si="72"/>
        <v>3.8287266741634518E-2</v>
      </c>
      <c r="Z371" s="22">
        <f t="shared" si="73"/>
        <v>3.1317806137953763E-3</v>
      </c>
      <c r="AA371" s="33"/>
      <c r="AB371" s="50">
        <f t="shared" si="69"/>
        <v>358</v>
      </c>
      <c r="AC371" s="48">
        <f t="shared" si="64"/>
        <v>0.44470868046682255</v>
      </c>
      <c r="AE371" s="48">
        <f t="shared" si="70"/>
        <v>0.99811615871828696</v>
      </c>
      <c r="AF371" s="48">
        <f t="shared" si="74"/>
        <v>0.44470868046682355</v>
      </c>
      <c r="AH371" s="48">
        <f t="shared" si="75"/>
        <v>9.9920072216264089E-16</v>
      </c>
    </row>
    <row r="372" spans="4:34" ht="13.9" customHeight="1">
      <c r="D372" s="8"/>
      <c r="E372" s="9"/>
      <c r="F372" s="18"/>
      <c r="G372" s="18"/>
      <c r="H372" s="18"/>
      <c r="J372" s="40"/>
      <c r="K372" s="40"/>
      <c r="L372" s="40"/>
      <c r="M372" s="38"/>
      <c r="O372" s="12">
        <f t="shared" si="65"/>
        <v>29.916666666666668</v>
      </c>
      <c r="P372" s="13">
        <v>359</v>
      </c>
      <c r="Q372" s="21">
        <v>2.7521364234540213E-2</v>
      </c>
      <c r="R372" s="18">
        <f t="shared" si="66"/>
        <v>2.2882394147860641E-2</v>
      </c>
      <c r="S372" s="21">
        <v>2.9802799307551142E-2</v>
      </c>
      <c r="T372" s="18">
        <f t="shared" si="67"/>
        <v>3.7456899623759421E-2</v>
      </c>
      <c r="U372" s="23">
        <v>3.3614316497508456E-2</v>
      </c>
      <c r="V372" s="23">
        <f t="shared" si="68"/>
        <v>3.856813325224917E-2</v>
      </c>
      <c r="W372" s="22">
        <f t="shared" si="71"/>
        <v>3.1546972220177771E-3</v>
      </c>
      <c r="X372" s="23">
        <v>3.2852052806598087E-2</v>
      </c>
      <c r="Y372" s="23">
        <f t="shared" si="72"/>
        <v>3.8338448995792307E-2</v>
      </c>
      <c r="Z372" s="22">
        <f t="shared" si="73"/>
        <v>3.1359482206048117E-3</v>
      </c>
      <c r="AA372" s="33"/>
      <c r="AB372" s="50">
        <f t="shared" si="69"/>
        <v>359</v>
      </c>
      <c r="AC372" s="48">
        <f t="shared" si="64"/>
        <v>0.44387098483708914</v>
      </c>
      <c r="AE372" s="48">
        <f t="shared" si="70"/>
        <v>0.99811630474841373</v>
      </c>
      <c r="AF372" s="48">
        <f t="shared" si="74"/>
        <v>0.44387098483708898</v>
      </c>
      <c r="AH372" s="48">
        <f t="shared" si="75"/>
        <v>0</v>
      </c>
    </row>
    <row r="373" spans="4:34" ht="13.9" customHeight="1">
      <c r="D373" s="8"/>
      <c r="E373" s="9"/>
      <c r="F373" s="18"/>
      <c r="G373" s="18"/>
      <c r="H373" s="18"/>
      <c r="J373" s="40"/>
      <c r="K373" s="40"/>
      <c r="L373" s="40"/>
      <c r="M373" s="38"/>
      <c r="O373" s="12">
        <f t="shared" si="65"/>
        <v>30</v>
      </c>
      <c r="P373" s="13">
        <v>360</v>
      </c>
      <c r="Q373" s="21">
        <v>2.7508449111443678E-2</v>
      </c>
      <c r="R373" s="18">
        <f t="shared" si="66"/>
        <v>2.2881768517567957E-2</v>
      </c>
      <c r="S373" s="21">
        <v>2.9823982290949846E-2</v>
      </c>
      <c r="T373" s="18">
        <f t="shared" si="67"/>
        <v>3.7519998874962823E-2</v>
      </c>
      <c r="U373" s="23">
        <v>3.3628044320441752E-2</v>
      </c>
      <c r="V373" s="23">
        <f t="shared" si="68"/>
        <v>3.8615574565703747E-2</v>
      </c>
      <c r="W373" s="22">
        <f t="shared" si="71"/>
        <v>3.1585585630162782E-3</v>
      </c>
      <c r="X373" s="23">
        <v>3.2867252574051653E-2</v>
      </c>
      <c r="Y373" s="23">
        <f t="shared" si="72"/>
        <v>3.8389057832044271E-2</v>
      </c>
      <c r="Z373" s="22">
        <f t="shared" si="73"/>
        <v>3.1400689169931439E-3</v>
      </c>
      <c r="AA373" s="33"/>
      <c r="AB373" s="50">
        <f t="shared" si="69"/>
        <v>360</v>
      </c>
      <c r="AC373" s="48">
        <f t="shared" si="64"/>
        <v>0.4430349092962671</v>
      </c>
      <c r="AE373" s="48">
        <f t="shared" si="70"/>
        <v>0.99811639965354226</v>
      </c>
      <c r="AF373" s="48">
        <f t="shared" si="74"/>
        <v>0.44303490929626732</v>
      </c>
      <c r="AH373" s="48">
        <f t="shared" si="75"/>
        <v>0</v>
      </c>
    </row>
    <row r="374" spans="4:34" ht="13.9" customHeight="1">
      <c r="D374" s="8"/>
      <c r="E374" s="9"/>
      <c r="F374" s="18"/>
      <c r="G374" s="18"/>
      <c r="H374" s="18"/>
      <c r="J374" s="40"/>
      <c r="K374" s="40"/>
      <c r="L374" s="40"/>
      <c r="M374" s="38"/>
      <c r="O374" s="12">
        <f t="shared" si="65"/>
        <v>30.083333333333332</v>
      </c>
      <c r="P374" s="13">
        <v>361</v>
      </c>
      <c r="Q374" s="21">
        <v>2.7495603960397519E-2</v>
      </c>
      <c r="R374" s="18">
        <f t="shared" si="66"/>
        <v>2.2881338339456603E-2</v>
      </c>
      <c r="S374" s="21">
        <v>2.9845221851685588E-2</v>
      </c>
      <c r="T374" s="18">
        <f t="shared" si="67"/>
        <v>3.7582354495782733E-2</v>
      </c>
      <c r="U374" s="23">
        <v>3.3641827059796015E-2</v>
      </c>
      <c r="V374" s="23">
        <f t="shared" si="68"/>
        <v>3.8662492715316077E-2</v>
      </c>
      <c r="W374" s="22">
        <f t="shared" si="71"/>
        <v>3.162377134770411E-3</v>
      </c>
      <c r="X374" s="23">
        <v>3.2882507804739669E-2</v>
      </c>
      <c r="Y374" s="23">
        <f t="shared" si="72"/>
        <v>3.8439100053212938E-2</v>
      </c>
      <c r="Z374" s="22">
        <f t="shared" si="73"/>
        <v>3.144143264287802E-3</v>
      </c>
      <c r="AA374" s="33"/>
      <c r="AB374" s="50">
        <f t="shared" si="69"/>
        <v>361</v>
      </c>
      <c r="AC374" s="48">
        <f t="shared" si="64"/>
        <v>0.44220043112638752</v>
      </c>
      <c r="AE374" s="48">
        <f t="shared" si="70"/>
        <v>0.99811645052710518</v>
      </c>
      <c r="AF374" s="48">
        <f t="shared" si="74"/>
        <v>0.44220043112638835</v>
      </c>
      <c r="AH374" s="48">
        <f t="shared" si="75"/>
        <v>8.3266726846886741E-16</v>
      </c>
    </row>
    <row r="375" spans="4:34" ht="13.9" customHeight="1">
      <c r="D375" s="8"/>
      <c r="E375" s="9"/>
      <c r="F375" s="18"/>
      <c r="G375" s="18"/>
      <c r="H375" s="18"/>
      <c r="J375" s="40"/>
      <c r="K375" s="40"/>
      <c r="L375" s="40"/>
      <c r="M375" s="38"/>
      <c r="O375" s="12">
        <f t="shared" si="65"/>
        <v>30.166666666666668</v>
      </c>
      <c r="P375" s="13">
        <v>362</v>
      </c>
      <c r="Q375" s="21">
        <v>2.748282874260588E-2</v>
      </c>
      <c r="R375" s="18">
        <f t="shared" si="66"/>
        <v>2.2881016985428326E-2</v>
      </c>
      <c r="S375" s="21">
        <v>2.9866515478495836E-2</v>
      </c>
      <c r="T375" s="18">
        <f t="shared" si="67"/>
        <v>3.7643975822938325E-2</v>
      </c>
      <c r="U375" s="23">
        <v>3.3655662819964904E-2</v>
      </c>
      <c r="V375" s="23">
        <f t="shared" si="68"/>
        <v>3.8708893796379984E-2</v>
      </c>
      <c r="W375" s="22">
        <f t="shared" si="71"/>
        <v>3.1661534395923674E-3</v>
      </c>
      <c r="X375" s="23">
        <v>3.2897816479660058E-2</v>
      </c>
      <c r="Y375" s="23">
        <f t="shared" si="72"/>
        <v>3.8488582373868541E-2</v>
      </c>
      <c r="Z375" s="22">
        <f t="shared" si="73"/>
        <v>3.1481718163290928E-3</v>
      </c>
      <c r="AA375" s="33"/>
      <c r="AB375" s="50">
        <f t="shared" si="69"/>
        <v>362</v>
      </c>
      <c r="AC375" s="48">
        <f t="shared" si="64"/>
        <v>0.44136754020570951</v>
      </c>
      <c r="AE375" s="48">
        <f t="shared" si="70"/>
        <v>0.99811648550735732</v>
      </c>
      <c r="AF375" s="48">
        <f t="shared" si="74"/>
        <v>0.44136754020570895</v>
      </c>
      <c r="AH375" s="48">
        <f t="shared" si="75"/>
        <v>-5.5511151231257827E-16</v>
      </c>
    </row>
    <row r="376" spans="4:34" ht="13.9" customHeight="1">
      <c r="D376" s="8"/>
      <c r="E376" s="9"/>
      <c r="F376" s="18"/>
      <c r="G376" s="18"/>
      <c r="H376" s="18"/>
      <c r="J376" s="40"/>
      <c r="K376" s="40"/>
      <c r="L376" s="40"/>
      <c r="M376" s="38"/>
      <c r="O376" s="12">
        <f t="shared" si="65"/>
        <v>30.25</v>
      </c>
      <c r="P376" s="13">
        <v>363</v>
      </c>
      <c r="Q376" s="21">
        <v>2.7470123179973438E-2</v>
      </c>
      <c r="R376" s="18">
        <f t="shared" si="66"/>
        <v>2.2880804234491903E-2</v>
      </c>
      <c r="S376" s="21">
        <v>2.9887860713526671E-2</v>
      </c>
      <c r="T376" s="18">
        <f t="shared" si="67"/>
        <v>3.7704872063182737E-2</v>
      </c>
      <c r="U376" s="23">
        <v>3.3669549743066574E-2</v>
      </c>
      <c r="V376" s="23">
        <f t="shared" si="68"/>
        <v>3.875478382606401E-2</v>
      </c>
      <c r="W376" s="22">
        <f t="shared" si="71"/>
        <v>3.1698879732888763E-3</v>
      </c>
      <c r="X376" s="23">
        <v>3.2913176620597895E-2</v>
      </c>
      <c r="Y376" s="23">
        <f t="shared" si="72"/>
        <v>3.8537511420582371E-2</v>
      </c>
      <c r="Z376" s="22">
        <f t="shared" si="73"/>
        <v>3.1521551196864728E-3</v>
      </c>
      <c r="AA376" s="33"/>
      <c r="AB376" s="50">
        <f t="shared" si="69"/>
        <v>363</v>
      </c>
      <c r="AC376" s="48">
        <f t="shared" si="64"/>
        <v>0.44053622958059102</v>
      </c>
      <c r="AE376" s="48">
        <f t="shared" si="70"/>
        <v>0.9981165116385089</v>
      </c>
      <c r="AF376" s="48">
        <f t="shared" si="74"/>
        <v>0.44053622958059152</v>
      </c>
      <c r="AH376" s="48">
        <f t="shared" si="75"/>
        <v>4.9960036108132044E-16</v>
      </c>
    </row>
    <row r="377" spans="4:34" ht="13.9" customHeight="1">
      <c r="D377" s="8"/>
      <c r="E377" s="9"/>
      <c r="F377" s="18"/>
      <c r="G377" s="18"/>
      <c r="H377" s="18"/>
      <c r="J377" s="40"/>
      <c r="K377" s="40"/>
      <c r="L377" s="40"/>
      <c r="M377" s="38"/>
      <c r="O377" s="12">
        <f t="shared" si="65"/>
        <v>30.333333333333332</v>
      </c>
      <c r="P377" s="13">
        <v>364</v>
      </c>
      <c r="Q377" s="21">
        <v>2.74574869968498E-2</v>
      </c>
      <c r="R377" s="18">
        <f t="shared" si="66"/>
        <v>2.288069987238095E-2</v>
      </c>
      <c r="S377" s="21">
        <v>2.9909255151236103E-2</v>
      </c>
      <c r="T377" s="18">
        <f t="shared" si="67"/>
        <v>3.7765052295272383E-2</v>
      </c>
      <c r="U377" s="23">
        <v>3.3683486008206476E-2</v>
      </c>
      <c r="V377" s="23">
        <f t="shared" si="68"/>
        <v>3.8800168745150909E-2</v>
      </c>
      <c r="W377" s="22">
        <f t="shared" si="71"/>
        <v>3.1735812252400297E-3</v>
      </c>
      <c r="X377" s="23">
        <v>3.2928586289319162E-2</v>
      </c>
      <c r="Y377" s="23">
        <f t="shared" si="72"/>
        <v>3.8585893733987353E-2</v>
      </c>
      <c r="Z377" s="22">
        <f t="shared" si="73"/>
        <v>3.1560937136831946E-3</v>
      </c>
      <c r="AA377" s="33"/>
      <c r="AB377" s="50">
        <f t="shared" si="69"/>
        <v>364</v>
      </c>
      <c r="AC377" s="48">
        <f t="shared" si="64"/>
        <v>0.43970649234064302</v>
      </c>
      <c r="AE377" s="48">
        <f t="shared" si="70"/>
        <v>0.9981165289385211</v>
      </c>
      <c r="AF377" s="48">
        <f t="shared" si="74"/>
        <v>0.43970649234064346</v>
      </c>
      <c r="AH377" s="48">
        <f t="shared" si="75"/>
        <v>4.4408920985006262E-16</v>
      </c>
    </row>
    <row r="378" spans="4:34" ht="13.9" customHeight="1">
      <c r="D378" s="8"/>
      <c r="E378" s="9"/>
      <c r="F378" s="18"/>
      <c r="G378" s="18"/>
      <c r="H378" s="18"/>
      <c r="J378" s="40"/>
      <c r="K378" s="40"/>
      <c r="L378" s="40"/>
      <c r="M378" s="38"/>
      <c r="O378" s="12">
        <f t="shared" si="65"/>
        <v>30.416666666666668</v>
      </c>
      <c r="P378" s="13">
        <v>365</v>
      </c>
      <c r="Q378" s="21">
        <v>2.744491992001552E-2</v>
      </c>
      <c r="R378" s="18">
        <f t="shared" si="66"/>
        <v>2.2880703692897519E-2</v>
      </c>
      <c r="S378" s="21">
        <v>2.9930696437320492E-2</v>
      </c>
      <c r="T378" s="18">
        <f t="shared" si="67"/>
        <v>3.7824525471550574E-2</v>
      </c>
      <c r="U378" s="23">
        <v>3.3697469830758608E-2</v>
      </c>
      <c r="V378" s="23">
        <f t="shared" si="68"/>
        <v>3.8845054418169989E-2</v>
      </c>
      <c r="W378" s="22">
        <f t="shared" si="71"/>
        <v>3.1772336785440558E-3</v>
      </c>
      <c r="X378" s="23">
        <v>3.29440435867836E-2</v>
      </c>
      <c r="Y378" s="23">
        <f t="shared" si="72"/>
        <v>3.8633735769577404E-2</v>
      </c>
      <c r="Z378" s="22">
        <f t="shared" si="73"/>
        <v>3.1599881305659494E-3</v>
      </c>
      <c r="AA378" s="33"/>
      <c r="AB378" s="50">
        <f t="shared" si="69"/>
        <v>365</v>
      </c>
      <c r="AC378" s="48">
        <f t="shared" si="64"/>
        <v>0.43887832161825185</v>
      </c>
      <c r="AE378" s="48">
        <f t="shared" si="70"/>
        <v>0.99811653742481055</v>
      </c>
      <c r="AF378" s="48">
        <f t="shared" si="74"/>
        <v>0.43887832161825202</v>
      </c>
      <c r="AH378" s="48">
        <f t="shared" si="75"/>
        <v>0</v>
      </c>
    </row>
    <row r="379" spans="4:34" ht="13.9" customHeight="1">
      <c r="D379" s="8"/>
      <c r="E379" s="9"/>
      <c r="F379" s="18"/>
      <c r="G379" s="18"/>
      <c r="H379" s="18"/>
      <c r="J379" s="40"/>
      <c r="K379" s="40"/>
      <c r="L379" s="40"/>
      <c r="M379" s="38"/>
      <c r="O379" s="12">
        <f t="shared" si="65"/>
        <v>30.5</v>
      </c>
      <c r="P379" s="13">
        <v>366</v>
      </c>
      <c r="Q379" s="21">
        <v>2.7432421678670549E-2</v>
      </c>
      <c r="R379" s="18">
        <f t="shared" si="66"/>
        <v>2.2880814723816423E-2</v>
      </c>
      <c r="S379" s="21">
        <v>2.9952182267664051E-2</v>
      </c>
      <c r="T379" s="18">
        <f t="shared" si="67"/>
        <v>3.7883300420770594E-2</v>
      </c>
      <c r="U379" s="23">
        <v>3.3711499461657413E-2</v>
      </c>
      <c r="V379" s="23">
        <f t="shared" si="68"/>
        <v>3.888944663558247E-2</v>
      </c>
      <c r="W379" s="22">
        <f t="shared" si="71"/>
        <v>3.1808458100301973E-3</v>
      </c>
      <c r="X379" s="23">
        <v>3.2959546652372662E-2</v>
      </c>
      <c r="Y379" s="23">
        <f t="shared" si="72"/>
        <v>3.8681043899083889E-2</v>
      </c>
      <c r="Z379" s="22">
        <f t="shared" si="73"/>
        <v>3.1638388955737007E-3</v>
      </c>
      <c r="AA379" s="33"/>
      <c r="AB379" s="50">
        <f t="shared" si="69"/>
        <v>366</v>
      </c>
      <c r="AC379" s="48">
        <f t="shared" si="64"/>
        <v>0.43805171058807663</v>
      </c>
      <c r="AE379" s="48">
        <f t="shared" si="70"/>
        <v>0.99811653711414228</v>
      </c>
      <c r="AF379" s="48">
        <f t="shared" si="74"/>
        <v>0.43805171058807651</v>
      </c>
      <c r="AH379" s="48">
        <f t="shared" si="75"/>
        <v>0</v>
      </c>
    </row>
    <row r="380" spans="4:34" ht="13.9" customHeight="1">
      <c r="D380" s="8"/>
      <c r="E380" s="9"/>
      <c r="F380" s="18"/>
      <c r="G380" s="18"/>
      <c r="H380" s="18"/>
      <c r="J380" s="40"/>
      <c r="K380" s="40"/>
      <c r="L380" s="40"/>
      <c r="M380" s="38"/>
      <c r="O380" s="12">
        <f t="shared" si="65"/>
        <v>30.583333333333332</v>
      </c>
      <c r="P380" s="13">
        <v>367</v>
      </c>
      <c r="Q380" s="21">
        <v>2.7419992002304827E-2</v>
      </c>
      <c r="R380" s="18">
        <f t="shared" si="66"/>
        <v>2.2881029680555942E-2</v>
      </c>
      <c r="S380" s="21">
        <v>2.9973710387312336E-2</v>
      </c>
      <c r="T380" s="18">
        <f t="shared" si="67"/>
        <v>3.7941385849517006E-2</v>
      </c>
      <c r="U380" s="23">
        <v>3.3725573186708546E-2</v>
      </c>
      <c r="V380" s="23">
        <f t="shared" si="68"/>
        <v>3.8933351113872083E-2</v>
      </c>
      <c r="W380" s="22">
        <f t="shared" si="71"/>
        <v>3.1844180904383457E-3</v>
      </c>
      <c r="X380" s="23">
        <v>3.2975093663134336E-2</v>
      </c>
      <c r="Y380" s="23">
        <f t="shared" si="72"/>
        <v>3.8727824411841416E-2</v>
      </c>
      <c r="Z380" s="22">
        <f t="shared" si="73"/>
        <v>3.1676465270527032E-3</v>
      </c>
      <c r="AA380" s="33"/>
      <c r="AB380" s="50">
        <f t="shared" si="69"/>
        <v>367</v>
      </c>
      <c r="AC380" s="48">
        <f t="shared" si="64"/>
        <v>0.43722665249411641</v>
      </c>
      <c r="AE380" s="48">
        <f t="shared" si="70"/>
        <v>0.99811652808557316</v>
      </c>
      <c r="AF380" s="48">
        <f t="shared" si="74"/>
        <v>0.43722665249411724</v>
      </c>
      <c r="AH380" s="48">
        <f t="shared" si="75"/>
        <v>8.3266726846886741E-16</v>
      </c>
    </row>
    <row r="381" spans="4:34" ht="13.9" customHeight="1">
      <c r="D381" s="8"/>
      <c r="E381" s="9"/>
      <c r="F381" s="18"/>
      <c r="G381" s="18"/>
      <c r="H381" s="18"/>
      <c r="J381" s="40"/>
      <c r="K381" s="40"/>
      <c r="L381" s="40"/>
      <c r="M381" s="38"/>
      <c r="O381" s="12">
        <f t="shared" si="65"/>
        <v>30.666666666666668</v>
      </c>
      <c r="P381" s="13">
        <v>368</v>
      </c>
      <c r="Q381" s="21">
        <v>2.7407630614382672E-2</v>
      </c>
      <c r="R381" s="18">
        <f t="shared" si="66"/>
        <v>2.2881347610771874E-2</v>
      </c>
      <c r="S381" s="21">
        <v>2.9995278589467711E-2</v>
      </c>
      <c r="T381" s="18">
        <f t="shared" si="67"/>
        <v>3.7998790344096811E-2</v>
      </c>
      <c r="U381" s="23">
        <v>3.373968932591076E-2</v>
      </c>
      <c r="V381" s="23">
        <f t="shared" si="68"/>
        <v>3.8976773497669814E-2</v>
      </c>
      <c r="W381" s="22">
        <f t="shared" si="71"/>
        <v>3.1879509844296994E-3</v>
      </c>
      <c r="X381" s="23">
        <v>3.2990682833043516E-2</v>
      </c>
      <c r="Y381" s="23">
        <f t="shared" si="72"/>
        <v>3.8774083516432301E-2</v>
      </c>
      <c r="Z381" s="22">
        <f t="shared" si="73"/>
        <v>3.1714115365697459E-3</v>
      </c>
      <c r="AA381" s="33"/>
      <c r="AB381" s="50">
        <f t="shared" si="69"/>
        <v>368</v>
      </c>
      <c r="AC381" s="48">
        <f t="shared" si="64"/>
        <v>0.4364031407314552</v>
      </c>
      <c r="AE381" s="48">
        <f t="shared" si="70"/>
        <v>0.99811651060619466</v>
      </c>
      <c r="AF381" s="48">
        <f t="shared" si="74"/>
        <v>0.43640314073145559</v>
      </c>
      <c r="AH381" s="48">
        <f t="shared" si="75"/>
        <v>0</v>
      </c>
    </row>
    <row r="382" spans="4:34" ht="13.9" customHeight="1">
      <c r="D382" s="8"/>
      <c r="E382" s="9"/>
      <c r="F382" s="18"/>
      <c r="G382" s="18"/>
      <c r="H382" s="18"/>
      <c r="J382" s="40"/>
      <c r="K382" s="40"/>
      <c r="L382" s="40"/>
      <c r="M382" s="38"/>
      <c r="O382" s="12">
        <f t="shared" si="65"/>
        <v>30.75</v>
      </c>
      <c r="P382" s="13">
        <v>369</v>
      </c>
      <c r="Q382" s="21">
        <v>2.7395337238773854E-2</v>
      </c>
      <c r="R382" s="18">
        <f t="shared" si="66"/>
        <v>2.2881768343902653E-2</v>
      </c>
      <c r="S382" s="21">
        <v>3.001688471450592E-2</v>
      </c>
      <c r="T382" s="18">
        <f t="shared" si="67"/>
        <v>3.8055522372976158E-2</v>
      </c>
      <c r="U382" s="23">
        <v>3.3753846232794871E-2</v>
      </c>
      <c r="V382" s="23">
        <f t="shared" si="68"/>
        <v>3.9019719359660199E-2</v>
      </c>
      <c r="W382" s="22">
        <f t="shared" si="71"/>
        <v>3.1914449507615128E-3</v>
      </c>
      <c r="X382" s="23">
        <v>3.3006312412279692E-2</v>
      </c>
      <c r="Y382" s="23">
        <f t="shared" si="72"/>
        <v>3.8819827340627722E-2</v>
      </c>
      <c r="Z382" s="22">
        <f t="shared" si="73"/>
        <v>3.1751344290484873E-3</v>
      </c>
      <c r="AA382" s="33"/>
      <c r="AB382" s="50">
        <f t="shared" si="69"/>
        <v>369</v>
      </c>
      <c r="AC382" s="48">
        <f t="shared" si="64"/>
        <v>0.43558116876224673</v>
      </c>
      <c r="AE382" s="48">
        <f t="shared" si="70"/>
        <v>0.99811648475345338</v>
      </c>
      <c r="AF382" s="48">
        <f t="shared" si="74"/>
        <v>0.43558116876224706</v>
      </c>
      <c r="AH382" s="48">
        <f t="shared" si="75"/>
        <v>0</v>
      </c>
    </row>
    <row r="383" spans="4:34" ht="13.9" customHeight="1">
      <c r="D383" s="8"/>
      <c r="E383" s="9"/>
      <c r="F383" s="18"/>
      <c r="G383" s="18"/>
      <c r="H383" s="18"/>
      <c r="J383" s="40"/>
      <c r="K383" s="40"/>
      <c r="L383" s="40"/>
      <c r="M383" s="38"/>
      <c r="O383" s="12">
        <f t="shared" si="65"/>
        <v>30.833333333333332</v>
      </c>
      <c r="P383" s="13">
        <v>370</v>
      </c>
      <c r="Q383" s="21">
        <v>2.7383111601869903E-2</v>
      </c>
      <c r="R383" s="18">
        <f t="shared" si="66"/>
        <v>2.2882291716677994E-2</v>
      </c>
      <c r="S383" s="21">
        <v>3.0038526649015074E-2</v>
      </c>
      <c r="T383" s="18">
        <f t="shared" si="67"/>
        <v>3.81115902884539E-2</v>
      </c>
      <c r="U383" s="23">
        <v>3.3768042293773171E-2</v>
      </c>
      <c r="V383" s="23">
        <f t="shared" si="68"/>
        <v>3.9062194202514222E-2</v>
      </c>
      <c r="W383" s="22">
        <f t="shared" si="71"/>
        <v>3.1949004422808791E-3</v>
      </c>
      <c r="X383" s="23">
        <v>3.3021980686515739E-2</v>
      </c>
      <c r="Y383" s="23">
        <f t="shared" si="72"/>
        <v>3.8865061933769374E-2</v>
      </c>
      <c r="Z383" s="22">
        <f t="shared" si="73"/>
        <v>3.1788157027685671E-3</v>
      </c>
      <c r="AA383" s="33"/>
      <c r="AB383" s="50">
        <f t="shared" si="69"/>
        <v>370</v>
      </c>
      <c r="AC383" s="48">
        <f t="shared" si="64"/>
        <v>0.43476073008757266</v>
      </c>
      <c r="AE383" s="48">
        <f t="shared" si="70"/>
        <v>0.99811645054122689</v>
      </c>
      <c r="AF383" s="48">
        <f t="shared" si="74"/>
        <v>0.43476073008757316</v>
      </c>
      <c r="AH383" s="48">
        <f t="shared" si="75"/>
        <v>4.9960036108132044E-16</v>
      </c>
    </row>
    <row r="384" spans="4:34" ht="13.9" customHeight="1">
      <c r="D384" s="8"/>
      <c r="E384" s="9"/>
      <c r="F384" s="18"/>
      <c r="G384" s="18"/>
      <c r="H384" s="18"/>
      <c r="J384" s="40"/>
      <c r="K384" s="40"/>
      <c r="L384" s="40"/>
      <c r="M384" s="38"/>
      <c r="O384" s="12">
        <f t="shared" si="65"/>
        <v>30.916666666666668</v>
      </c>
      <c r="P384" s="13">
        <v>371</v>
      </c>
      <c r="Q384" s="21">
        <v>2.73709534325699E-2</v>
      </c>
      <c r="R384" s="18">
        <f t="shared" si="66"/>
        <v>2.288291757328631E-2</v>
      </c>
      <c r="S384" s="21">
        <v>3.0060202324855734E-2</v>
      </c>
      <c r="T384" s="18">
        <f t="shared" si="67"/>
        <v>3.8167002327727184E-2</v>
      </c>
      <c r="U384" s="23">
        <v>3.3782275927504601E-2</v>
      </c>
      <c r="V384" s="23">
        <f t="shared" si="68"/>
        <v>3.9104203459518594E-2</v>
      </c>
      <c r="W384" s="22">
        <f t="shared" si="71"/>
        <v>3.1983179060850464E-3</v>
      </c>
      <c r="X384" s="23">
        <v>3.3037685976225362E-2</v>
      </c>
      <c r="Y384" s="23">
        <f t="shared" si="72"/>
        <v>3.890979326763655E-2</v>
      </c>
      <c r="Z384" s="22">
        <f t="shared" si="73"/>
        <v>3.1824558495612276E-3</v>
      </c>
      <c r="AA384" s="33"/>
      <c r="AB384" s="50">
        <f t="shared" si="69"/>
        <v>371</v>
      </c>
      <c r="AC384" s="48">
        <f t="shared" si="64"/>
        <v>0.43394181824698969</v>
      </c>
      <c r="AE384" s="48">
        <f t="shared" si="70"/>
        <v>0.99811640798280288</v>
      </c>
      <c r="AF384" s="48">
        <f t="shared" si="74"/>
        <v>0.43394181824698941</v>
      </c>
      <c r="AH384" s="48">
        <f t="shared" si="75"/>
        <v>0</v>
      </c>
    </row>
    <row r="385" spans="4:34" ht="13.9" customHeight="1">
      <c r="D385" s="8"/>
      <c r="E385" s="9"/>
      <c r="F385" s="18"/>
      <c r="G385" s="18"/>
      <c r="H385" s="18"/>
      <c r="J385" s="40"/>
      <c r="K385" s="40"/>
      <c r="L385" s="40"/>
      <c r="M385" s="38"/>
      <c r="O385" s="12">
        <f t="shared" si="65"/>
        <v>31</v>
      </c>
      <c r="P385" s="13">
        <v>372</v>
      </c>
      <c r="Q385" s="21">
        <v>2.7358862462267153E-2</v>
      </c>
      <c r="R385" s="18">
        <f t="shared" si="66"/>
        <v>2.2883645002527153E-2</v>
      </c>
      <c r="S385" s="21">
        <v>3.0081909718238986E-2</v>
      </c>
      <c r="T385" s="18">
        <f t="shared" si="67"/>
        <v>3.8221766616237218E-2</v>
      </c>
      <c r="U385" s="23">
        <v>3.3796545584272142E-2</v>
      </c>
      <c r="V385" s="23">
        <f t="shared" si="68"/>
        <v>3.9145752495296282E-2</v>
      </c>
      <c r="W385" s="22">
        <f t="shared" si="71"/>
        <v>3.2016977835747085E-3</v>
      </c>
      <c r="X385" s="23">
        <v>3.3053426636003413E-2</v>
      </c>
      <c r="Y385" s="23">
        <f t="shared" si="72"/>
        <v>3.8954027237343425E-2</v>
      </c>
      <c r="Z385" s="22">
        <f t="shared" si="73"/>
        <v>3.1860553548814785E-3</v>
      </c>
      <c r="AA385" s="33"/>
      <c r="AB385" s="50">
        <f t="shared" si="69"/>
        <v>372</v>
      </c>
      <c r="AC385" s="48">
        <f t="shared" si="64"/>
        <v>0.43312442681807123</v>
      </c>
      <c r="AE385" s="48">
        <f t="shared" si="70"/>
        <v>0.99811635709086521</v>
      </c>
      <c r="AF385" s="48">
        <f t="shared" si="74"/>
        <v>0.4331244268180714</v>
      </c>
      <c r="AH385" s="48">
        <f t="shared" si="75"/>
        <v>0</v>
      </c>
    </row>
    <row r="386" spans="4:34" ht="13.9" customHeight="1">
      <c r="D386" s="8"/>
      <c r="E386" s="9"/>
      <c r="F386" s="18"/>
      <c r="G386" s="18"/>
      <c r="H386" s="18"/>
      <c r="J386" s="40"/>
      <c r="K386" s="40"/>
      <c r="L386" s="40"/>
      <c r="M386" s="38"/>
      <c r="O386" s="12">
        <f t="shared" si="65"/>
        <v>31.083333333333332</v>
      </c>
      <c r="P386" s="13">
        <v>373</v>
      </c>
      <c r="Q386" s="21">
        <v>2.7346838422781294E-2</v>
      </c>
      <c r="R386" s="18">
        <f t="shared" si="66"/>
        <v>2.2884470815063507E-2</v>
      </c>
      <c r="S386" s="21">
        <v>3.0103646848827603E-2</v>
      </c>
      <c r="T386" s="18">
        <f t="shared" si="67"/>
        <v>3.8275891167976361E-2</v>
      </c>
      <c r="U386" s="23">
        <v>3.3810849745372629E-2</v>
      </c>
      <c r="V386" s="23">
        <f t="shared" si="68"/>
        <v>3.9186846607705439E-2</v>
      </c>
      <c r="W386" s="22">
        <f t="shared" si="71"/>
        <v>3.2050405105137347E-3</v>
      </c>
      <c r="X386" s="23">
        <v>3.3069201053900432E-2</v>
      </c>
      <c r="Y386" s="23">
        <f t="shared" si="72"/>
        <v>3.8997769662340476E-2</v>
      </c>
      <c r="Z386" s="22">
        <f t="shared" si="73"/>
        <v>3.1896146978851458E-3</v>
      </c>
      <c r="AA386" s="33"/>
      <c r="AB386" s="50">
        <f t="shared" si="69"/>
        <v>373</v>
      </c>
      <c r="AC386" s="48">
        <f t="shared" si="64"/>
        <v>0.43230854944283231</v>
      </c>
      <c r="AE386" s="48">
        <f t="shared" si="70"/>
        <v>0.99811629793952505</v>
      </c>
      <c r="AF386" s="48">
        <f t="shared" si="74"/>
        <v>0.43230854944283215</v>
      </c>
      <c r="AH386" s="48">
        <f t="shared" si="75"/>
        <v>0</v>
      </c>
    </row>
    <row r="387" spans="4:34" ht="13.9" customHeight="1">
      <c r="D387" s="8"/>
      <c r="E387" s="9"/>
      <c r="F387" s="18"/>
      <c r="G387" s="18"/>
      <c r="H387" s="18"/>
      <c r="J387" s="40"/>
      <c r="K387" s="40"/>
      <c r="L387" s="40"/>
      <c r="M387" s="38"/>
      <c r="O387" s="12">
        <f t="shared" si="65"/>
        <v>31.166666666666668</v>
      </c>
      <c r="P387" s="13">
        <v>374</v>
      </c>
      <c r="Q387" s="21">
        <v>2.7334881040235182E-2</v>
      </c>
      <c r="R387" s="18">
        <f t="shared" si="66"/>
        <v>2.2885394119065872E-2</v>
      </c>
      <c r="S387" s="21">
        <v>3.0125411778854083E-2</v>
      </c>
      <c r="T387" s="18">
        <f t="shared" si="67"/>
        <v>3.8329383887807156E-2</v>
      </c>
      <c r="U387" s="23">
        <v>3.3825186922520345E-2</v>
      </c>
      <c r="V387" s="23">
        <f t="shared" si="68"/>
        <v>3.9227491027768568E-2</v>
      </c>
      <c r="W387" s="22">
        <f t="shared" si="71"/>
        <v>3.2083465171859338E-3</v>
      </c>
      <c r="X387" s="23">
        <v>3.3085007650770271E-2</v>
      </c>
      <c r="Y387" s="23">
        <f t="shared" si="72"/>
        <v>3.9041026288044733E-2</v>
      </c>
      <c r="Z387" s="22">
        <f t="shared" si="73"/>
        <v>3.193134351511473E-3</v>
      </c>
      <c r="AA387" s="33"/>
      <c r="AB387" s="50">
        <f t="shared" si="69"/>
        <v>374</v>
      </c>
      <c r="AC387" s="48">
        <f t="shared" si="64"/>
        <v>0.43149417990736866</v>
      </c>
      <c r="AE387" s="48">
        <f t="shared" si="70"/>
        <v>0.99811623078814415</v>
      </c>
      <c r="AF387" s="48">
        <f t="shared" si="74"/>
        <v>0.43149417990736966</v>
      </c>
      <c r="AH387" s="48">
        <f t="shared" si="75"/>
        <v>9.9920072216264089E-16</v>
      </c>
    </row>
    <row r="388" spans="4:34" ht="13.9" customHeight="1">
      <c r="D388" s="8"/>
      <c r="E388" s="9"/>
      <c r="F388" s="18"/>
      <c r="G388" s="18"/>
      <c r="H388" s="18"/>
      <c r="J388" s="40"/>
      <c r="K388" s="40"/>
      <c r="L388" s="40"/>
      <c r="M388" s="38"/>
      <c r="O388" s="12">
        <f t="shared" si="65"/>
        <v>31.25</v>
      </c>
      <c r="P388" s="13">
        <v>375</v>
      </c>
      <c r="Q388" s="21">
        <v>2.7322990041284134E-2</v>
      </c>
      <c r="R388" s="18">
        <f t="shared" si="66"/>
        <v>2.2886414792566923E-2</v>
      </c>
      <c r="S388" s="21">
        <v>3.0147202612258228E-2</v>
      </c>
      <c r="T388" s="18">
        <f t="shared" si="67"/>
        <v>3.8382252573759379E-2</v>
      </c>
      <c r="U388" s="23">
        <v>3.3839555657261489E-2</v>
      </c>
      <c r="V388" s="23">
        <f t="shared" si="68"/>
        <v>3.9267690921049647E-2</v>
      </c>
      <c r="W388" s="22">
        <f t="shared" si="71"/>
        <v>3.2116162283917227E-3</v>
      </c>
      <c r="X388" s="23">
        <v>3.3100844879632607E-2</v>
      </c>
      <c r="Y388" s="23">
        <f t="shared" si="72"/>
        <v>3.9083802786682664E-2</v>
      </c>
      <c r="Z388" s="22">
        <f t="shared" si="73"/>
        <v>3.1966147826185676E-3</v>
      </c>
      <c r="AA388" s="33"/>
      <c r="AB388" s="50">
        <f t="shared" si="69"/>
        <v>375</v>
      </c>
      <c r="AC388" s="48">
        <f t="shared" si="64"/>
        <v>0.4306813120600651</v>
      </c>
      <c r="AE388" s="48">
        <f t="shared" si="70"/>
        <v>0.99811615570926282</v>
      </c>
      <c r="AF388" s="48">
        <f t="shared" si="74"/>
        <v>0.43068131206006482</v>
      </c>
      <c r="AH388" s="48">
        <f t="shared" si="75"/>
        <v>0</v>
      </c>
    </row>
    <row r="389" spans="4:34" ht="13.9" customHeight="1">
      <c r="D389" s="8"/>
      <c r="E389" s="9"/>
      <c r="F389" s="18"/>
      <c r="G389" s="18"/>
      <c r="H389" s="18"/>
      <c r="J389" s="40"/>
      <c r="K389" s="40"/>
      <c r="L389" s="40"/>
      <c r="M389" s="38"/>
      <c r="O389" s="12">
        <f t="shared" si="65"/>
        <v>31.333333333333332</v>
      </c>
      <c r="P389" s="13">
        <v>376</v>
      </c>
      <c r="Q389" s="21">
        <v>2.7311165155166073E-2</v>
      </c>
      <c r="R389" s="18">
        <f t="shared" si="66"/>
        <v>2.288753272058508E-2</v>
      </c>
      <c r="S389" s="21">
        <v>3.016901749384493E-2</v>
      </c>
      <c r="T389" s="18">
        <f t="shared" si="67"/>
        <v>3.8434504917582712E-2</v>
      </c>
      <c r="U389" s="23">
        <v>3.3853954520401075E-2</v>
      </c>
      <c r="V389" s="23">
        <f t="shared" si="68"/>
        <v>3.9307451388831627E-2</v>
      </c>
      <c r="W389" s="22">
        <f t="shared" si="71"/>
        <v>3.2148500635613697E-3</v>
      </c>
      <c r="X389" s="23">
        <v>3.311671122504789E-2</v>
      </c>
      <c r="Y389" s="23">
        <f t="shared" si="72"/>
        <v>3.9126104758216318E-2</v>
      </c>
      <c r="Z389" s="22">
        <f t="shared" si="73"/>
        <v>3.200056452054012E-3</v>
      </c>
      <c r="AA389" s="33"/>
      <c r="AB389" s="50">
        <f t="shared" si="69"/>
        <v>376</v>
      </c>
      <c r="AC389" s="48">
        <f t="shared" si="64"/>
        <v>0.42986993978419796</v>
      </c>
      <c r="AE389" s="48">
        <f t="shared" si="70"/>
        <v>0.99811607271282243</v>
      </c>
      <c r="AF389" s="48">
        <f t="shared" si="74"/>
        <v>0.42986993978419741</v>
      </c>
      <c r="AH389" s="48">
        <f t="shared" si="75"/>
        <v>-5.5511151231257827E-16</v>
      </c>
    </row>
    <row r="390" spans="4:34" ht="13.9" customHeight="1">
      <c r="D390" s="8"/>
      <c r="E390" s="9"/>
      <c r="F390" s="18"/>
      <c r="G390" s="18"/>
      <c r="H390" s="18"/>
      <c r="J390" s="40"/>
      <c r="K390" s="40"/>
      <c r="L390" s="40"/>
      <c r="M390" s="38"/>
      <c r="O390" s="12">
        <f t="shared" si="65"/>
        <v>31.416666666666668</v>
      </c>
      <c r="P390" s="13">
        <v>377</v>
      </c>
      <c r="Q390" s="21">
        <v>2.7299406113685087E-2</v>
      </c>
      <c r="R390" s="18">
        <f t="shared" si="66"/>
        <v>2.2888747795595021E-2</v>
      </c>
      <c r="S390" s="21">
        <v>3.0190854608457052E-2</v>
      </c>
      <c r="T390" s="18">
        <f t="shared" si="67"/>
        <v>3.8486148507097084E-2</v>
      </c>
      <c r="U390" s="23">
        <v>3.3868382111441608E-2</v>
      </c>
      <c r="V390" s="23">
        <f t="shared" si="68"/>
        <v>3.9346777468682426E-2</v>
      </c>
      <c r="W390" s="22">
        <f t="shared" si="71"/>
        <v>3.218048436852472E-3</v>
      </c>
      <c r="X390" s="23">
        <v>3.3132605202505161E-2</v>
      </c>
      <c r="Y390" s="23">
        <f t="shared" si="72"/>
        <v>3.9167937731131142E-2</v>
      </c>
      <c r="Z390" s="22">
        <f t="shared" si="73"/>
        <v>3.2034598147321347E-3</v>
      </c>
      <c r="AA390" s="33"/>
      <c r="AB390" s="50">
        <f t="shared" si="69"/>
        <v>377</v>
      </c>
      <c r="AC390" s="48">
        <f t="shared" si="64"/>
        <v>0.42906005699753541</v>
      </c>
      <c r="AE390" s="48">
        <f t="shared" si="70"/>
        <v>0.99811598180819827</v>
      </c>
      <c r="AF390" s="48">
        <f t="shared" si="74"/>
        <v>0.42906005699753524</v>
      </c>
      <c r="AH390" s="48">
        <f t="shared" si="75"/>
        <v>0</v>
      </c>
    </row>
    <row r="391" spans="4:34" ht="13.9" customHeight="1">
      <c r="D391" s="8"/>
      <c r="E391" s="9"/>
      <c r="F391" s="18"/>
      <c r="G391" s="18"/>
      <c r="H391" s="18"/>
      <c r="J391" s="40"/>
      <c r="K391" s="40"/>
      <c r="L391" s="40"/>
      <c r="M391" s="38"/>
      <c r="O391" s="12">
        <f t="shared" si="65"/>
        <v>31.5</v>
      </c>
      <c r="P391" s="13">
        <v>378</v>
      </c>
      <c r="Q391" s="21">
        <v>2.7287712651197449E-2</v>
      </c>
      <c r="R391" s="18">
        <f t="shared" si="66"/>
        <v>2.28900591649146E-2</v>
      </c>
      <c r="S391" s="21">
        <v>3.0212712180167856E-2</v>
      </c>
      <c r="T391" s="18">
        <f t="shared" si="67"/>
        <v>3.8537190827484746E-2</v>
      </c>
      <c r="U391" s="23">
        <v>3.3882837058033521E-2</v>
      </c>
      <c r="V391" s="23">
        <f t="shared" si="68"/>
        <v>3.9385674135124171E-2</v>
      </c>
      <c r="W391" s="22">
        <f t="shared" si="71"/>
        <v>3.2212117571983612E-3</v>
      </c>
      <c r="X391" s="23">
        <v>3.3148525357821645E-2</v>
      </c>
      <c r="Y391" s="23">
        <f t="shared" si="72"/>
        <v>3.920930716444837E-2</v>
      </c>
      <c r="Z391" s="22">
        <f t="shared" si="73"/>
        <v>3.2068253197012897E-3</v>
      </c>
      <c r="AA391" s="33"/>
      <c r="AB391" s="50">
        <f t="shared" si="69"/>
        <v>378</v>
      </c>
      <c r="AC391" s="48">
        <f t="shared" si="64"/>
        <v>0.42825165765191125</v>
      </c>
      <c r="AE391" s="48">
        <f t="shared" si="70"/>
        <v>0.99811588300416154</v>
      </c>
      <c r="AF391" s="48">
        <f t="shared" si="74"/>
        <v>0.42825165765191076</v>
      </c>
      <c r="AH391" s="48">
        <f t="shared" si="75"/>
        <v>-4.9960036108132044E-16</v>
      </c>
    </row>
    <row r="392" spans="4:34" ht="13.9" customHeight="1">
      <c r="D392" s="8"/>
      <c r="E392" s="9"/>
      <c r="F392" s="18"/>
      <c r="G392" s="18"/>
      <c r="H392" s="18"/>
      <c r="J392" s="40"/>
      <c r="K392" s="40"/>
      <c r="L392" s="40"/>
      <c r="M392" s="38"/>
      <c r="O392" s="12">
        <f t="shared" si="65"/>
        <v>31.583333333333332</v>
      </c>
      <c r="P392" s="13">
        <v>379</v>
      </c>
      <c r="Q392" s="21">
        <v>2.7276084502603659E-2</v>
      </c>
      <c r="R392" s="18">
        <f t="shared" si="66"/>
        <v>2.2891463731711692E-2</v>
      </c>
      <c r="S392" s="21">
        <v>3.0234588471490076E-2</v>
      </c>
      <c r="T392" s="18">
        <f t="shared" si="67"/>
        <v>3.8587639263684803E-2</v>
      </c>
      <c r="U392" s="23">
        <v>3.3897318015435163E-2</v>
      </c>
      <c r="V392" s="23">
        <f t="shared" si="68"/>
        <v>3.9424146301568097E-2</v>
      </c>
      <c r="W392" s="22">
        <f t="shared" si="71"/>
        <v>3.2243404283638366E-3</v>
      </c>
      <c r="X392" s="23">
        <v>3.3164470266556778E-2</v>
      </c>
      <c r="Y392" s="23">
        <f t="shared" si="72"/>
        <v>3.9250218447578478E-2</v>
      </c>
      <c r="Z392" s="22">
        <f t="shared" si="73"/>
        <v>3.2101534103075036E-3</v>
      </c>
      <c r="AA392" s="33"/>
      <c r="AB392" s="50">
        <f t="shared" si="69"/>
        <v>379</v>
      </c>
      <c r="AC392" s="48">
        <f t="shared" si="64"/>
        <v>0.42744473575900915</v>
      </c>
      <c r="AE392" s="48">
        <f t="shared" si="70"/>
        <v>0.99811577637007909</v>
      </c>
      <c r="AF392" s="48">
        <f t="shared" si="74"/>
        <v>0.42744473575901021</v>
      </c>
      <c r="AH392" s="48">
        <f t="shared" si="75"/>
        <v>1.0547118733938987E-15</v>
      </c>
    </row>
    <row r="393" spans="4:34" ht="13.9" customHeight="1">
      <c r="D393" s="8"/>
      <c r="E393" s="9"/>
      <c r="F393" s="18"/>
      <c r="G393" s="18"/>
      <c r="H393" s="18"/>
      <c r="J393" s="40"/>
      <c r="K393" s="40"/>
      <c r="L393" s="40"/>
      <c r="M393" s="38"/>
      <c r="O393" s="12">
        <f t="shared" si="65"/>
        <v>31.666666666666668</v>
      </c>
      <c r="P393" s="13">
        <v>380</v>
      </c>
      <c r="Q393" s="21">
        <v>2.7264521397409647E-2</v>
      </c>
      <c r="R393" s="18">
        <f t="shared" si="66"/>
        <v>2.2892960661583084E-2</v>
      </c>
      <c r="S393" s="21">
        <v>3.0256481782602984E-2</v>
      </c>
      <c r="T393" s="18">
        <f t="shared" si="67"/>
        <v>3.8637501100545757E-2</v>
      </c>
      <c r="U393" s="23">
        <v>3.3911823665986773E-2</v>
      </c>
      <c r="V393" s="23">
        <f t="shared" si="68"/>
        <v>3.9462198819763206E-2</v>
      </c>
      <c r="W393" s="22">
        <f t="shared" si="71"/>
        <v>3.2274348491037053E-3</v>
      </c>
      <c r="X393" s="23">
        <v>3.3180438533435996E-2</v>
      </c>
      <c r="Y393" s="23">
        <f t="shared" si="72"/>
        <v>3.9290676902144384E-2</v>
      </c>
      <c r="Z393" s="22">
        <f t="shared" si="73"/>
        <v>3.2134445241867038E-3</v>
      </c>
      <c r="AA393" s="33"/>
      <c r="AB393" s="50">
        <f t="shared" si="69"/>
        <v>380</v>
      </c>
      <c r="AC393" s="48">
        <f t="shared" si="64"/>
        <v>0.42663928546797136</v>
      </c>
      <c r="AE393" s="48">
        <f t="shared" si="70"/>
        <v>0.9981156621578019</v>
      </c>
      <c r="AF393" s="48">
        <f t="shared" si="74"/>
        <v>0.42663928546797114</v>
      </c>
      <c r="AH393" s="48">
        <f t="shared" si="75"/>
        <v>0</v>
      </c>
    </row>
    <row r="394" spans="4:34" ht="13.9" customHeight="1">
      <c r="D394" s="8"/>
      <c r="E394" s="9"/>
      <c r="F394" s="18"/>
      <c r="G394" s="18"/>
      <c r="H394" s="18"/>
      <c r="J394" s="40"/>
      <c r="K394" s="40"/>
      <c r="L394" s="40"/>
      <c r="M394" s="38"/>
      <c r="O394" s="12">
        <f t="shared" si="65"/>
        <v>31.75</v>
      </c>
      <c r="P394" s="13">
        <v>381</v>
      </c>
      <c r="Q394" s="21">
        <v>2.7253023065762605E-2</v>
      </c>
      <c r="R394" s="18">
        <f t="shared" si="66"/>
        <v>2.2894549879555859E-2</v>
      </c>
      <c r="S394" s="21">
        <v>3.027839045059344E-2</v>
      </c>
      <c r="T394" s="18">
        <f t="shared" si="67"/>
        <v>3.8686783525368584E-2</v>
      </c>
      <c r="U394" s="23">
        <v>3.392635271859179E-2</v>
      </c>
      <c r="V394" s="23">
        <f t="shared" si="68"/>
        <v>3.9499836481766026E-2</v>
      </c>
      <c r="W394" s="22">
        <f t="shared" si="71"/>
        <v>3.2304954131201491E-3</v>
      </c>
      <c r="X394" s="23">
        <v>3.3196428791787858E-2</v>
      </c>
      <c r="Y394" s="23">
        <f t="shared" si="72"/>
        <v>3.9330687782430429E-2</v>
      </c>
      <c r="Z394" s="22">
        <f t="shared" si="73"/>
        <v>3.2166990934134887E-3</v>
      </c>
      <c r="AA394" s="33"/>
      <c r="AB394" s="50">
        <f t="shared" si="69"/>
        <v>381</v>
      </c>
      <c r="AC394" s="48">
        <f t="shared" si="64"/>
        <v>0.42583530098575767</v>
      </c>
      <c r="AE394" s="48">
        <f t="shared" si="70"/>
        <v>0.998115540435213</v>
      </c>
      <c r="AF394" s="48">
        <f t="shared" si="74"/>
        <v>0.42583530098575711</v>
      </c>
      <c r="AH394" s="48">
        <f t="shared" si="75"/>
        <v>-5.5511151231257827E-16</v>
      </c>
    </row>
    <row r="395" spans="4:34" ht="13.9" customHeight="1">
      <c r="D395" s="8"/>
      <c r="E395" s="9"/>
      <c r="F395" s="18"/>
      <c r="G395" s="18"/>
      <c r="H395" s="18"/>
      <c r="J395" s="40"/>
      <c r="K395" s="40"/>
      <c r="L395" s="40"/>
      <c r="M395" s="38"/>
      <c r="O395" s="12">
        <f t="shared" si="65"/>
        <v>31.833333333333332</v>
      </c>
      <c r="P395" s="13">
        <v>382</v>
      </c>
      <c r="Q395" s="21">
        <v>2.7241589240438291E-2</v>
      </c>
      <c r="R395" s="18">
        <f t="shared" si="66"/>
        <v>2.2896231316861027E-2</v>
      </c>
      <c r="S395" s="21">
        <v>3.0300312848714483E-2</v>
      </c>
      <c r="T395" s="18">
        <f t="shared" si="67"/>
        <v>3.8735493629480811E-2</v>
      </c>
      <c r="U395" s="23">
        <v>3.3940903908210363E-2</v>
      </c>
      <c r="V395" s="23">
        <f t="shared" si="68"/>
        <v>3.9537064020406465E-2</v>
      </c>
      <c r="W395" s="22">
        <f t="shared" si="71"/>
        <v>3.2335225092243736E-3</v>
      </c>
      <c r="X395" s="23">
        <v>3.3212439702991814E-2</v>
      </c>
      <c r="Y395" s="23">
        <f t="shared" si="72"/>
        <v>3.9370256276652471E-2</v>
      </c>
      <c r="Z395" s="22">
        <f t="shared" si="73"/>
        <v>3.2199175445402073E-3</v>
      </c>
      <c r="AA395" s="33"/>
      <c r="AB395" s="50">
        <f t="shared" si="69"/>
        <v>382</v>
      </c>
      <c r="AC395" s="48">
        <f t="shared" si="64"/>
        <v>0.42503277655047017</v>
      </c>
      <c r="AE395" s="48">
        <f t="shared" si="70"/>
        <v>0.9981154112084446</v>
      </c>
      <c r="AF395" s="48">
        <f t="shared" si="74"/>
        <v>0.42503277655047073</v>
      </c>
      <c r="AH395" s="48">
        <f t="shared" si="75"/>
        <v>5.5511151231257827E-16</v>
      </c>
    </row>
    <row r="396" spans="4:34" ht="13.9" customHeight="1">
      <c r="D396" s="8"/>
      <c r="E396" s="9"/>
      <c r="F396" s="18"/>
      <c r="G396" s="18"/>
      <c r="H396" s="18"/>
      <c r="J396" s="40"/>
      <c r="K396" s="40"/>
      <c r="L396" s="40"/>
      <c r="M396" s="38"/>
      <c r="O396" s="12">
        <f t="shared" si="65"/>
        <v>31.916666666666668</v>
      </c>
      <c r="P396" s="13">
        <v>383</v>
      </c>
      <c r="Q396" s="21">
        <v>2.7230219656822818E-2</v>
      </c>
      <c r="R396" s="18">
        <f t="shared" si="66"/>
        <v>2.2898004911247938E-2</v>
      </c>
      <c r="S396" s="21">
        <v>3.0322247385660805E-2</v>
      </c>
      <c r="T396" s="18">
        <f t="shared" si="67"/>
        <v>3.8783638408886434E-2</v>
      </c>
      <c r="U396" s="23">
        <v>3.3955475995363749E-2</v>
      </c>
      <c r="V396" s="23">
        <f t="shared" si="68"/>
        <v>3.9573886109551593E-2</v>
      </c>
      <c r="W396" s="22">
        <f t="shared" si="71"/>
        <v>3.2365165213756875E-3</v>
      </c>
      <c r="X396" s="23">
        <v>3.322846995593709E-2</v>
      </c>
      <c r="Y396" s="23">
        <f t="shared" si="72"/>
        <v>3.9409387507867599E-2</v>
      </c>
      <c r="Z396" s="22">
        <f t="shared" si="73"/>
        <v>3.2231002987019863E-3</v>
      </c>
      <c r="AA396" s="33"/>
      <c r="AB396" s="50">
        <f t="shared" si="69"/>
        <v>383</v>
      </c>
      <c r="AC396" s="48">
        <f t="shared" si="64"/>
        <v>0.42423170643099872</v>
      </c>
      <c r="AE396" s="48">
        <f t="shared" si="70"/>
        <v>0.99811527448312642</v>
      </c>
      <c r="AF396" s="48">
        <f t="shared" si="74"/>
        <v>0.42423170643099845</v>
      </c>
      <c r="AH396" s="48">
        <f t="shared" si="75"/>
        <v>0</v>
      </c>
    </row>
    <row r="397" spans="4:34" ht="13.9" customHeight="1">
      <c r="D397" s="8"/>
      <c r="E397" s="9"/>
      <c r="F397" s="18"/>
      <c r="G397" s="18"/>
      <c r="H397" s="18"/>
      <c r="J397" s="40"/>
      <c r="K397" s="40"/>
      <c r="L397" s="40"/>
      <c r="M397" s="38"/>
      <c r="O397" s="12">
        <f t="shared" si="65"/>
        <v>32</v>
      </c>
      <c r="P397" s="13">
        <v>384</v>
      </c>
      <c r="Q397" s="21">
        <v>2.7218914052896448E-2</v>
      </c>
      <c r="R397" s="18">
        <f t="shared" si="66"/>
        <v>2.2899869867148537E-2</v>
      </c>
      <c r="S397" s="21">
        <v>3.0344192504856426E-2</v>
      </c>
      <c r="T397" s="18">
        <f t="shared" si="67"/>
        <v>3.8831224766627814E-2</v>
      </c>
      <c r="U397" s="23">
        <v>3.3970067765646039E-2</v>
      </c>
      <c r="V397" s="23">
        <f t="shared" si="68"/>
        <v>3.961030736623794E-2</v>
      </c>
      <c r="W397" s="22">
        <f t="shared" si="71"/>
        <v>3.2394778287050396E-3</v>
      </c>
      <c r="X397" s="23">
        <v>3.324451826649355E-2</v>
      </c>
      <c r="Y397" s="23">
        <f t="shared" si="72"/>
        <v>3.9448086534799254E-2</v>
      </c>
      <c r="Z397" s="22">
        <f t="shared" si="73"/>
        <v>3.2262477716917815E-3</v>
      </c>
      <c r="AA397" s="33"/>
      <c r="AB397" s="50">
        <f t="shared" si="69"/>
        <v>384</v>
      </c>
      <c r="AC397" s="48">
        <f t="shared" ref="AC397:AC460" si="76">1/(1+Q397)^(P397/12)</f>
        <v>0.42343208492664797</v>
      </c>
      <c r="AE397" s="48">
        <f t="shared" si="70"/>
        <v>0.9981151302643605</v>
      </c>
      <c r="AF397" s="48">
        <f t="shared" si="74"/>
        <v>0.42343208492664797</v>
      </c>
      <c r="AH397" s="48">
        <f t="shared" si="75"/>
        <v>0</v>
      </c>
    </row>
    <row r="398" spans="4:34" ht="13.9" customHeight="1">
      <c r="D398" s="8"/>
      <c r="E398" s="9"/>
      <c r="F398" s="18"/>
      <c r="G398" s="18"/>
      <c r="H398" s="18"/>
      <c r="J398" s="40"/>
      <c r="K398" s="40"/>
      <c r="L398" s="40"/>
      <c r="M398" s="38"/>
      <c r="O398" s="12">
        <f t="shared" ref="O398:O461" si="77">P398/12</f>
        <v>32.083333333333336</v>
      </c>
      <c r="P398" s="13">
        <v>385</v>
      </c>
      <c r="Q398" s="21">
        <v>2.7207672167286479E-2</v>
      </c>
      <c r="R398" s="18">
        <f t="shared" ref="R398:R461" si="78">(1+Q399)^P399/(1+Q398)^P398-1</f>
        <v>2.2901823176493252E-2</v>
      </c>
      <c r="S398" s="21">
        <v>3.0366146683760586E-2</v>
      </c>
      <c r="T398" s="18">
        <f t="shared" ref="T398:T461" si="79">(1+S399)^P399/(1+S398)^P398-1</f>
        <v>3.8878259513489111E-2</v>
      </c>
      <c r="U398" s="23">
        <v>3.3984678029248983E-2</v>
      </c>
      <c r="V398" s="23">
        <f t="shared" ref="V398:V461" si="80">(1+U399)^P399/(1+U398)^P398-1</f>
        <v>3.964633235006354E-2</v>
      </c>
      <c r="W398" s="22">
        <f t="shared" si="71"/>
        <v>3.2424068056884359E-3</v>
      </c>
      <c r="X398" s="23">
        <v>3.3260583376992336E-2</v>
      </c>
      <c r="Y398" s="23">
        <f t="shared" si="72"/>
        <v>3.9486358352452067E-2</v>
      </c>
      <c r="Z398" s="22">
        <f t="shared" si="73"/>
        <v>3.2293603740305432E-3</v>
      </c>
      <c r="AA398" s="33"/>
      <c r="AB398" s="50">
        <f t="shared" ref="AB398:AB461" si="81">+P398</f>
        <v>385</v>
      </c>
      <c r="AC398" s="48">
        <f t="shared" si="76"/>
        <v>0.42263390639226239</v>
      </c>
      <c r="AE398" s="48">
        <f t="shared" ref="AE398:AE461" si="82">1/(1+R397)^(1/12)</f>
        <v>0.99811497861688014</v>
      </c>
      <c r="AF398" s="48">
        <f t="shared" si="74"/>
        <v>0.42263390639226223</v>
      </c>
      <c r="AH398" s="48">
        <f t="shared" si="75"/>
        <v>0</v>
      </c>
    </row>
    <row r="399" spans="4:34" ht="13.9" customHeight="1">
      <c r="D399" s="8"/>
      <c r="E399" s="9"/>
      <c r="F399" s="18"/>
      <c r="G399" s="18"/>
      <c r="H399" s="18"/>
      <c r="J399" s="40"/>
      <c r="K399" s="40"/>
      <c r="L399" s="40"/>
      <c r="M399" s="38"/>
      <c r="O399" s="12">
        <f t="shared" si="77"/>
        <v>32.166666666666664</v>
      </c>
      <c r="P399" s="13">
        <v>386</v>
      </c>
      <c r="Q399" s="21">
        <v>2.7196493733502969E-2</v>
      </c>
      <c r="R399" s="18">
        <f t="shared" si="78"/>
        <v>2.2903864060789481E-2</v>
      </c>
      <c r="S399" s="21">
        <v>3.0388108433185623E-2</v>
      </c>
      <c r="T399" s="18">
        <f t="shared" si="79"/>
        <v>3.8924749369739331E-2</v>
      </c>
      <c r="U399" s="23">
        <v>3.3999305620493914E-2</v>
      </c>
      <c r="V399" s="23">
        <f t="shared" si="80"/>
        <v>3.9681965565016464E-2</v>
      </c>
      <c r="W399" s="22">
        <f t="shared" ref="W399:W462" si="83">(1+V398)^(1/12)-1</f>
        <v>3.2453038221007535E-3</v>
      </c>
      <c r="X399" s="23">
        <v>3.3276664055716942E-2</v>
      </c>
      <c r="Y399" s="23">
        <f t="shared" ref="Y399:Y462" si="84">(1+X400)^P400/(1+X399)^P399-1</f>
        <v>3.952420789405986E-2</v>
      </c>
      <c r="Z399" s="22">
        <f t="shared" ref="Z399:Z462" si="85">(1+Y398)^(1/12)-1</f>
        <v>3.2324385110176213E-3</v>
      </c>
      <c r="AA399" s="33"/>
      <c r="AB399" s="50">
        <f t="shared" si="81"/>
        <v>386</v>
      </c>
      <c r="AC399" s="48">
        <f t="shared" si="76"/>
        <v>0.42183716531388171</v>
      </c>
      <c r="AE399" s="48">
        <f t="shared" si="82"/>
        <v>0.99811481978532712</v>
      </c>
      <c r="AF399" s="48">
        <f t="shared" ref="AF399:AF462" si="86">+AF398*AE399</f>
        <v>0.4218371653138816</v>
      </c>
      <c r="AH399" s="48">
        <f t="shared" ref="AH399:AH462" si="87">+AF399-AC399</f>
        <v>0</v>
      </c>
    </row>
    <row r="400" spans="4:34" ht="13.9" customHeight="1">
      <c r="D400" s="8"/>
      <c r="E400" s="9"/>
      <c r="F400" s="18"/>
      <c r="G400" s="18"/>
      <c r="H400" s="18"/>
      <c r="J400" s="40"/>
      <c r="K400" s="40"/>
      <c r="L400" s="40"/>
      <c r="M400" s="38"/>
      <c r="O400" s="12">
        <f t="shared" si="77"/>
        <v>32.25</v>
      </c>
      <c r="P400" s="13">
        <v>387</v>
      </c>
      <c r="Q400" s="21">
        <v>2.7185378485790945E-2</v>
      </c>
      <c r="R400" s="18">
        <f t="shared" si="78"/>
        <v>2.2905992489711258E-2</v>
      </c>
      <c r="S400" s="21">
        <v>3.0410076296630617E-2</v>
      </c>
      <c r="T400" s="18">
        <f t="shared" si="79"/>
        <v>3.897070096676325E-2</v>
      </c>
      <c r="U400" s="23">
        <v>3.4013949397374121E-2</v>
      </c>
      <c r="V400" s="23">
        <f t="shared" si="80"/>
        <v>3.9717211459387114E-2</v>
      </c>
      <c r="W400" s="22">
        <f t="shared" si="83"/>
        <v>3.2481692431642895E-3</v>
      </c>
      <c r="X400" s="23">
        <v>3.3292759096406055E-2</v>
      </c>
      <c r="Y400" s="23">
        <f t="shared" si="84"/>
        <v>3.9561640030581158E-2</v>
      </c>
      <c r="Z400" s="22">
        <f t="shared" si="85"/>
        <v>3.2354825828910805E-3</v>
      </c>
      <c r="AA400" s="33"/>
      <c r="AB400" s="50">
        <f t="shared" si="81"/>
        <v>387</v>
      </c>
      <c r="AC400" s="48">
        <f t="shared" si="76"/>
        <v>0.42104185623117862</v>
      </c>
      <c r="AE400" s="48">
        <f t="shared" si="82"/>
        <v>0.99811465383304854</v>
      </c>
      <c r="AF400" s="48">
        <f t="shared" si="86"/>
        <v>0.4210418562311794</v>
      </c>
      <c r="AH400" s="48">
        <f t="shared" si="87"/>
        <v>7.7715611723760958E-16</v>
      </c>
    </row>
    <row r="401" spans="4:34" ht="13.9" customHeight="1">
      <c r="D401" s="8"/>
      <c r="E401" s="9"/>
      <c r="F401" s="18"/>
      <c r="G401" s="18"/>
      <c r="H401" s="18"/>
      <c r="J401" s="40"/>
      <c r="K401" s="40"/>
      <c r="L401" s="40"/>
      <c r="M401" s="38"/>
      <c r="O401" s="12">
        <f t="shared" si="77"/>
        <v>32.333333333333336</v>
      </c>
      <c r="P401" s="13">
        <v>388</v>
      </c>
      <c r="Q401" s="21">
        <v>2.7174326161056861E-2</v>
      </c>
      <c r="R401" s="18">
        <f t="shared" si="78"/>
        <v>2.2908208438052524E-2</v>
      </c>
      <c r="S401" s="21">
        <v>3.0432048849629245E-2</v>
      </c>
      <c r="T401" s="18">
        <f t="shared" si="79"/>
        <v>3.9016120847768843E-2</v>
      </c>
      <c r="U401" s="23">
        <v>3.4028608241105651E-2</v>
      </c>
      <c r="V401" s="23">
        <f t="shared" si="80"/>
        <v>3.9752074427485518E-2</v>
      </c>
      <c r="W401" s="22">
        <f t="shared" si="83"/>
        <v>3.251003429543875E-3</v>
      </c>
      <c r="X401" s="23">
        <v>3.3308867317764168E-2</v>
      </c>
      <c r="Y401" s="23">
        <f t="shared" si="84"/>
        <v>3.9598659572644967E-2</v>
      </c>
      <c r="Z401" s="22">
        <f t="shared" si="85"/>
        <v>3.2384929847888433E-3</v>
      </c>
      <c r="AA401" s="33"/>
      <c r="AB401" s="50">
        <f t="shared" si="81"/>
        <v>388</v>
      </c>
      <c r="AC401" s="48">
        <f t="shared" si="76"/>
        <v>0.42024797371148598</v>
      </c>
      <c r="AE401" s="48">
        <f t="shared" si="82"/>
        <v>0.99811448076255627</v>
      </c>
      <c r="AF401" s="48">
        <f t="shared" si="86"/>
        <v>0.42024797371148648</v>
      </c>
      <c r="AH401" s="48">
        <f t="shared" si="87"/>
        <v>4.9960036108132044E-16</v>
      </c>
    </row>
    <row r="402" spans="4:34" ht="13.9" customHeight="1">
      <c r="D402" s="8"/>
      <c r="E402" s="9"/>
      <c r="F402" s="18"/>
      <c r="G402" s="18"/>
      <c r="H402" s="18"/>
      <c r="J402" s="40"/>
      <c r="K402" s="40"/>
      <c r="L402" s="40"/>
      <c r="M402" s="38"/>
      <c r="O402" s="12">
        <f t="shared" si="77"/>
        <v>32.416666666666664</v>
      </c>
      <c r="P402" s="13">
        <v>389</v>
      </c>
      <c r="Q402" s="21">
        <v>2.7163336498847945E-2</v>
      </c>
      <c r="R402" s="18">
        <f t="shared" si="78"/>
        <v>2.2910511887656915E-2</v>
      </c>
      <c r="S402" s="21">
        <v>3.045402469910985E-2</v>
      </c>
      <c r="T402" s="18">
        <f t="shared" si="79"/>
        <v>3.9061015469508575E-2</v>
      </c>
      <c r="U402" s="23">
        <v>3.4043281055688324E-2</v>
      </c>
      <c r="V402" s="23">
        <f t="shared" si="80"/>
        <v>3.9786558809441708E-2</v>
      </c>
      <c r="W402" s="22">
        <f t="shared" si="83"/>
        <v>3.2538067374867641E-3</v>
      </c>
      <c r="X402" s="23">
        <v>3.3324987562984187E-2</v>
      </c>
      <c r="Y402" s="23">
        <f t="shared" si="84"/>
        <v>3.963527127084765E-2</v>
      </c>
      <c r="Z402" s="22">
        <f t="shared" si="85"/>
        <v>3.2414701069078955E-3</v>
      </c>
      <c r="AA402" s="33"/>
      <c r="AB402" s="50">
        <f t="shared" si="81"/>
        <v>389</v>
      </c>
      <c r="AC402" s="48">
        <f t="shared" si="76"/>
        <v>0.41945551234949979</v>
      </c>
      <c r="AE402" s="48">
        <f t="shared" si="82"/>
        <v>0.9981143005759483</v>
      </c>
      <c r="AF402" s="48">
        <f t="shared" si="86"/>
        <v>0.41945551234949985</v>
      </c>
      <c r="AH402" s="48">
        <f t="shared" si="87"/>
        <v>0</v>
      </c>
    </row>
    <row r="403" spans="4:34" ht="13.9" customHeight="1">
      <c r="D403" s="8"/>
      <c r="E403" s="9"/>
      <c r="F403" s="18"/>
      <c r="G403" s="18"/>
      <c r="H403" s="18"/>
      <c r="J403" s="40"/>
      <c r="K403" s="40"/>
      <c r="L403" s="40"/>
      <c r="M403" s="38"/>
      <c r="O403" s="12">
        <f t="shared" si="77"/>
        <v>32.5</v>
      </c>
      <c r="P403" s="13">
        <v>390</v>
      </c>
      <c r="Q403" s="21">
        <v>2.7152409241336217E-2</v>
      </c>
      <c r="R403" s="18">
        <f t="shared" si="78"/>
        <v>2.2912902097135257E-2</v>
      </c>
      <c r="S403" s="21">
        <v>3.0476002482769937E-2</v>
      </c>
      <c r="T403" s="18">
        <f t="shared" si="79"/>
        <v>3.9105391203554385E-2</v>
      </c>
      <c r="U403" s="23">
        <v>3.4057966767473635E-2</v>
      </c>
      <c r="V403" s="23">
        <f t="shared" si="80"/>
        <v>3.9820668892858624E-2</v>
      </c>
      <c r="W403" s="22">
        <f t="shared" si="83"/>
        <v>3.2565795188086444E-3</v>
      </c>
      <c r="X403" s="23">
        <v>3.3341118699278027E-2</v>
      </c>
      <c r="Y403" s="23">
        <f t="shared" si="84"/>
        <v>3.9671479816741462E-2</v>
      </c>
      <c r="Z403" s="22">
        <f t="shared" si="85"/>
        <v>3.2444143345295995E-3</v>
      </c>
      <c r="AA403" s="33"/>
      <c r="AB403" s="50">
        <f t="shared" si="81"/>
        <v>390</v>
      </c>
      <c r="AC403" s="48">
        <f t="shared" si="76"/>
        <v>0.41866446676692765</v>
      </c>
      <c r="AE403" s="48">
        <f t="shared" si="82"/>
        <v>0.99811411327475097</v>
      </c>
      <c r="AF403" s="48">
        <f t="shared" si="86"/>
        <v>0.41866446676692742</v>
      </c>
      <c r="AH403" s="48">
        <f t="shared" si="87"/>
        <v>0</v>
      </c>
    </row>
    <row r="404" spans="4:34" ht="13.9" customHeight="1">
      <c r="D404" s="8"/>
      <c r="E404" s="9"/>
      <c r="F404" s="18"/>
      <c r="G404" s="18"/>
      <c r="H404" s="18"/>
      <c r="J404" s="40"/>
      <c r="K404" s="40"/>
      <c r="L404" s="40"/>
      <c r="M404" s="38"/>
      <c r="O404" s="12">
        <f t="shared" si="77"/>
        <v>32.583333333333336</v>
      </c>
      <c r="P404" s="13">
        <v>391</v>
      </c>
      <c r="Q404" s="21">
        <v>2.7141544131427553E-2</v>
      </c>
      <c r="R404" s="18">
        <f t="shared" si="78"/>
        <v>2.2915376144580835E-2</v>
      </c>
      <c r="S404" s="21">
        <v>3.0497980868463115E-2</v>
      </c>
      <c r="T404" s="18">
        <f t="shared" si="79"/>
        <v>3.9149254337483619E-2</v>
      </c>
      <c r="U404" s="23">
        <v>3.407266432474354E-2</v>
      </c>
      <c r="V404" s="23">
        <f t="shared" si="80"/>
        <v>3.9854408912427308E-2</v>
      </c>
      <c r="W404" s="22">
        <f t="shared" si="83"/>
        <v>3.2593221210284185E-3</v>
      </c>
      <c r="X404" s="23">
        <v>3.3357259617417645E-2</v>
      </c>
      <c r="Y404" s="23">
        <f t="shared" si="84"/>
        <v>3.9707289843530225E-2</v>
      </c>
      <c r="Z404" s="22">
        <f t="shared" si="85"/>
        <v>3.2473260481027388E-3</v>
      </c>
      <c r="AA404" s="33"/>
      <c r="AB404" s="50">
        <f t="shared" si="81"/>
        <v>391</v>
      </c>
      <c r="AC404" s="48">
        <f t="shared" si="76"/>
        <v>0.41787483163699729</v>
      </c>
      <c r="AE404" s="48">
        <f t="shared" si="82"/>
        <v>0.99811391891930101</v>
      </c>
      <c r="AF404" s="48">
        <f t="shared" si="86"/>
        <v>0.4178748316369974</v>
      </c>
      <c r="AH404" s="48">
        <f t="shared" si="87"/>
        <v>0</v>
      </c>
    </row>
    <row r="405" spans="4:34" ht="13.9" customHeight="1">
      <c r="D405" s="8"/>
      <c r="E405" s="9"/>
      <c r="F405" s="18"/>
      <c r="G405" s="18"/>
      <c r="H405" s="18"/>
      <c r="J405" s="40"/>
      <c r="K405" s="40"/>
      <c r="L405" s="40"/>
      <c r="M405" s="38"/>
      <c r="O405" s="12">
        <f t="shared" si="77"/>
        <v>32.666666666666664</v>
      </c>
      <c r="P405" s="13">
        <v>392</v>
      </c>
      <c r="Q405" s="21">
        <v>2.7130740907166828E-2</v>
      </c>
      <c r="R405" s="18">
        <f t="shared" si="78"/>
        <v>2.2917933305804494E-2</v>
      </c>
      <c r="S405" s="21">
        <v>3.0519958553599569E-2</v>
      </c>
      <c r="T405" s="18">
        <f t="shared" si="79"/>
        <v>3.9192611076385386E-2</v>
      </c>
      <c r="U405" s="23">
        <v>3.408737269729456E-2</v>
      </c>
      <c r="V405" s="23">
        <f t="shared" si="80"/>
        <v>3.9887783051995473E-2</v>
      </c>
      <c r="W405" s="22">
        <f t="shared" si="83"/>
        <v>3.2620348873391158E-3</v>
      </c>
      <c r="X405" s="23">
        <v>3.337340923128429E-2</v>
      </c>
      <c r="Y405" s="23">
        <f t="shared" si="84"/>
        <v>3.974270592746687E-2</v>
      </c>
      <c r="Z405" s="22">
        <f t="shared" si="85"/>
        <v>3.2502056232999177E-3</v>
      </c>
      <c r="AA405" s="33"/>
      <c r="AB405" s="50">
        <f t="shared" si="81"/>
        <v>392</v>
      </c>
      <c r="AC405" s="48">
        <f t="shared" si="76"/>
        <v>0.41708660175820544</v>
      </c>
      <c r="AE405" s="48">
        <f t="shared" si="82"/>
        <v>0.99811371774724023</v>
      </c>
      <c r="AF405" s="48">
        <f t="shared" si="86"/>
        <v>0.41708660175820556</v>
      </c>
      <c r="AH405" s="48">
        <f t="shared" si="87"/>
        <v>0</v>
      </c>
    </row>
    <row r="406" spans="4:34" ht="13.9" customHeight="1">
      <c r="D406" s="8"/>
      <c r="E406" s="9"/>
      <c r="F406" s="18"/>
      <c r="G406" s="18"/>
      <c r="H406" s="18"/>
      <c r="J406" s="40"/>
      <c r="K406" s="40"/>
      <c r="L406" s="40"/>
      <c r="M406" s="38"/>
      <c r="O406" s="12">
        <f t="shared" si="77"/>
        <v>32.75</v>
      </c>
      <c r="P406" s="13">
        <v>393</v>
      </c>
      <c r="Q406" s="21">
        <v>2.7119999307415377E-2</v>
      </c>
      <c r="R406" s="18">
        <f t="shared" si="78"/>
        <v>2.292057359214672E-2</v>
      </c>
      <c r="S406" s="21">
        <v>3.054193426455809E-2</v>
      </c>
      <c r="T406" s="18">
        <f t="shared" si="79"/>
        <v>3.9235467543594638E-2</v>
      </c>
      <c r="U406" s="23">
        <v>3.4102090876033664E-2</v>
      </c>
      <c r="V406" s="23">
        <f t="shared" si="80"/>
        <v>3.9920795444072787E-2</v>
      </c>
      <c r="W406" s="22">
        <f t="shared" si="83"/>
        <v>3.2647181567753147E-3</v>
      </c>
      <c r="X406" s="23">
        <v>3.3389566477428412E-2</v>
      </c>
      <c r="Y406" s="23">
        <f t="shared" si="84"/>
        <v>3.9777732587711112E-2</v>
      </c>
      <c r="Z406" s="22">
        <f t="shared" si="85"/>
        <v>3.253053431133468E-3</v>
      </c>
      <c r="AA406" s="33"/>
      <c r="AB406" s="50">
        <f t="shared" si="81"/>
        <v>393</v>
      </c>
      <c r="AC406" s="48">
        <f t="shared" si="76"/>
        <v>0.41629977197874007</v>
      </c>
      <c r="AE406" s="48">
        <f t="shared" si="82"/>
        <v>0.99811350981750835</v>
      </c>
      <c r="AF406" s="48">
        <f t="shared" si="86"/>
        <v>0.41629977197873991</v>
      </c>
      <c r="AH406" s="48">
        <f t="shared" si="87"/>
        <v>0</v>
      </c>
    </row>
    <row r="407" spans="4:34" ht="13.9" customHeight="1">
      <c r="D407" s="8"/>
      <c r="E407" s="9"/>
      <c r="F407" s="18"/>
      <c r="G407" s="18"/>
      <c r="H407" s="18"/>
      <c r="J407" s="40"/>
      <c r="K407" s="40"/>
      <c r="L407" s="40"/>
      <c r="M407" s="38"/>
      <c r="O407" s="12">
        <f t="shared" si="77"/>
        <v>32.833333333333336</v>
      </c>
      <c r="P407" s="13">
        <v>394</v>
      </c>
      <c r="Q407" s="21">
        <v>2.7109319073715277E-2</v>
      </c>
      <c r="R407" s="18">
        <f t="shared" si="78"/>
        <v>2.2923297020802424E-2</v>
      </c>
      <c r="S407" s="21">
        <v>3.0563906756110537E-2</v>
      </c>
      <c r="T407" s="18">
        <f t="shared" si="79"/>
        <v>3.9277829782384588E-2</v>
      </c>
      <c r="U407" s="23">
        <v>3.4116817872579475E-2</v>
      </c>
      <c r="V407" s="23">
        <f t="shared" si="80"/>
        <v>3.9953450170952864E-2</v>
      </c>
      <c r="W407" s="22">
        <f t="shared" si="83"/>
        <v>3.2673722641762826E-3</v>
      </c>
      <c r="X407" s="23">
        <v>3.3405730314636228E-2</v>
      </c>
      <c r="Y407" s="23">
        <f t="shared" si="84"/>
        <v>3.9812374287834906E-2</v>
      </c>
      <c r="Z407" s="22">
        <f t="shared" si="85"/>
        <v>3.2558698379452355E-3</v>
      </c>
      <c r="AA407" s="33"/>
      <c r="AB407" s="50">
        <f t="shared" si="81"/>
        <v>394</v>
      </c>
      <c r="AC407" s="48">
        <f t="shared" si="76"/>
        <v>0.41551433717124975</v>
      </c>
      <c r="AE407" s="48">
        <f t="shared" si="82"/>
        <v>0.99811329512923785</v>
      </c>
      <c r="AF407" s="48">
        <f t="shared" si="86"/>
        <v>0.41551433717125047</v>
      </c>
      <c r="AH407" s="48">
        <f t="shared" si="87"/>
        <v>7.2164496600635175E-16</v>
      </c>
    </row>
    <row r="408" spans="4:34" ht="13.9" customHeight="1">
      <c r="D408" s="8"/>
      <c r="E408" s="9"/>
      <c r="F408" s="18"/>
      <c r="G408" s="18"/>
      <c r="H408" s="18"/>
      <c r="J408" s="40"/>
      <c r="K408" s="40"/>
      <c r="L408" s="40"/>
      <c r="M408" s="38"/>
      <c r="O408" s="12">
        <f t="shared" si="77"/>
        <v>32.916666666666664</v>
      </c>
      <c r="P408" s="13">
        <v>395</v>
      </c>
      <c r="Q408" s="21">
        <v>2.7098699950269811E-2</v>
      </c>
      <c r="R408" s="18">
        <f t="shared" si="78"/>
        <v>2.292610361528169E-2</v>
      </c>
      <c r="S408" s="21">
        <v>3.0585874810858726E-2</v>
      </c>
      <c r="T408" s="18">
        <f t="shared" si="79"/>
        <v>3.9319703756663937E-2</v>
      </c>
      <c r="U408" s="23">
        <v>3.4131552718871472E-2</v>
      </c>
      <c r="V408" s="23">
        <f t="shared" si="80"/>
        <v>3.9985751265953384E-2</v>
      </c>
      <c r="W408" s="22">
        <f t="shared" si="83"/>
        <v>3.2699975402770143E-3</v>
      </c>
      <c r="X408" s="23">
        <v>3.3421899723506732E-2</v>
      </c>
      <c r="Y408" s="23">
        <f t="shared" si="84"/>
        <v>3.9846635436312283E-2</v>
      </c>
      <c r="Z408" s="22">
        <f t="shared" si="85"/>
        <v>3.2586552055298146E-3</v>
      </c>
      <c r="AA408" s="33"/>
      <c r="AB408" s="50">
        <f t="shared" si="81"/>
        <v>395</v>
      </c>
      <c r="AC408" s="48">
        <f t="shared" si="76"/>
        <v>0.41473029223255614</v>
      </c>
      <c r="AE408" s="48">
        <f t="shared" si="82"/>
        <v>0.99811307368108737</v>
      </c>
      <c r="AF408" s="48">
        <f t="shared" si="86"/>
        <v>0.41473029223255647</v>
      </c>
      <c r="AH408" s="48">
        <f t="shared" si="87"/>
        <v>0</v>
      </c>
    </row>
    <row r="409" spans="4:34" ht="13.9" customHeight="1">
      <c r="D409" s="8"/>
      <c r="E409" s="9"/>
      <c r="F409" s="18"/>
      <c r="G409" s="18"/>
      <c r="H409" s="18"/>
      <c r="J409" s="40"/>
      <c r="K409" s="40"/>
      <c r="L409" s="40"/>
      <c r="M409" s="38"/>
      <c r="O409" s="12">
        <f t="shared" si="77"/>
        <v>33</v>
      </c>
      <c r="P409" s="13">
        <v>396</v>
      </c>
      <c r="Q409" s="21">
        <v>2.708814168392637E-2</v>
      </c>
      <c r="R409" s="18">
        <f t="shared" si="78"/>
        <v>2.2928992686218397E-2</v>
      </c>
      <c r="S409" s="21">
        <v>3.0607837238681102E-2</v>
      </c>
      <c r="T409" s="18">
        <f t="shared" si="79"/>
        <v>3.936109535323884E-2</v>
      </c>
      <c r="U409" s="23">
        <v>3.4146294466789184E-2</v>
      </c>
      <c r="V409" s="23">
        <f t="shared" si="80"/>
        <v>4.0017702713124326E-2</v>
      </c>
      <c r="W409" s="22">
        <f t="shared" si="83"/>
        <v>3.2725943118092626E-3</v>
      </c>
      <c r="X409" s="23">
        <v>3.3438073706035798E-2</v>
      </c>
      <c r="Y409" s="23">
        <f t="shared" si="84"/>
        <v>3.988052038750034E-2</v>
      </c>
      <c r="Z409" s="22">
        <f t="shared" si="85"/>
        <v>3.2614098911760703E-3</v>
      </c>
      <c r="AA409" s="33"/>
      <c r="AB409" s="50">
        <f t="shared" si="81"/>
        <v>396</v>
      </c>
      <c r="AC409" s="48">
        <f t="shared" si="76"/>
        <v>0.41394763208334079</v>
      </c>
      <c r="AE409" s="48">
        <f t="shared" si="82"/>
        <v>0.99811284547120371</v>
      </c>
      <c r="AF409" s="48">
        <f t="shared" si="86"/>
        <v>0.41394763208334079</v>
      </c>
      <c r="AH409" s="48">
        <f t="shared" si="87"/>
        <v>0</v>
      </c>
    </row>
    <row r="410" spans="4:34" ht="13.9" customHeight="1">
      <c r="D410" s="8"/>
      <c r="E410" s="9"/>
      <c r="F410" s="18"/>
      <c r="G410" s="18"/>
      <c r="H410" s="18"/>
      <c r="J410" s="40"/>
      <c r="K410" s="40"/>
      <c r="L410" s="40"/>
      <c r="M410" s="38"/>
      <c r="O410" s="12">
        <f t="shared" si="77"/>
        <v>33.083333333333336</v>
      </c>
      <c r="P410" s="13">
        <v>397</v>
      </c>
      <c r="Q410" s="21">
        <v>2.7077644022339697E-2</v>
      </c>
      <c r="R410" s="18">
        <f t="shared" si="78"/>
        <v>2.2931961396001732E-2</v>
      </c>
      <c r="S410" s="21">
        <v>3.0629792876194939E-2</v>
      </c>
      <c r="T410" s="18">
        <f t="shared" si="79"/>
        <v>3.9402010381149655E-2</v>
      </c>
      <c r="U410" s="23">
        <v>3.4161042187776047E-2</v>
      </c>
      <c r="V410" s="23">
        <f t="shared" si="80"/>
        <v>4.0049308448638188E-2</v>
      </c>
      <c r="W410" s="22">
        <f t="shared" si="83"/>
        <v>3.2751629014808881E-3</v>
      </c>
      <c r="X410" s="23">
        <v>3.3454251285210068E-2</v>
      </c>
      <c r="Y410" s="23">
        <f t="shared" si="84"/>
        <v>3.9914033441942998E-2</v>
      </c>
      <c r="Z410" s="22">
        <f t="shared" si="85"/>
        <v>3.2641342477475188E-3</v>
      </c>
      <c r="AA410" s="33"/>
      <c r="AB410" s="50">
        <f t="shared" si="81"/>
        <v>397</v>
      </c>
      <c r="AC410" s="48">
        <f t="shared" si="76"/>
        <v>0.41316635169205407</v>
      </c>
      <c r="AE410" s="48">
        <f t="shared" si="82"/>
        <v>0.99811261055570066</v>
      </c>
      <c r="AF410" s="48">
        <f t="shared" si="86"/>
        <v>0.41316635169205401</v>
      </c>
      <c r="AH410" s="48">
        <f t="shared" si="87"/>
        <v>0</v>
      </c>
    </row>
    <row r="411" spans="4:34" ht="13.9" customHeight="1">
      <c r="D411" s="8"/>
      <c r="E411" s="9"/>
      <c r="F411" s="18"/>
      <c r="G411" s="18"/>
      <c r="H411" s="18"/>
      <c r="J411" s="40"/>
      <c r="K411" s="40"/>
      <c r="L411" s="40"/>
      <c r="M411" s="38"/>
      <c r="O411" s="12">
        <f t="shared" si="77"/>
        <v>33.166666666666664</v>
      </c>
      <c r="P411" s="13">
        <v>398</v>
      </c>
      <c r="Q411" s="21">
        <v>2.7067206708542679E-2</v>
      </c>
      <c r="R411" s="18">
        <f t="shared" si="78"/>
        <v>2.2935009071505696E-2</v>
      </c>
      <c r="S411" s="21">
        <v>3.0651740586223442E-2</v>
      </c>
      <c r="T411" s="18">
        <f t="shared" si="79"/>
        <v>3.9442454574347696E-2</v>
      </c>
      <c r="U411" s="23">
        <v>3.4175794972472806E-2</v>
      </c>
      <c r="V411" s="23">
        <f t="shared" si="80"/>
        <v>4.0080572360725819E-2</v>
      </c>
      <c r="W411" s="22">
        <f t="shared" si="83"/>
        <v>3.2777036280879912E-3</v>
      </c>
      <c r="X411" s="23">
        <v>3.3470431504606601E-2</v>
      </c>
      <c r="Y411" s="23">
        <f t="shared" si="84"/>
        <v>3.9947178847473452E-2</v>
      </c>
      <c r="Z411" s="22">
        <f t="shared" si="85"/>
        <v>3.2668286237089728E-3</v>
      </c>
      <c r="AA411" s="33"/>
      <c r="AB411" s="50">
        <f t="shared" si="81"/>
        <v>398</v>
      </c>
      <c r="AC411" s="48">
        <f t="shared" si="76"/>
        <v>0.41238644614676873</v>
      </c>
      <c r="AE411" s="48">
        <f t="shared" si="82"/>
        <v>0.99811236916537005</v>
      </c>
      <c r="AF411" s="48">
        <f t="shared" si="86"/>
        <v>0.4123864461467685</v>
      </c>
      <c r="AH411" s="48">
        <f t="shared" si="87"/>
        <v>0</v>
      </c>
    </row>
    <row r="412" spans="4:34" ht="13.9" customHeight="1">
      <c r="D412" s="8"/>
      <c r="E412" s="9"/>
      <c r="F412" s="18"/>
      <c r="G412" s="18"/>
      <c r="H412" s="18"/>
      <c r="J412" s="40"/>
      <c r="K412" s="40"/>
      <c r="L412" s="40"/>
      <c r="M412" s="38"/>
      <c r="O412" s="12">
        <f t="shared" si="77"/>
        <v>33.25</v>
      </c>
      <c r="P412" s="13">
        <v>399</v>
      </c>
      <c r="Q412" s="21">
        <v>2.7056829486451051E-2</v>
      </c>
      <c r="R412" s="18">
        <f t="shared" si="78"/>
        <v>2.2938135764638545E-2</v>
      </c>
      <c r="S412" s="21">
        <v>3.0673679257279263E-2</v>
      </c>
      <c r="T412" s="18">
        <f t="shared" si="79"/>
        <v>3.9482433592527899E-2</v>
      </c>
      <c r="U412" s="23">
        <v>3.4190551930355584E-2</v>
      </c>
      <c r="V412" s="23">
        <f t="shared" si="80"/>
        <v>4.0111498291536485E-2</v>
      </c>
      <c r="W412" s="22">
        <f t="shared" si="83"/>
        <v>3.2802168065120263E-3</v>
      </c>
      <c r="X412" s="23">
        <v>3.3486613428002521E-2</v>
      </c>
      <c r="Y412" s="23">
        <f t="shared" si="84"/>
        <v>3.9979960800032854E-2</v>
      </c>
      <c r="Z412" s="22">
        <f t="shared" si="85"/>
        <v>3.2694933632164691E-3</v>
      </c>
      <c r="AA412" s="33"/>
      <c r="AB412" s="50">
        <f t="shared" si="81"/>
        <v>399</v>
      </c>
      <c r="AC412" s="48">
        <f t="shared" si="76"/>
        <v>0.41160791058160273</v>
      </c>
      <c r="AE412" s="48">
        <f t="shared" si="82"/>
        <v>0.99811212135500538</v>
      </c>
      <c r="AF412" s="48">
        <f t="shared" si="86"/>
        <v>0.41160791058160279</v>
      </c>
      <c r="AH412" s="48">
        <f t="shared" si="87"/>
        <v>0</v>
      </c>
    </row>
    <row r="413" spans="4:34" ht="13.9" customHeight="1">
      <c r="D413" s="8"/>
      <c r="E413" s="9"/>
      <c r="F413" s="18"/>
      <c r="G413" s="18"/>
      <c r="H413" s="18"/>
      <c r="J413" s="40"/>
      <c r="K413" s="40"/>
      <c r="L413" s="40"/>
      <c r="M413" s="38"/>
      <c r="O413" s="12">
        <f t="shared" si="77"/>
        <v>33.333333333333336</v>
      </c>
      <c r="P413" s="13">
        <v>400</v>
      </c>
      <c r="Q413" s="21">
        <v>2.7046512102672393E-2</v>
      </c>
      <c r="R413" s="18">
        <f t="shared" si="78"/>
        <v>2.294134153302374E-2</v>
      </c>
      <c r="S413" s="21">
        <v>3.0695607803056468E-2</v>
      </c>
      <c r="T413" s="18">
        <f t="shared" si="79"/>
        <v>3.952195302141126E-2</v>
      </c>
      <c r="U413" s="23">
        <v>3.4205312189385051E-2</v>
      </c>
      <c r="V413" s="23">
        <f t="shared" si="80"/>
        <v>4.0142090036270117E-2</v>
      </c>
      <c r="W413" s="22">
        <f t="shared" si="83"/>
        <v>3.2827027478703474E-3</v>
      </c>
      <c r="X413" s="23">
        <v>3.3502796138991986E-2</v>
      </c>
      <c r="Y413" s="23">
        <f t="shared" si="84"/>
        <v>4.0012383444135269E-2</v>
      </c>
      <c r="Z413" s="22">
        <f t="shared" si="85"/>
        <v>3.272128806185437E-3</v>
      </c>
      <c r="AA413" s="33"/>
      <c r="AB413" s="50">
        <f t="shared" si="81"/>
        <v>400</v>
      </c>
      <c r="AC413" s="48">
        <f t="shared" si="76"/>
        <v>0.41083074015214938</v>
      </c>
      <c r="AE413" s="48">
        <f t="shared" si="82"/>
        <v>0.9981118671204483</v>
      </c>
      <c r="AF413" s="48">
        <f t="shared" si="86"/>
        <v>0.4108307401521501</v>
      </c>
      <c r="AH413" s="48">
        <f t="shared" si="87"/>
        <v>7.2164496600635175E-16</v>
      </c>
    </row>
    <row r="414" spans="4:34" ht="13.9" customHeight="1">
      <c r="D414" s="8"/>
      <c r="E414" s="9"/>
      <c r="F414" s="18"/>
      <c r="G414" s="18"/>
      <c r="H414" s="18"/>
      <c r="J414" s="40"/>
      <c r="K414" s="40"/>
      <c r="L414" s="40"/>
      <c r="M414" s="38"/>
      <c r="O414" s="12">
        <f t="shared" si="77"/>
        <v>33.416666666666664</v>
      </c>
      <c r="P414" s="13">
        <v>401</v>
      </c>
      <c r="Q414" s="21">
        <v>2.7036254306486596E-2</v>
      </c>
      <c r="R414" s="18">
        <f t="shared" si="78"/>
        <v>2.2944626439575622E-2</v>
      </c>
      <c r="S414" s="21">
        <v>3.0717525161932047E-2</v>
      </c>
      <c r="T414" s="18">
        <f t="shared" si="79"/>
        <v>3.9561018374703938E-2</v>
      </c>
      <c r="U414" s="23">
        <v>3.4220074895657593E-2</v>
      </c>
      <c r="V414" s="23">
        <f t="shared" si="80"/>
        <v>4.0172351344780699E-2</v>
      </c>
      <c r="W414" s="22">
        <f t="shared" si="83"/>
        <v>3.285161759448485E-3</v>
      </c>
      <c r="X414" s="23">
        <v>3.3518978740609828E-2</v>
      </c>
      <c r="Y414" s="23">
        <f t="shared" si="84"/>
        <v>4.0044450873264026E-2</v>
      </c>
      <c r="Z414" s="22">
        <f t="shared" si="85"/>
        <v>3.2747352883291114E-3</v>
      </c>
      <c r="AA414" s="33"/>
      <c r="AB414" s="50">
        <f t="shared" si="81"/>
        <v>401</v>
      </c>
      <c r="AC414" s="48">
        <f t="shared" si="76"/>
        <v>0.41005493003521293</v>
      </c>
      <c r="AE414" s="48">
        <f t="shared" si="82"/>
        <v>0.99811160645707686</v>
      </c>
      <c r="AF414" s="48">
        <f t="shared" si="86"/>
        <v>0.41005493003521243</v>
      </c>
      <c r="AH414" s="48">
        <f t="shared" si="87"/>
        <v>-4.9960036108132044E-16</v>
      </c>
    </row>
    <row r="415" spans="4:34" ht="13.9" customHeight="1">
      <c r="D415" s="8"/>
      <c r="E415" s="9"/>
      <c r="F415" s="18"/>
      <c r="G415" s="18"/>
      <c r="H415" s="18"/>
      <c r="J415" s="40"/>
      <c r="K415" s="40"/>
      <c r="L415" s="40"/>
      <c r="M415" s="38"/>
      <c r="O415" s="12">
        <f t="shared" si="77"/>
        <v>33.5</v>
      </c>
      <c r="P415" s="13">
        <v>402</v>
      </c>
      <c r="Q415" s="21">
        <v>2.7026055849826314E-2</v>
      </c>
      <c r="R415" s="18">
        <f t="shared" si="78"/>
        <v>2.2947989845675476E-2</v>
      </c>
      <c r="S415" s="21">
        <v>3.073943029647852E-2</v>
      </c>
      <c r="T415" s="18">
        <f t="shared" si="79"/>
        <v>3.959963509470521E-2</v>
      </c>
      <c r="U415" s="23">
        <v>3.4234839213067136E-2</v>
      </c>
      <c r="V415" s="23">
        <f t="shared" si="80"/>
        <v>4.0202285922154912E-2</v>
      </c>
      <c r="W415" s="22">
        <f t="shared" si="83"/>
        <v>3.2875941448293755E-3</v>
      </c>
      <c r="X415" s="23">
        <v>3.3535160354962734E-2</v>
      </c>
      <c r="Y415" s="23">
        <f t="shared" si="84"/>
        <v>4.0076167131645635E-2</v>
      </c>
      <c r="Z415" s="22">
        <f t="shared" si="85"/>
        <v>3.2773131411931722E-3</v>
      </c>
      <c r="AA415" s="33"/>
      <c r="AB415" s="50">
        <f t="shared" si="81"/>
        <v>402</v>
      </c>
      <c r="AC415" s="48">
        <f t="shared" si="76"/>
        <v>0.40928047542855261</v>
      </c>
      <c r="AE415" s="48">
        <f t="shared" si="82"/>
        <v>0.99811133935984142</v>
      </c>
      <c r="AF415" s="48">
        <f t="shared" si="86"/>
        <v>0.40928047542855195</v>
      </c>
      <c r="AH415" s="48">
        <f t="shared" si="87"/>
        <v>-6.6613381477509392E-16</v>
      </c>
    </row>
    <row r="416" spans="4:34" ht="13.9" customHeight="1">
      <c r="D416" s="8"/>
      <c r="E416" s="9"/>
      <c r="F416" s="18"/>
      <c r="G416" s="18"/>
      <c r="H416" s="18"/>
      <c r="J416" s="40"/>
      <c r="K416" s="40"/>
      <c r="L416" s="40"/>
      <c r="M416" s="38"/>
      <c r="O416" s="12">
        <f t="shared" si="77"/>
        <v>33.583333333333336</v>
      </c>
      <c r="P416" s="13">
        <v>403</v>
      </c>
      <c r="Q416" s="21">
        <v>2.7015916485495728E-2</v>
      </c>
      <c r="R416" s="18">
        <f t="shared" si="78"/>
        <v>2.295142899465219E-2</v>
      </c>
      <c r="S416" s="21">
        <v>3.0761322192986995E-2</v>
      </c>
      <c r="T416" s="18">
        <f t="shared" si="79"/>
        <v>3.963780855363086E-2</v>
      </c>
      <c r="U416" s="23">
        <v>3.4249604322971861E-2</v>
      </c>
      <c r="V416" s="23">
        <f t="shared" si="80"/>
        <v>4.0231897428609997E-2</v>
      </c>
      <c r="W416" s="22">
        <f t="shared" si="83"/>
        <v>3.2900002039426557E-3</v>
      </c>
      <c r="X416" s="23">
        <v>3.3551340122869311E-2</v>
      </c>
      <c r="Y416" s="23">
        <f t="shared" si="84"/>
        <v>4.0107536213610517E-2</v>
      </c>
      <c r="Z416" s="22">
        <f t="shared" si="85"/>
        <v>3.2798626922985186E-3</v>
      </c>
      <c r="AA416" s="33"/>
      <c r="AB416" s="50">
        <f t="shared" si="81"/>
        <v>403</v>
      </c>
      <c r="AC416" s="48">
        <f t="shared" si="76"/>
        <v>0.40850737157416578</v>
      </c>
      <c r="AE416" s="48">
        <f t="shared" si="82"/>
        <v>0.99811106588073495</v>
      </c>
      <c r="AF416" s="48">
        <f t="shared" si="86"/>
        <v>0.40850737157416595</v>
      </c>
      <c r="AH416" s="48">
        <f t="shared" si="87"/>
        <v>0</v>
      </c>
    </row>
    <row r="417" spans="4:34" ht="13.9" customHeight="1">
      <c r="D417" s="8"/>
      <c r="E417" s="9"/>
      <c r="F417" s="18"/>
      <c r="G417" s="18"/>
      <c r="H417" s="18"/>
      <c r="J417" s="40"/>
      <c r="K417" s="40"/>
      <c r="L417" s="40"/>
      <c r="M417" s="38"/>
      <c r="O417" s="12">
        <f t="shared" si="77"/>
        <v>33.666666666666664</v>
      </c>
      <c r="P417" s="13">
        <v>404</v>
      </c>
      <c r="Q417" s="21">
        <v>2.7005835961896318E-2</v>
      </c>
      <c r="R417" s="18">
        <f t="shared" si="78"/>
        <v>2.2954943263069127E-2</v>
      </c>
      <c r="S417" s="21">
        <v>3.0783199860999089E-2</v>
      </c>
      <c r="T417" s="18">
        <f t="shared" si="79"/>
        <v>3.9675544054413647E-2</v>
      </c>
      <c r="U417" s="23">
        <v>3.4264369423867125E-2</v>
      </c>
      <c r="V417" s="23">
        <f t="shared" si="80"/>
        <v>4.0261189481086701E-2</v>
      </c>
      <c r="W417" s="22">
        <f t="shared" si="83"/>
        <v>3.2923802330566687E-3</v>
      </c>
      <c r="X417" s="23">
        <v>3.3567517203504593E-2</v>
      </c>
      <c r="Y417" s="23">
        <f t="shared" si="84"/>
        <v>4.0138562065147543E-2</v>
      </c>
      <c r="Z417" s="22">
        <f t="shared" si="85"/>
        <v>3.2823842650926416E-3</v>
      </c>
      <c r="AA417" s="33"/>
      <c r="AB417" s="50">
        <f t="shared" si="81"/>
        <v>404</v>
      </c>
      <c r="AC417" s="48">
        <f t="shared" si="76"/>
        <v>0.40773561382834855</v>
      </c>
      <c r="AE417" s="48">
        <f t="shared" si="82"/>
        <v>0.99811078624396998</v>
      </c>
      <c r="AF417" s="48">
        <f t="shared" si="86"/>
        <v>0.40773561382834839</v>
      </c>
      <c r="AH417" s="48">
        <f t="shared" si="87"/>
        <v>0</v>
      </c>
    </row>
    <row r="418" spans="4:34" ht="13.9" customHeight="1">
      <c r="D418" s="8"/>
      <c r="E418" s="9"/>
      <c r="F418" s="18"/>
      <c r="G418" s="18"/>
      <c r="H418" s="18"/>
      <c r="J418" s="40"/>
      <c r="K418" s="40"/>
      <c r="L418" s="40"/>
      <c r="M418" s="38"/>
      <c r="O418" s="12">
        <f t="shared" si="77"/>
        <v>33.75</v>
      </c>
      <c r="P418" s="13">
        <v>405</v>
      </c>
      <c r="Q418" s="21">
        <v>2.6995814028370146E-2</v>
      </c>
      <c r="R418" s="18">
        <f t="shared" si="78"/>
        <v>2.295853274162396E-2</v>
      </c>
      <c r="S418" s="21">
        <v>3.0805062332848632E-2</v>
      </c>
      <c r="T418" s="18">
        <f t="shared" si="79"/>
        <v>3.9712846831279958E-2</v>
      </c>
      <c r="U418" s="23">
        <v>3.4279133731065947E-2</v>
      </c>
      <c r="V418" s="23">
        <f t="shared" si="80"/>
        <v>4.0290165652676402E-2</v>
      </c>
      <c r="W418" s="22">
        <f t="shared" si="83"/>
        <v>3.2947345249085824E-3</v>
      </c>
      <c r="X418" s="23">
        <v>3.3583690774054098E-2</v>
      </c>
      <c r="Y418" s="23">
        <f t="shared" si="84"/>
        <v>4.0169248584134509E-2</v>
      </c>
      <c r="Z418" s="22">
        <f t="shared" si="85"/>
        <v>3.2848781790755233E-3</v>
      </c>
      <c r="AA418" s="33"/>
      <c r="AB418" s="50">
        <f t="shared" si="81"/>
        <v>405</v>
      </c>
      <c r="AC418" s="48">
        <f t="shared" si="76"/>
        <v>0.40696519759001165</v>
      </c>
      <c r="AE418" s="48">
        <f t="shared" si="82"/>
        <v>0.99811050050030503</v>
      </c>
      <c r="AF418" s="48">
        <f t="shared" si="86"/>
        <v>0.40696519759001193</v>
      </c>
      <c r="AH418" s="48">
        <f t="shared" si="87"/>
        <v>0</v>
      </c>
    </row>
    <row r="419" spans="4:34" ht="13.9" customHeight="1">
      <c r="D419" s="8"/>
      <c r="E419" s="9"/>
      <c r="F419" s="18"/>
      <c r="G419" s="18"/>
      <c r="H419" s="18"/>
      <c r="J419" s="40"/>
      <c r="K419" s="40"/>
      <c r="L419" s="40"/>
      <c r="M419" s="38"/>
      <c r="O419" s="12">
        <f t="shared" si="77"/>
        <v>33.833333333333336</v>
      </c>
      <c r="P419" s="13">
        <v>406</v>
      </c>
      <c r="Q419" s="21">
        <v>2.6985850436953562E-2</v>
      </c>
      <c r="R419" s="18">
        <f t="shared" si="78"/>
        <v>2.2962197525830952E-2</v>
      </c>
      <c r="S419" s="21">
        <v>3.0826908663211805E-2</v>
      </c>
      <c r="T419" s="18">
        <f t="shared" si="79"/>
        <v>3.9749722051996228E-2</v>
      </c>
      <c r="U419" s="23">
        <v>3.4293896476383701E-2</v>
      </c>
      <c r="V419" s="23">
        <f t="shared" si="80"/>
        <v>4.0318829474562001E-2</v>
      </c>
      <c r="W419" s="22">
        <f t="shared" si="83"/>
        <v>3.2970633686588702E-3</v>
      </c>
      <c r="X419" s="23">
        <v>3.3599860029372097E-2</v>
      </c>
      <c r="Y419" s="23">
        <f t="shared" si="84"/>
        <v>4.0199599621629556E-2</v>
      </c>
      <c r="Z419" s="22">
        <f t="shared" si="85"/>
        <v>3.2873447498200647E-3</v>
      </c>
      <c r="AA419" s="33"/>
      <c r="AB419" s="50">
        <f t="shared" si="81"/>
        <v>406</v>
      </c>
      <c r="AC419" s="48">
        <f t="shared" si="76"/>
        <v>0.40619611827677676</v>
      </c>
      <c r="AE419" s="48">
        <f t="shared" si="82"/>
        <v>0.99811020864243372</v>
      </c>
      <c r="AF419" s="48">
        <f t="shared" si="86"/>
        <v>0.4061961182767761</v>
      </c>
      <c r="AH419" s="48">
        <f t="shared" si="87"/>
        <v>-6.6613381477509392E-16</v>
      </c>
    </row>
    <row r="420" spans="4:34" ht="13.9" customHeight="1">
      <c r="D420" s="8"/>
      <c r="E420" s="9"/>
      <c r="F420" s="18"/>
      <c r="G420" s="18"/>
      <c r="H420" s="18"/>
      <c r="J420" s="40"/>
      <c r="K420" s="40"/>
      <c r="L420" s="40"/>
      <c r="M420" s="38"/>
      <c r="O420" s="12">
        <f t="shared" si="77"/>
        <v>33.916666666666664</v>
      </c>
      <c r="P420" s="13">
        <v>407</v>
      </c>
      <c r="Q420" s="21">
        <v>2.6975944942356556E-2</v>
      </c>
      <c r="R420" s="18">
        <f t="shared" si="78"/>
        <v>2.2965937717546181E-2</v>
      </c>
      <c r="S420" s="21">
        <v>3.0848737928668601E-2</v>
      </c>
      <c r="T420" s="18">
        <f t="shared" si="79"/>
        <v>3.9786174817546094E-2</v>
      </c>
      <c r="U420" s="23">
        <v>3.4308656907832136E-2</v>
      </c>
      <c r="V420" s="23">
        <f t="shared" si="80"/>
        <v>4.0347184435048922E-2</v>
      </c>
      <c r="W420" s="22">
        <f t="shared" si="83"/>
        <v>3.2993670500496286E-3</v>
      </c>
      <c r="X420" s="23">
        <v>3.3616024181649662E-2</v>
      </c>
      <c r="Y420" s="23">
        <f t="shared" si="84"/>
        <v>4.0229618981062032E-2</v>
      </c>
      <c r="Z420" s="22">
        <f t="shared" si="85"/>
        <v>3.2897842890766693E-3</v>
      </c>
      <c r="AA420" s="33"/>
      <c r="AB420" s="50">
        <f t="shared" si="81"/>
        <v>407</v>
      </c>
      <c r="AC420" s="48">
        <f t="shared" si="76"/>
        <v>0.40542837132475279</v>
      </c>
      <c r="AE420" s="48">
        <f t="shared" si="82"/>
        <v>0.99810991066265942</v>
      </c>
      <c r="AF420" s="48">
        <f t="shared" si="86"/>
        <v>0.40542837132475201</v>
      </c>
      <c r="AH420" s="48">
        <f t="shared" si="87"/>
        <v>-7.7715611723760958E-16</v>
      </c>
    </row>
    <row r="421" spans="4:34" ht="13.9" customHeight="1">
      <c r="D421" s="8"/>
      <c r="E421" s="9"/>
      <c r="F421" s="18"/>
      <c r="G421" s="18"/>
      <c r="H421" s="18"/>
      <c r="J421" s="40"/>
      <c r="K421" s="40"/>
      <c r="L421" s="40"/>
      <c r="M421" s="38"/>
      <c r="O421" s="12">
        <f t="shared" si="77"/>
        <v>34</v>
      </c>
      <c r="P421" s="13">
        <v>408</v>
      </c>
      <c r="Q421" s="21">
        <v>2.6966097301944991E-2</v>
      </c>
      <c r="R421" s="18">
        <f t="shared" si="78"/>
        <v>2.2969752725984449E-2</v>
      </c>
      <c r="S421" s="21">
        <v>3.0870549227270727E-2</v>
      </c>
      <c r="T421" s="18">
        <f t="shared" si="79"/>
        <v>3.9822210163594551E-2</v>
      </c>
      <c r="U421" s="23">
        <v>3.4323414289315179E-2</v>
      </c>
      <c r="V421" s="23">
        <f t="shared" si="80"/>
        <v>4.0375233981766234E-2</v>
      </c>
      <c r="W421" s="22">
        <f t="shared" si="83"/>
        <v>3.3016458513268621E-3</v>
      </c>
      <c r="X421" s="23">
        <v>3.3632182460085369E-2</v>
      </c>
      <c r="Y421" s="23">
        <f t="shared" si="84"/>
        <v>4.0259310420858396E-2</v>
      </c>
      <c r="Z421" s="22">
        <f t="shared" si="85"/>
        <v>3.2921971047108478E-3</v>
      </c>
      <c r="AA421" s="33"/>
      <c r="AB421" s="50">
        <f t="shared" si="81"/>
        <v>408</v>
      </c>
      <c r="AC421" s="48">
        <f t="shared" si="76"/>
        <v>0.40466195218827933</v>
      </c>
      <c r="AE421" s="48">
        <f t="shared" si="82"/>
        <v>0.99810960655277192</v>
      </c>
      <c r="AF421" s="48">
        <f t="shared" si="86"/>
        <v>0.40466195218827933</v>
      </c>
      <c r="AH421" s="48">
        <f t="shared" si="87"/>
        <v>0</v>
      </c>
    </row>
    <row r="422" spans="4:34" ht="13.9" customHeight="1">
      <c r="D422" s="8"/>
      <c r="E422" s="9"/>
      <c r="F422" s="18"/>
      <c r="G422" s="18"/>
      <c r="H422" s="18"/>
      <c r="J422" s="40"/>
      <c r="K422" s="40"/>
      <c r="L422" s="40"/>
      <c r="M422" s="38"/>
      <c r="O422" s="12">
        <f t="shared" si="77"/>
        <v>34.083333333333336</v>
      </c>
      <c r="P422" s="13">
        <v>409</v>
      </c>
      <c r="Q422" s="21">
        <v>2.6956307274007996E-2</v>
      </c>
      <c r="R422" s="18">
        <f t="shared" si="78"/>
        <v>2.2973639873115292E-2</v>
      </c>
      <c r="S422" s="21">
        <v>3.0892341678119495E-2</v>
      </c>
      <c r="T422" s="18">
        <f t="shared" si="79"/>
        <v>3.9857833061591297E-2</v>
      </c>
      <c r="U422" s="23">
        <v>3.4338167900334726E-2</v>
      </c>
      <c r="V422" s="23">
        <f t="shared" si="80"/>
        <v>4.0402981520639258E-2</v>
      </c>
      <c r="W422" s="22">
        <f t="shared" si="83"/>
        <v>3.3039000514187844E-3</v>
      </c>
      <c r="X422" s="23">
        <v>3.3648334110566003E-2</v>
      </c>
      <c r="Y422" s="23">
        <f t="shared" si="84"/>
        <v>4.0288677653419258E-2</v>
      </c>
      <c r="Z422" s="22">
        <f t="shared" si="85"/>
        <v>3.2945835009146052E-3</v>
      </c>
      <c r="AA422" s="33"/>
      <c r="AB422" s="50">
        <f t="shared" si="81"/>
        <v>409</v>
      </c>
      <c r="AC422" s="48">
        <f t="shared" si="76"/>
        <v>0.40389685636266431</v>
      </c>
      <c r="AE422" s="48">
        <f t="shared" si="82"/>
        <v>0.99810929636087964</v>
      </c>
      <c r="AF422" s="48">
        <f t="shared" si="86"/>
        <v>0.40389685636266343</v>
      </c>
      <c r="AH422" s="48">
        <f t="shared" si="87"/>
        <v>-8.8817841970012523E-16</v>
      </c>
    </row>
    <row r="423" spans="4:34" ht="13.9" customHeight="1">
      <c r="D423" s="8"/>
      <c r="E423" s="9"/>
      <c r="F423" s="18"/>
      <c r="G423" s="18"/>
      <c r="H423" s="18"/>
      <c r="J423" s="40"/>
      <c r="K423" s="40"/>
      <c r="L423" s="40"/>
      <c r="M423" s="38"/>
      <c r="O423" s="12">
        <f t="shared" si="77"/>
        <v>34.166666666666664</v>
      </c>
      <c r="P423" s="13">
        <v>410</v>
      </c>
      <c r="Q423" s="21">
        <v>2.694657461263672E-2</v>
      </c>
      <c r="R423" s="18">
        <f t="shared" si="78"/>
        <v>2.2977598583999059E-2</v>
      </c>
      <c r="S423" s="21">
        <v>3.0914114420951933E-2</v>
      </c>
      <c r="T423" s="18">
        <f t="shared" si="79"/>
        <v>3.9893048419523458E-2</v>
      </c>
      <c r="U423" s="23">
        <v>3.4352917035698427E-2</v>
      </c>
      <c r="V423" s="23">
        <f t="shared" si="80"/>
        <v>4.0430430417631724E-2</v>
      </c>
      <c r="W423" s="22">
        <f t="shared" si="83"/>
        <v>3.3061299258554389E-3</v>
      </c>
      <c r="X423" s="23">
        <v>3.3664478395351694E-2</v>
      </c>
      <c r="Y423" s="23">
        <f t="shared" si="84"/>
        <v>4.0317724346344841E-2</v>
      </c>
      <c r="Z423" s="22">
        <f t="shared" si="85"/>
        <v>3.2969437781260602E-3</v>
      </c>
      <c r="AA423" s="33"/>
      <c r="AB423" s="50">
        <f t="shared" si="81"/>
        <v>410</v>
      </c>
      <c r="AC423" s="48">
        <f t="shared" si="76"/>
        <v>0.40313307945245275</v>
      </c>
      <c r="AE423" s="48">
        <f t="shared" si="82"/>
        <v>0.99810898030480111</v>
      </c>
      <c r="AF423" s="48">
        <f t="shared" si="86"/>
        <v>0.40313307945245269</v>
      </c>
      <c r="AH423" s="48">
        <f t="shared" si="87"/>
        <v>0</v>
      </c>
    </row>
    <row r="424" spans="4:34" ht="13.9" customHeight="1">
      <c r="D424" s="8"/>
      <c r="E424" s="9"/>
      <c r="F424" s="18"/>
      <c r="G424" s="18"/>
      <c r="H424" s="18"/>
      <c r="J424" s="40"/>
      <c r="K424" s="40"/>
      <c r="L424" s="40"/>
      <c r="M424" s="38"/>
      <c r="O424" s="12">
        <f t="shared" si="77"/>
        <v>34.25</v>
      </c>
      <c r="P424" s="13">
        <v>411</v>
      </c>
      <c r="Q424" s="21">
        <v>2.6936899072911746E-2</v>
      </c>
      <c r="R424" s="18">
        <f t="shared" si="78"/>
        <v>2.298162898563727E-2</v>
      </c>
      <c r="S424" s="21">
        <v>3.0935866615735774E-2</v>
      </c>
      <c r="T424" s="18">
        <f t="shared" si="79"/>
        <v>3.9927861082416749E-2</v>
      </c>
      <c r="U424" s="23">
        <v>3.4367661005235917E-2</v>
      </c>
      <c r="V424" s="23">
        <f t="shared" si="80"/>
        <v>4.0457583998271485E-2</v>
      </c>
      <c r="W424" s="22">
        <f t="shared" si="83"/>
        <v>3.3083357469085861E-3</v>
      </c>
      <c r="X424" s="23">
        <v>3.3680614592766167E-2</v>
      </c>
      <c r="Y424" s="23">
        <f t="shared" si="84"/>
        <v>4.0346454123545428E-2</v>
      </c>
      <c r="Z424" s="22">
        <f t="shared" si="85"/>
        <v>3.2992782331289217E-3</v>
      </c>
      <c r="AA424" s="33"/>
      <c r="AB424" s="50">
        <f t="shared" si="81"/>
        <v>411</v>
      </c>
      <c r="AC424" s="48">
        <f t="shared" si="76"/>
        <v>0.40237061710158828</v>
      </c>
      <c r="AE424" s="48">
        <f t="shared" si="82"/>
        <v>0.99810865843135554</v>
      </c>
      <c r="AF424" s="48">
        <f t="shared" si="86"/>
        <v>0.40237061710158861</v>
      </c>
      <c r="AH424" s="48">
        <f t="shared" si="87"/>
        <v>0</v>
      </c>
    </row>
    <row r="425" spans="4:34" ht="13.9" customHeight="1">
      <c r="D425" s="8"/>
      <c r="E425" s="9"/>
      <c r="F425" s="18"/>
      <c r="G425" s="18"/>
      <c r="H425" s="18"/>
      <c r="J425" s="40"/>
      <c r="K425" s="40"/>
      <c r="L425" s="40"/>
      <c r="M425" s="38"/>
      <c r="O425" s="12">
        <f t="shared" si="77"/>
        <v>34.333333333333336</v>
      </c>
      <c r="P425" s="13">
        <v>412</v>
      </c>
      <c r="Q425" s="21">
        <v>2.692728041260195E-2</v>
      </c>
      <c r="R425" s="18">
        <f t="shared" si="78"/>
        <v>2.2985731210686255E-2</v>
      </c>
      <c r="S425" s="21">
        <v>3.0957597442270668E-2</v>
      </c>
      <c r="T425" s="18">
        <f t="shared" si="79"/>
        <v>3.9962275834134475E-2</v>
      </c>
      <c r="U425" s="23">
        <v>3.4382399133518371E-2</v>
      </c>
      <c r="V425" s="23">
        <f t="shared" si="80"/>
        <v>4.0484445549495485E-2</v>
      </c>
      <c r="W425" s="22">
        <f t="shared" si="83"/>
        <v>3.310517783555067E-3</v>
      </c>
      <c r="X425" s="23">
        <v>3.369674199689654E-2</v>
      </c>
      <c r="Y425" s="23">
        <f t="shared" si="84"/>
        <v>4.0374870564417131E-2</v>
      </c>
      <c r="Z425" s="22">
        <f t="shared" si="85"/>
        <v>3.3015871591437485E-3</v>
      </c>
      <c r="AA425" s="33"/>
      <c r="AB425" s="50">
        <f t="shared" si="81"/>
        <v>412</v>
      </c>
      <c r="AC425" s="48">
        <f t="shared" si="76"/>
        <v>0.40160946497018335</v>
      </c>
      <c r="AE425" s="48">
        <f t="shared" si="82"/>
        <v>0.99810833073029026</v>
      </c>
      <c r="AF425" s="48">
        <f t="shared" si="86"/>
        <v>0.40160946497018341</v>
      </c>
      <c r="AH425" s="48">
        <f t="shared" si="87"/>
        <v>0</v>
      </c>
    </row>
    <row r="426" spans="4:34" ht="13.9" customHeight="1">
      <c r="D426" s="8"/>
      <c r="E426" s="9"/>
      <c r="F426" s="18"/>
      <c r="G426" s="18"/>
      <c r="H426" s="18"/>
      <c r="J426" s="40"/>
      <c r="K426" s="40"/>
      <c r="L426" s="40"/>
      <c r="M426" s="38"/>
      <c r="O426" s="12">
        <f t="shared" si="77"/>
        <v>34.416666666666664</v>
      </c>
      <c r="P426" s="13">
        <v>413</v>
      </c>
      <c r="Q426" s="21">
        <v>2.6917718392145629E-2</v>
      </c>
      <c r="R426" s="18">
        <f t="shared" si="78"/>
        <v>2.2989905397319488E-2</v>
      </c>
      <c r="S426" s="21">
        <v>3.0979306099800041E-2</v>
      </c>
      <c r="T426" s="18">
        <f t="shared" si="79"/>
        <v>3.9996297397470126E-2</v>
      </c>
      <c r="U426" s="23">
        <v>3.4397130759585615E-2</v>
      </c>
      <c r="V426" s="23">
        <f t="shared" si="80"/>
        <v>4.0511018318466041E-2</v>
      </c>
      <c r="W426" s="22">
        <f t="shared" si="83"/>
        <v>3.3126763016264604E-3</v>
      </c>
      <c r="X426" s="23">
        <v>3.371285991729378E-2</v>
      </c>
      <c r="Y426" s="23">
        <f t="shared" si="84"/>
        <v>4.0402977206080992E-2</v>
      </c>
      <c r="Z426" s="22">
        <f t="shared" si="85"/>
        <v>3.3038708457622246E-3</v>
      </c>
      <c r="AA426" s="33"/>
      <c r="AB426" s="50">
        <f t="shared" si="81"/>
        <v>413</v>
      </c>
      <c r="AC426" s="48">
        <f t="shared" si="76"/>
        <v>0.40084961873429564</v>
      </c>
      <c r="AE426" s="48">
        <f t="shared" si="82"/>
        <v>0.99810799719089383</v>
      </c>
      <c r="AF426" s="48">
        <f t="shared" si="86"/>
        <v>0.4008496187342962</v>
      </c>
      <c r="AH426" s="48">
        <f t="shared" si="87"/>
        <v>5.5511151231257827E-16</v>
      </c>
    </row>
    <row r="427" spans="4:34" ht="13.9" customHeight="1">
      <c r="D427" s="8"/>
      <c r="E427" s="9"/>
      <c r="F427" s="18"/>
      <c r="G427" s="18"/>
      <c r="H427" s="18"/>
      <c r="J427" s="40"/>
      <c r="K427" s="40"/>
      <c r="L427" s="40"/>
      <c r="M427" s="38"/>
      <c r="O427" s="12">
        <f t="shared" si="77"/>
        <v>34.5</v>
      </c>
      <c r="P427" s="13">
        <v>414</v>
      </c>
      <c r="Q427" s="21">
        <v>2.6908212774631179E-2</v>
      </c>
      <c r="R427" s="18">
        <f t="shared" si="78"/>
        <v>2.2994151001078489E-2</v>
      </c>
      <c r="S427" s="21">
        <v>3.1000991806629186E-2</v>
      </c>
      <c r="T427" s="18">
        <f t="shared" si="79"/>
        <v>4.0029930435229177E-2</v>
      </c>
      <c r="U427" s="23">
        <v>3.4411855236675892E-2</v>
      </c>
      <c r="V427" s="23">
        <f t="shared" si="80"/>
        <v>4.053730551483592E-2</v>
      </c>
      <c r="W427" s="22">
        <f t="shared" si="83"/>
        <v>3.3148115637151587E-3</v>
      </c>
      <c r="X427" s="23">
        <v>3.372896767868383E-2</v>
      </c>
      <c r="Y427" s="23">
        <f t="shared" si="84"/>
        <v>4.0430777542964869E-2</v>
      </c>
      <c r="Z427" s="22">
        <f t="shared" si="85"/>
        <v>3.3061295791290135E-3</v>
      </c>
      <c r="AA427" s="33"/>
      <c r="AB427" s="50">
        <f t="shared" si="81"/>
        <v>414</v>
      </c>
      <c r="AC427" s="48">
        <f t="shared" si="76"/>
        <v>0.40009107408571642</v>
      </c>
      <c r="AE427" s="48">
        <f t="shared" si="82"/>
        <v>0.99810765780200772</v>
      </c>
      <c r="AF427" s="48">
        <f t="shared" si="86"/>
        <v>0.40009107408571615</v>
      </c>
      <c r="AH427" s="48">
        <f t="shared" si="87"/>
        <v>0</v>
      </c>
    </row>
    <row r="428" spans="4:34" ht="13.9" customHeight="1">
      <c r="D428" s="8"/>
      <c r="E428" s="9"/>
      <c r="F428" s="18"/>
      <c r="G428" s="18"/>
      <c r="H428" s="18"/>
      <c r="J428" s="40"/>
      <c r="K428" s="40"/>
      <c r="L428" s="40"/>
      <c r="M428" s="38"/>
      <c r="O428" s="12">
        <f t="shared" si="77"/>
        <v>34.583333333333336</v>
      </c>
      <c r="P428" s="13">
        <v>415</v>
      </c>
      <c r="Q428" s="21">
        <v>2.689876332411445E-2</v>
      </c>
      <c r="R428" s="18">
        <f t="shared" si="78"/>
        <v>2.2998465421296466E-2</v>
      </c>
      <c r="S428" s="21">
        <v>3.1022653799750666E-2</v>
      </c>
      <c r="T428" s="18">
        <f t="shared" si="79"/>
        <v>4.0063179551410144E-2</v>
      </c>
      <c r="U428" s="23">
        <v>3.4426571931963412E-2</v>
      </c>
      <c r="V428" s="23">
        <f t="shared" si="80"/>
        <v>4.0563310309601919E-2</v>
      </c>
      <c r="W428" s="22">
        <f t="shared" si="83"/>
        <v>3.3169238293566661E-3</v>
      </c>
      <c r="X428" s="23">
        <v>3.3745064620681831E-2</v>
      </c>
      <c r="Y428" s="23">
        <f t="shared" si="84"/>
        <v>4.0458275027576818E-2</v>
      </c>
      <c r="Z428" s="22">
        <f t="shared" si="85"/>
        <v>3.3083636419088958E-3</v>
      </c>
      <c r="AA428" s="33"/>
      <c r="AB428" s="50">
        <f t="shared" si="81"/>
        <v>415</v>
      </c>
      <c r="AC428" s="48">
        <f t="shared" si="76"/>
        <v>0.3993338267541342</v>
      </c>
      <c r="AE428" s="48">
        <f t="shared" si="82"/>
        <v>0.99810731260797758</v>
      </c>
      <c r="AF428" s="48">
        <f t="shared" si="86"/>
        <v>0.39933382675413343</v>
      </c>
      <c r="AH428" s="48">
        <f t="shared" si="87"/>
        <v>-7.7715611723760958E-16</v>
      </c>
    </row>
    <row r="429" spans="4:34" ht="13.9" customHeight="1">
      <c r="D429" s="8"/>
      <c r="E429" s="9"/>
      <c r="F429" s="18"/>
      <c r="G429" s="18"/>
      <c r="H429" s="18"/>
      <c r="J429" s="40"/>
      <c r="K429" s="40"/>
      <c r="L429" s="40"/>
      <c r="M429" s="38"/>
      <c r="O429" s="12">
        <f t="shared" si="77"/>
        <v>34.666666666666664</v>
      </c>
      <c r="P429" s="13">
        <v>416</v>
      </c>
      <c r="Q429" s="21">
        <v>2.6889369800645158E-2</v>
      </c>
      <c r="R429" s="18">
        <f t="shared" si="78"/>
        <v>2.3002848128222508E-2</v>
      </c>
      <c r="S429" s="21">
        <v>3.1044291334478613E-2</v>
      </c>
      <c r="T429" s="18">
        <f t="shared" si="79"/>
        <v>4.0096049291137748E-2</v>
      </c>
      <c r="U429" s="23">
        <v>3.4441280226298332E-2</v>
      </c>
      <c r="V429" s="23">
        <f t="shared" si="80"/>
        <v>4.0589035837075071E-2</v>
      </c>
      <c r="W429" s="22">
        <f t="shared" si="83"/>
        <v>3.3190133549392264E-3</v>
      </c>
      <c r="X429" s="23">
        <v>3.3761150097511683E-2</v>
      </c>
      <c r="Y429" s="23">
        <f t="shared" si="84"/>
        <v>4.048547307088346E-2</v>
      </c>
      <c r="Z429" s="22">
        <f t="shared" si="85"/>
        <v>3.3105733133502735E-3</v>
      </c>
      <c r="AA429" s="33"/>
      <c r="AB429" s="50">
        <f t="shared" si="81"/>
        <v>416</v>
      </c>
      <c r="AC429" s="48">
        <f t="shared" si="76"/>
        <v>0.39857787257365518</v>
      </c>
      <c r="AE429" s="48">
        <f t="shared" si="82"/>
        <v>0.99810696182033098</v>
      </c>
      <c r="AF429" s="48">
        <f t="shared" si="86"/>
        <v>0.39857787257365451</v>
      </c>
      <c r="AH429" s="48">
        <f t="shared" si="87"/>
        <v>-6.6613381477509392E-16</v>
      </c>
    </row>
    <row r="430" spans="4:34" ht="13.9" customHeight="1">
      <c r="D430" s="8"/>
      <c r="E430" s="9"/>
      <c r="F430" s="18"/>
      <c r="G430" s="18"/>
      <c r="H430" s="18"/>
      <c r="J430" s="40"/>
      <c r="K430" s="40"/>
      <c r="L430" s="40"/>
      <c r="M430" s="38"/>
      <c r="O430" s="12">
        <f t="shared" si="77"/>
        <v>34.75</v>
      </c>
      <c r="P430" s="13">
        <v>417</v>
      </c>
      <c r="Q430" s="21">
        <v>2.6880031965300422E-2</v>
      </c>
      <c r="R430" s="18">
        <f t="shared" si="78"/>
        <v>2.3007299284676375E-2</v>
      </c>
      <c r="S430" s="21">
        <v>3.1065903684088125E-2</v>
      </c>
      <c r="T430" s="18">
        <f t="shared" si="79"/>
        <v>4.0128544142843614E-2</v>
      </c>
      <c r="U430" s="23">
        <v>3.4455979513954071E-2</v>
      </c>
      <c r="V430" s="23">
        <f t="shared" si="80"/>
        <v>4.0614485194297334E-2</v>
      </c>
      <c r="W430" s="22">
        <f t="shared" si="83"/>
        <v>3.3210803938628075E-3</v>
      </c>
      <c r="X430" s="23">
        <v>3.3777223477732043E-2</v>
      </c>
      <c r="Y430" s="23">
        <f t="shared" si="84"/>
        <v>4.051237504326477E-2</v>
      </c>
      <c r="Z430" s="22">
        <f t="shared" si="85"/>
        <v>3.3127588693167009E-3</v>
      </c>
      <c r="AA430" s="33"/>
      <c r="AB430" s="50">
        <f t="shared" si="81"/>
        <v>417</v>
      </c>
      <c r="AC430" s="48">
        <f t="shared" si="76"/>
        <v>0.39782320741481281</v>
      </c>
      <c r="AE430" s="48">
        <f t="shared" si="82"/>
        <v>0.99810660548221553</v>
      </c>
      <c r="AF430" s="48">
        <f t="shared" si="86"/>
        <v>0.39782320741481336</v>
      </c>
      <c r="AH430" s="48">
        <f t="shared" si="87"/>
        <v>5.5511151231257827E-16</v>
      </c>
    </row>
    <row r="431" spans="4:34" ht="13.9" customHeight="1">
      <c r="D431" s="8"/>
      <c r="E431" s="9"/>
      <c r="F431" s="18"/>
      <c r="G431" s="18"/>
      <c r="H431" s="18"/>
      <c r="J431" s="40"/>
      <c r="K431" s="40"/>
      <c r="L431" s="40"/>
      <c r="M431" s="38"/>
      <c r="O431" s="12">
        <f t="shared" si="77"/>
        <v>34.833333333333336</v>
      </c>
      <c r="P431" s="13">
        <v>418</v>
      </c>
      <c r="Q431" s="21">
        <v>2.687074958183544E-2</v>
      </c>
      <c r="R431" s="18">
        <f t="shared" si="78"/>
        <v>2.3011819058362359E-2</v>
      </c>
      <c r="S431" s="21">
        <v>3.1087490139464879E-2</v>
      </c>
      <c r="T431" s="18">
        <f t="shared" si="79"/>
        <v>4.016066853783351E-2</v>
      </c>
      <c r="U431" s="23">
        <v>3.4470669202377735E-2</v>
      </c>
      <c r="V431" s="23">
        <f t="shared" si="80"/>
        <v>4.0639661441996822E-2</v>
      </c>
      <c r="W431" s="22">
        <f t="shared" si="83"/>
        <v>3.3231251964931374E-3</v>
      </c>
      <c r="X431" s="23">
        <v>3.3793284143966762E-2</v>
      </c>
      <c r="Y431" s="23">
        <f t="shared" si="84"/>
        <v>4.0538984274880008E-2</v>
      </c>
      <c r="Z431" s="22">
        <f t="shared" si="85"/>
        <v>3.3149205823646E-3</v>
      </c>
      <c r="AA431" s="33"/>
      <c r="AB431" s="50">
        <f t="shared" si="81"/>
        <v>418</v>
      </c>
      <c r="AC431" s="48">
        <f t="shared" si="76"/>
        <v>0.39706982716193318</v>
      </c>
      <c r="AE431" s="48">
        <f t="shared" si="82"/>
        <v>0.99810624358047062</v>
      </c>
      <c r="AF431" s="48">
        <f t="shared" si="86"/>
        <v>0.39706982716193379</v>
      </c>
      <c r="AH431" s="48">
        <f t="shared" si="87"/>
        <v>6.106226635438361E-16</v>
      </c>
    </row>
    <row r="432" spans="4:34" ht="13.9" customHeight="1">
      <c r="D432" s="8"/>
      <c r="E432" s="9"/>
      <c r="F432" s="18"/>
      <c r="G432" s="18"/>
      <c r="H432" s="18"/>
      <c r="J432" s="40"/>
      <c r="K432" s="40"/>
      <c r="L432" s="40"/>
      <c r="M432" s="38"/>
      <c r="O432" s="12">
        <f t="shared" si="77"/>
        <v>34.916666666666664</v>
      </c>
      <c r="P432" s="13">
        <v>419</v>
      </c>
      <c r="Q432" s="21">
        <v>2.6861522416663508E-2</v>
      </c>
      <c r="R432" s="18">
        <f t="shared" si="78"/>
        <v>2.3016407622796997E-2</v>
      </c>
      <c r="S432" s="21">
        <v>3.1109050008758521E-2</v>
      </c>
      <c r="T432" s="18">
        <f t="shared" si="79"/>
        <v>4.0192426851610286E-2</v>
      </c>
      <c r="U432" s="23">
        <v>3.4485348711946084E-2</v>
      </c>
      <c r="V432" s="23">
        <f t="shared" si="80"/>
        <v>4.0664567604738133E-2</v>
      </c>
      <c r="W432" s="22">
        <f t="shared" si="83"/>
        <v>3.3251480102396425E-3</v>
      </c>
      <c r="X432" s="23">
        <v>3.3809331492641315E-2</v>
      </c>
      <c r="Y432" s="23">
        <f t="shared" si="84"/>
        <v>4.0565304056183304E-2</v>
      </c>
      <c r="Z432" s="22">
        <f t="shared" si="85"/>
        <v>3.3170587217745684E-3</v>
      </c>
      <c r="AA432" s="33"/>
      <c r="AB432" s="50">
        <f t="shared" si="81"/>
        <v>419</v>
      </c>
      <c r="AC432" s="48">
        <f t="shared" si="76"/>
        <v>0.3963177277129491</v>
      </c>
      <c r="AE432" s="48">
        <f t="shared" si="82"/>
        <v>0.99810587610154011</v>
      </c>
      <c r="AF432" s="48">
        <f t="shared" si="86"/>
        <v>0.39631772771294904</v>
      </c>
      <c r="AH432" s="48">
        <f t="shared" si="87"/>
        <v>0</v>
      </c>
    </row>
    <row r="433" spans="4:34" ht="13.9" customHeight="1">
      <c r="D433" s="8"/>
      <c r="E433" s="9"/>
      <c r="F433" s="18"/>
      <c r="G433" s="18"/>
      <c r="H433" s="18"/>
      <c r="J433" s="40"/>
      <c r="K433" s="40"/>
      <c r="L433" s="40"/>
      <c r="M433" s="38"/>
      <c r="O433" s="12">
        <f t="shared" si="77"/>
        <v>35</v>
      </c>
      <c r="P433" s="13">
        <v>420</v>
      </c>
      <c r="Q433" s="21">
        <v>2.685235023883803E-2</v>
      </c>
      <c r="R433" s="18">
        <f t="shared" si="78"/>
        <v>2.3021064477619424E-2</v>
      </c>
      <c r="S433" s="21">
        <v>3.1130582617045155E-2</v>
      </c>
      <c r="T433" s="18">
        <f t="shared" si="79"/>
        <v>4.0223823404851311E-2</v>
      </c>
      <c r="U433" s="23">
        <v>3.4500017475725508E-2</v>
      </c>
      <c r="V433" s="23">
        <f t="shared" si="80"/>
        <v>4.0689206672221756E-2</v>
      </c>
      <c r="W433" s="22">
        <f t="shared" si="83"/>
        <v>3.3271490795683256E-3</v>
      </c>
      <c r="X433" s="23">
        <v>3.3825364933723678E-2</v>
      </c>
      <c r="Y433" s="23">
        <f t="shared" si="84"/>
        <v>4.0591337637826852E-2</v>
      </c>
      <c r="Z433" s="22">
        <f t="shared" si="85"/>
        <v>3.3191735535929023E-3</v>
      </c>
      <c r="AA433" s="33"/>
      <c r="AB433" s="50">
        <f t="shared" si="81"/>
        <v>420</v>
      </c>
      <c r="AC433" s="48">
        <f t="shared" si="76"/>
        <v>0.395566904979193</v>
      </c>
      <c r="AE433" s="48">
        <f t="shared" si="82"/>
        <v>0.99810550303139622</v>
      </c>
      <c r="AF433" s="48">
        <f t="shared" si="86"/>
        <v>0.39556690497919295</v>
      </c>
      <c r="AH433" s="48">
        <f t="shared" si="87"/>
        <v>0</v>
      </c>
    </row>
    <row r="434" spans="4:34" ht="13.9" customHeight="1">
      <c r="D434" s="8"/>
      <c r="E434" s="9"/>
      <c r="F434" s="18"/>
      <c r="G434" s="18"/>
      <c r="H434" s="18"/>
      <c r="J434" s="40"/>
      <c r="K434" s="40"/>
      <c r="L434" s="40"/>
      <c r="M434" s="38"/>
      <c r="O434" s="12">
        <f t="shared" si="77"/>
        <v>35.083333333333336</v>
      </c>
      <c r="P434" s="13">
        <v>421</v>
      </c>
      <c r="Q434" s="21">
        <v>2.6843232818414497E-2</v>
      </c>
      <c r="R434" s="18">
        <f t="shared" si="78"/>
        <v>2.3025787097455286E-2</v>
      </c>
      <c r="S434" s="21">
        <v>3.1152087305995835E-2</v>
      </c>
      <c r="T434" s="18">
        <f t="shared" si="79"/>
        <v>4.0254862463721786E-2</v>
      </c>
      <c r="U434" s="23">
        <v>3.4514674939237766E-2</v>
      </c>
      <c r="V434" s="23">
        <f t="shared" si="80"/>
        <v>4.0713581598551762E-2</v>
      </c>
      <c r="W434" s="22">
        <f t="shared" si="83"/>
        <v>3.3291286461072378E-3</v>
      </c>
      <c r="X434" s="23">
        <v>3.3841383890469423E-2</v>
      </c>
      <c r="Y434" s="23">
        <f t="shared" si="84"/>
        <v>4.0617088232791199E-2</v>
      </c>
      <c r="Z434" s="22">
        <f t="shared" si="85"/>
        <v>3.3212653406249348E-3</v>
      </c>
      <c r="AA434" s="33"/>
      <c r="AB434" s="50">
        <f t="shared" si="81"/>
        <v>421</v>
      </c>
      <c r="AC434" s="48">
        <f t="shared" si="76"/>
        <v>0.39481735490705361</v>
      </c>
      <c r="AE434" s="48">
        <f t="shared" si="82"/>
        <v>0.99810512441080179</v>
      </c>
      <c r="AF434" s="48">
        <f t="shared" si="86"/>
        <v>0.39481735490705316</v>
      </c>
      <c r="AH434" s="48">
        <f t="shared" si="87"/>
        <v>-4.4408920985006262E-16</v>
      </c>
    </row>
    <row r="435" spans="4:34" ht="13.9" customHeight="1">
      <c r="D435" s="8"/>
      <c r="E435" s="9"/>
      <c r="F435" s="18"/>
      <c r="G435" s="18"/>
      <c r="H435" s="18"/>
      <c r="J435" s="40"/>
      <c r="K435" s="40"/>
      <c r="L435" s="40"/>
      <c r="M435" s="38"/>
      <c r="O435" s="12">
        <f t="shared" si="77"/>
        <v>35.166666666666664</v>
      </c>
      <c r="P435" s="13">
        <v>422</v>
      </c>
      <c r="Q435" s="21">
        <v>2.6834169921621909E-2</v>
      </c>
      <c r="R435" s="18">
        <f t="shared" si="78"/>
        <v>2.3030574996331987E-2</v>
      </c>
      <c r="S435" s="21">
        <v>3.1173563433550822E-2</v>
      </c>
      <c r="T435" s="18">
        <f t="shared" si="79"/>
        <v>4.0285548240884594E-2</v>
      </c>
      <c r="U435" s="23">
        <v>3.4529320560228616E-2</v>
      </c>
      <c r="V435" s="23">
        <f t="shared" si="80"/>
        <v>4.0737695303464605E-2</v>
      </c>
      <c r="W435" s="22">
        <f t="shared" si="83"/>
        <v>3.3310869485880801E-3</v>
      </c>
      <c r="X435" s="23">
        <v>3.3857387799174132E-2</v>
      </c>
      <c r="Y435" s="23">
        <f t="shared" si="84"/>
        <v>4.0642559015067192E-2</v>
      </c>
      <c r="Z435" s="22">
        <f t="shared" si="85"/>
        <v>3.3233343426082307E-3</v>
      </c>
      <c r="AA435" s="33"/>
      <c r="AB435" s="50">
        <f t="shared" si="81"/>
        <v>422</v>
      </c>
      <c r="AC435" s="48">
        <f t="shared" si="76"/>
        <v>0.39406907354274912</v>
      </c>
      <c r="AE435" s="48">
        <f t="shared" si="82"/>
        <v>0.99810474044516018</v>
      </c>
      <c r="AF435" s="48">
        <f t="shared" si="86"/>
        <v>0.394069073542749</v>
      </c>
      <c r="AH435" s="48">
        <f t="shared" si="87"/>
        <v>0</v>
      </c>
    </row>
    <row r="436" spans="4:34" ht="13.9" customHeight="1">
      <c r="D436" s="8"/>
      <c r="E436" s="9"/>
      <c r="F436" s="18"/>
      <c r="G436" s="18"/>
      <c r="H436" s="18"/>
      <c r="J436" s="40"/>
      <c r="K436" s="40"/>
      <c r="L436" s="40"/>
      <c r="M436" s="38"/>
      <c r="O436" s="12">
        <f t="shared" si="77"/>
        <v>35.25</v>
      </c>
      <c r="P436" s="13">
        <v>423</v>
      </c>
      <c r="Q436" s="21">
        <v>2.6825161315747748E-2</v>
      </c>
      <c r="R436" s="18">
        <f t="shared" si="78"/>
        <v>2.3035428371413147E-2</v>
      </c>
      <c r="S436" s="21">
        <v>3.1195010373601839E-2</v>
      </c>
      <c r="T436" s="18">
        <f t="shared" si="79"/>
        <v>4.0315884896124032E-2</v>
      </c>
      <c r="U436" s="23">
        <v>3.4543953808441774E-2</v>
      </c>
      <c r="V436" s="23">
        <f t="shared" si="80"/>
        <v>4.0761550672554492E-2</v>
      </c>
      <c r="W436" s="22">
        <f t="shared" si="83"/>
        <v>3.3330242229463458E-3</v>
      </c>
      <c r="X436" s="23">
        <v>3.3873376108927822E-2</v>
      </c>
      <c r="Y436" s="23">
        <f t="shared" si="84"/>
        <v>4.0667753121170103E-2</v>
      </c>
      <c r="Z436" s="22">
        <f t="shared" si="85"/>
        <v>3.325380816106227E-3</v>
      </c>
      <c r="AA436" s="33"/>
      <c r="AB436" s="50">
        <f t="shared" si="81"/>
        <v>423</v>
      </c>
      <c r="AC436" s="48">
        <f t="shared" si="76"/>
        <v>0.39332205696614964</v>
      </c>
      <c r="AE436" s="48">
        <f t="shared" si="82"/>
        <v>0.9981043511740626</v>
      </c>
      <c r="AF436" s="48">
        <f t="shared" si="86"/>
        <v>0.39332205696614947</v>
      </c>
      <c r="AH436" s="48">
        <f t="shared" si="87"/>
        <v>0</v>
      </c>
    </row>
    <row r="437" spans="4:34" ht="13.9" customHeight="1">
      <c r="D437" s="8"/>
      <c r="E437" s="9"/>
      <c r="F437" s="18"/>
      <c r="G437" s="18"/>
      <c r="H437" s="18"/>
      <c r="J437" s="40"/>
      <c r="K437" s="40"/>
      <c r="L437" s="40"/>
      <c r="M437" s="38"/>
      <c r="O437" s="12">
        <f t="shared" si="77"/>
        <v>35.333333333333336</v>
      </c>
      <c r="P437" s="13">
        <v>424</v>
      </c>
      <c r="Q437" s="21">
        <v>2.6816206770742701E-2</v>
      </c>
      <c r="R437" s="18">
        <f t="shared" si="78"/>
        <v>2.3040347424198915E-2</v>
      </c>
      <c r="S437" s="21">
        <v>3.1216427515678991E-2</v>
      </c>
      <c r="T437" s="18">
        <f t="shared" si="79"/>
        <v>4.0345876537370318E-2</v>
      </c>
      <c r="U437" s="23">
        <v>3.4558574165396871E-2</v>
      </c>
      <c r="V437" s="23">
        <f t="shared" si="80"/>
        <v>4.0785150557795635E-2</v>
      </c>
      <c r="W437" s="22">
        <f t="shared" si="83"/>
        <v>3.3349407023395283E-3</v>
      </c>
      <c r="X437" s="23">
        <v>3.3889348281374909E-2</v>
      </c>
      <c r="Y437" s="23">
        <f t="shared" si="84"/>
        <v>4.0692673650372546E-2</v>
      </c>
      <c r="Z437" s="22">
        <f t="shared" si="85"/>
        <v>3.3274050146325784E-3</v>
      </c>
      <c r="AA437" s="33"/>
      <c r="AB437" s="50">
        <f t="shared" si="81"/>
        <v>424</v>
      </c>
      <c r="AC437" s="48">
        <f t="shared" si="76"/>
        <v>0.39257630126871074</v>
      </c>
      <c r="AE437" s="48">
        <f t="shared" si="82"/>
        <v>0.99810395658156015</v>
      </c>
      <c r="AF437" s="48">
        <f t="shared" si="86"/>
        <v>0.39257630126871157</v>
      </c>
      <c r="AH437" s="48">
        <f t="shared" si="87"/>
        <v>8.3266726846886741E-16</v>
      </c>
    </row>
    <row r="438" spans="4:34" ht="13.9" customHeight="1">
      <c r="D438" s="8"/>
      <c r="E438" s="9"/>
      <c r="F438" s="18"/>
      <c r="G438" s="18"/>
      <c r="H438" s="18"/>
      <c r="J438" s="40"/>
      <c r="K438" s="40"/>
      <c r="L438" s="40"/>
      <c r="M438" s="38"/>
      <c r="O438" s="12">
        <f t="shared" si="77"/>
        <v>35.416666666666664</v>
      </c>
      <c r="P438" s="13">
        <v>425</v>
      </c>
      <c r="Q438" s="21">
        <v>2.6807306059199121E-2</v>
      </c>
      <c r="R438" s="18">
        <f t="shared" si="78"/>
        <v>2.3045332361046889E-2</v>
      </c>
      <c r="S438" s="21">
        <v>3.1237814264645003E-2</v>
      </c>
      <c r="T438" s="18">
        <f t="shared" si="79"/>
        <v>4.0375527221151453E-2</v>
      </c>
      <c r="U438" s="23">
        <v>3.4573181124171404E-2</v>
      </c>
      <c r="V438" s="23">
        <f t="shared" si="80"/>
        <v>4.0808497777814035E-2</v>
      </c>
      <c r="W438" s="22">
        <f t="shared" si="83"/>
        <v>3.3368366171913078E-3</v>
      </c>
      <c r="X438" s="23">
        <v>3.3905303790479735E-2</v>
      </c>
      <c r="Y438" s="23">
        <f t="shared" si="84"/>
        <v>4.0717323665607097E-2</v>
      </c>
      <c r="Z438" s="22">
        <f t="shared" si="85"/>
        <v>3.3294071886693644E-3</v>
      </c>
      <c r="AA438" s="33"/>
      <c r="AB438" s="50">
        <f t="shared" si="81"/>
        <v>425</v>
      </c>
      <c r="AC438" s="48">
        <f t="shared" si="76"/>
        <v>0.39183180255333339</v>
      </c>
      <c r="AE438" s="48">
        <f t="shared" si="82"/>
        <v>0.99810355665135198</v>
      </c>
      <c r="AF438" s="48">
        <f t="shared" si="86"/>
        <v>0.39183180255333366</v>
      </c>
      <c r="AH438" s="48">
        <f t="shared" si="87"/>
        <v>0</v>
      </c>
    </row>
    <row r="439" spans="4:34" ht="13.9" customHeight="1">
      <c r="D439" s="8"/>
      <c r="E439" s="9"/>
      <c r="F439" s="18"/>
      <c r="G439" s="18"/>
      <c r="H439" s="18"/>
      <c r="J439" s="40"/>
      <c r="K439" s="40"/>
      <c r="L439" s="40"/>
      <c r="M439" s="38"/>
      <c r="O439" s="12">
        <f t="shared" si="77"/>
        <v>35.5</v>
      </c>
      <c r="P439" s="13">
        <v>426</v>
      </c>
      <c r="Q439" s="21">
        <v>2.6798458956331928E-2</v>
      </c>
      <c r="R439" s="18">
        <f t="shared" si="78"/>
        <v>2.3050382725594343E-2</v>
      </c>
      <c r="S439" s="21">
        <v>3.1259170040395468E-2</v>
      </c>
      <c r="T439" s="18">
        <f t="shared" si="79"/>
        <v>4.0404840953015553E-2</v>
      </c>
      <c r="U439" s="23">
        <v>3.458777418918757E-2</v>
      </c>
      <c r="V439" s="23">
        <f t="shared" si="80"/>
        <v>4.083159511858403E-2</v>
      </c>
      <c r="W439" s="22">
        <f t="shared" si="83"/>
        <v>3.3387121952122012E-3</v>
      </c>
      <c r="X439" s="23">
        <v>3.3921242122295858E-2</v>
      </c>
      <c r="Y439" s="23">
        <f t="shared" si="84"/>
        <v>4.0741706193027527E-2</v>
      </c>
      <c r="Z439" s="22">
        <f t="shared" si="85"/>
        <v>3.3313875857410302E-3</v>
      </c>
      <c r="AA439" s="33"/>
      <c r="AB439" s="50">
        <f t="shared" si="81"/>
        <v>426</v>
      </c>
      <c r="AC439" s="48">
        <f t="shared" si="76"/>
        <v>0.39108855693419409</v>
      </c>
      <c r="AE439" s="48">
        <f t="shared" si="82"/>
        <v>0.99810315136674477</v>
      </c>
      <c r="AF439" s="48">
        <f t="shared" si="86"/>
        <v>0.39108855693419442</v>
      </c>
      <c r="AH439" s="48">
        <f t="shared" si="87"/>
        <v>0</v>
      </c>
    </row>
    <row r="440" spans="4:34" ht="13.9" customHeight="1">
      <c r="D440" s="8"/>
      <c r="E440" s="9"/>
      <c r="F440" s="18"/>
      <c r="G440" s="18"/>
      <c r="H440" s="18"/>
      <c r="J440" s="40"/>
      <c r="K440" s="40"/>
      <c r="L440" s="40"/>
      <c r="M440" s="38"/>
      <c r="O440" s="12">
        <f t="shared" si="77"/>
        <v>35.583333333333336</v>
      </c>
      <c r="P440" s="13">
        <v>427</v>
      </c>
      <c r="Q440" s="21">
        <v>2.6789665238389659E-2</v>
      </c>
      <c r="R440" s="18">
        <f t="shared" si="78"/>
        <v>2.3055496064893655E-2</v>
      </c>
      <c r="S440" s="21">
        <v>3.1280494277563298E-2</v>
      </c>
      <c r="T440" s="18">
        <f t="shared" si="79"/>
        <v>4.0433821689257243E-2</v>
      </c>
      <c r="U440" s="23">
        <v>3.4602352876001774E-2</v>
      </c>
      <c r="V440" s="23">
        <f t="shared" si="80"/>
        <v>4.0854445333478262E-2</v>
      </c>
      <c r="W440" s="22">
        <f t="shared" si="83"/>
        <v>3.3405676614581825E-3</v>
      </c>
      <c r="X440" s="23">
        <v>3.3937162774739127E-2</v>
      </c>
      <c r="Y440" s="23">
        <f t="shared" si="84"/>
        <v>4.0765824223184088E-2</v>
      </c>
      <c r="Z440" s="22">
        <f t="shared" si="85"/>
        <v>3.3333464503804144E-3</v>
      </c>
      <c r="AA440" s="33"/>
      <c r="AB440" s="50">
        <f t="shared" si="81"/>
        <v>427</v>
      </c>
      <c r="AC440" s="48">
        <f t="shared" si="76"/>
        <v>0.39034656055781874</v>
      </c>
      <c r="AE440" s="48">
        <f t="shared" si="82"/>
        <v>0.99810274076492589</v>
      </c>
      <c r="AF440" s="48">
        <f t="shared" si="86"/>
        <v>0.39034656055781919</v>
      </c>
      <c r="AH440" s="48">
        <f t="shared" si="87"/>
        <v>4.4408920985006262E-16</v>
      </c>
    </row>
    <row r="441" spans="4:34" ht="13.9" customHeight="1">
      <c r="D441" s="8"/>
      <c r="E441" s="9"/>
      <c r="F441" s="18"/>
      <c r="G441" s="18"/>
      <c r="H441" s="18"/>
      <c r="J441" s="40"/>
      <c r="K441" s="40"/>
      <c r="L441" s="40"/>
      <c r="M441" s="38"/>
      <c r="O441" s="12">
        <f t="shared" si="77"/>
        <v>35.666666666666664</v>
      </c>
      <c r="P441" s="13">
        <v>428</v>
      </c>
      <c r="Q441" s="21">
        <v>2.6780924677960671E-2</v>
      </c>
      <c r="R441" s="18">
        <f t="shared" si="78"/>
        <v>2.3060671935514865E-2</v>
      </c>
      <c r="S441" s="21">
        <v>3.1301786425232292E-2</v>
      </c>
      <c r="T441" s="18">
        <f t="shared" si="79"/>
        <v>4.046247333605435E-2</v>
      </c>
      <c r="U441" s="23">
        <v>3.4616916711099677E-2</v>
      </c>
      <c r="V441" s="23">
        <f t="shared" si="80"/>
        <v>4.0877051144022847E-2</v>
      </c>
      <c r="W441" s="22">
        <f t="shared" si="83"/>
        <v>3.3424032383344571E-3</v>
      </c>
      <c r="X441" s="23">
        <v>3.3953065257365189E-2</v>
      </c>
      <c r="Y441" s="23">
        <f t="shared" si="84"/>
        <v>4.0789680711561527E-2</v>
      </c>
      <c r="Z441" s="22">
        <f t="shared" si="85"/>
        <v>3.3352840242237836E-3</v>
      </c>
      <c r="AA441" s="33"/>
      <c r="AB441" s="50">
        <f t="shared" si="81"/>
        <v>428</v>
      </c>
      <c r="AC441" s="48">
        <f t="shared" si="76"/>
        <v>0.3896058096662372</v>
      </c>
      <c r="AE441" s="48">
        <f t="shared" si="82"/>
        <v>0.99810232504540708</v>
      </c>
      <c r="AF441" s="48">
        <f t="shared" si="86"/>
        <v>0.38960580966623715</v>
      </c>
      <c r="AH441" s="48">
        <f t="shared" si="87"/>
        <v>0</v>
      </c>
    </row>
    <row r="442" spans="4:34" ht="13.9" customHeight="1">
      <c r="D442" s="8"/>
      <c r="E442" s="9"/>
      <c r="F442" s="18"/>
      <c r="G442" s="18"/>
      <c r="H442" s="18"/>
      <c r="J442" s="40"/>
      <c r="K442" s="40"/>
      <c r="L442" s="40"/>
      <c r="M442" s="38"/>
      <c r="O442" s="12">
        <f t="shared" si="77"/>
        <v>35.75</v>
      </c>
      <c r="P442" s="13">
        <v>429</v>
      </c>
      <c r="Q442" s="21">
        <v>2.677223704871734E-2</v>
      </c>
      <c r="R442" s="18">
        <f t="shared" si="78"/>
        <v>2.3065910567233727E-2</v>
      </c>
      <c r="S442" s="21">
        <v>3.1323045946651584E-2</v>
      </c>
      <c r="T442" s="18">
        <f t="shared" si="79"/>
        <v>4.0490799751665474E-2</v>
      </c>
      <c r="U442" s="23">
        <v>3.4631465231693248E-2</v>
      </c>
      <c r="V442" s="23">
        <f t="shared" si="80"/>
        <v>4.0899415239756598E-2</v>
      </c>
      <c r="W442" s="22">
        <f t="shared" si="83"/>
        <v>3.3442191456567461E-3</v>
      </c>
      <c r="X442" s="23">
        <v>3.3968949091152778E-2</v>
      </c>
      <c r="Y442" s="23">
        <f t="shared" si="84"/>
        <v>4.0813278578638812E-2</v>
      </c>
      <c r="Z442" s="22">
        <f t="shared" si="85"/>
        <v>3.3372005460545751E-3</v>
      </c>
      <c r="AA442" s="33"/>
      <c r="AB442" s="50">
        <f t="shared" si="81"/>
        <v>429</v>
      </c>
      <c r="AC442" s="48">
        <f t="shared" si="76"/>
        <v>0.38886630053252325</v>
      </c>
      <c r="AE442" s="48">
        <f t="shared" si="82"/>
        <v>0.99810190424432288</v>
      </c>
      <c r="AF442" s="48">
        <f t="shared" si="86"/>
        <v>0.38886630053252252</v>
      </c>
      <c r="AH442" s="48">
        <f t="shared" si="87"/>
        <v>-7.2164496600635175E-16</v>
      </c>
    </row>
    <row r="443" spans="4:34" ht="13.9" customHeight="1">
      <c r="D443" s="8"/>
      <c r="E443" s="9"/>
      <c r="F443" s="18"/>
      <c r="G443" s="18"/>
      <c r="H443" s="18"/>
      <c r="J443" s="40"/>
      <c r="K443" s="40"/>
      <c r="L443" s="40"/>
      <c r="M443" s="38"/>
      <c r="O443" s="12">
        <f t="shared" si="77"/>
        <v>35.833333333333336</v>
      </c>
      <c r="P443" s="13">
        <v>430</v>
      </c>
      <c r="Q443" s="21">
        <v>2.6763602126974817E-2</v>
      </c>
      <c r="R443" s="18">
        <f t="shared" si="78"/>
        <v>2.3071212194179624E-2</v>
      </c>
      <c r="S443" s="21">
        <v>3.1344272318960975E-2</v>
      </c>
      <c r="T443" s="18">
        <f t="shared" si="79"/>
        <v>4.0518804746357162E-2</v>
      </c>
      <c r="U443" s="23">
        <v>3.4645997985522925E-2</v>
      </c>
      <c r="V443" s="23">
        <f t="shared" si="80"/>
        <v>4.0921540279821533E-2</v>
      </c>
      <c r="W443" s="22">
        <f t="shared" si="83"/>
        <v>3.3460156006412944E-3</v>
      </c>
      <c r="X443" s="23">
        <v>3.3984813808289216E-2</v>
      </c>
      <c r="Y443" s="23">
        <f t="shared" si="84"/>
        <v>4.0836620710363203E-2</v>
      </c>
      <c r="Z443" s="22">
        <f t="shared" si="85"/>
        <v>3.3390962518098366E-3</v>
      </c>
      <c r="AA443" s="33"/>
      <c r="AB443" s="50">
        <f t="shared" si="81"/>
        <v>430</v>
      </c>
      <c r="AC443" s="48">
        <f t="shared" si="76"/>
        <v>0.38812802943931318</v>
      </c>
      <c r="AE443" s="48">
        <f t="shared" si="82"/>
        <v>0.99810147834307583</v>
      </c>
      <c r="AF443" s="48">
        <f t="shared" si="86"/>
        <v>0.38812802943931357</v>
      </c>
      <c r="AH443" s="48">
        <f t="shared" si="87"/>
        <v>0</v>
      </c>
    </row>
    <row r="444" spans="4:34" ht="13.9" customHeight="1">
      <c r="D444" s="8"/>
      <c r="E444" s="9"/>
      <c r="F444" s="18"/>
      <c r="G444" s="18"/>
      <c r="H444" s="18"/>
      <c r="J444" s="40"/>
      <c r="K444" s="40"/>
      <c r="L444" s="40"/>
      <c r="M444" s="38"/>
      <c r="O444" s="12">
        <f t="shared" si="77"/>
        <v>35.916666666666664</v>
      </c>
      <c r="P444" s="13">
        <v>431</v>
      </c>
      <c r="Q444" s="21">
        <v>2.6755019691669935E-2</v>
      </c>
      <c r="R444" s="18">
        <f t="shared" si="78"/>
        <v>2.3076577054715663E-2</v>
      </c>
      <c r="S444" s="21">
        <v>3.1365465032917594E-2</v>
      </c>
      <c r="T444" s="18">
        <f t="shared" si="79"/>
        <v>4.054649208264105E-2</v>
      </c>
      <c r="U444" s="23">
        <v>3.4660514530663988E-2</v>
      </c>
      <c r="V444" s="23">
        <f t="shared" si="80"/>
        <v>4.0943428891778488E-2</v>
      </c>
      <c r="W444" s="22">
        <f t="shared" si="83"/>
        <v>3.3477928180334349E-3</v>
      </c>
      <c r="X444" s="23">
        <v>3.4000658951960583E-2</v>
      </c>
      <c r="Y444" s="23">
        <f t="shared" si="84"/>
        <v>4.0859709958929846E-2</v>
      </c>
      <c r="Z444" s="22">
        <f t="shared" si="85"/>
        <v>3.3409713746184178E-3</v>
      </c>
      <c r="AA444" s="33"/>
      <c r="AB444" s="50">
        <f t="shared" si="81"/>
        <v>431</v>
      </c>
      <c r="AC444" s="48">
        <f t="shared" si="76"/>
        <v>0.38739099267868077</v>
      </c>
      <c r="AE444" s="48">
        <f t="shared" si="82"/>
        <v>0.99810104732271632</v>
      </c>
      <c r="AF444" s="48">
        <f t="shared" si="86"/>
        <v>0.38739099267868093</v>
      </c>
      <c r="AH444" s="48">
        <f t="shared" si="87"/>
        <v>0</v>
      </c>
    </row>
    <row r="445" spans="4:34" ht="13.9" customHeight="1">
      <c r="D445" s="8"/>
      <c r="E445" s="9"/>
      <c r="F445" s="18"/>
      <c r="G445" s="18"/>
      <c r="H445" s="18"/>
      <c r="J445" s="40"/>
      <c r="K445" s="40"/>
      <c r="L445" s="40"/>
      <c r="M445" s="38"/>
      <c r="O445" s="12">
        <f t="shared" si="77"/>
        <v>36</v>
      </c>
      <c r="P445" s="13">
        <v>432</v>
      </c>
      <c r="Q445" s="21">
        <v>2.6746489524341222E-2</v>
      </c>
      <c r="R445" s="18">
        <f t="shared" si="78"/>
        <v>2.3082004734503503E-2</v>
      </c>
      <c r="S445" s="21">
        <v>3.1386623592629226E-2</v>
      </c>
      <c r="T445" s="18">
        <f t="shared" si="79"/>
        <v>4.0573865477046667E-2</v>
      </c>
      <c r="U445" s="23">
        <v>3.4675014435334495E-2</v>
      </c>
      <c r="V445" s="23">
        <f t="shared" si="80"/>
        <v>4.0965083673019098E-2</v>
      </c>
      <c r="W445" s="22">
        <f t="shared" si="83"/>
        <v>3.3495510100121084E-3</v>
      </c>
      <c r="X445" s="23">
        <v>3.4016484076146103E-2</v>
      </c>
      <c r="Y445" s="23">
        <f t="shared" si="84"/>
        <v>4.0882549142978952E-2</v>
      </c>
      <c r="Z445" s="22">
        <f t="shared" si="85"/>
        <v>3.3428261448649188E-3</v>
      </c>
      <c r="AA445" s="33"/>
      <c r="AB445" s="50">
        <f t="shared" si="81"/>
        <v>432</v>
      </c>
      <c r="AC445" s="48">
        <f t="shared" si="76"/>
        <v>0.38665518655200148</v>
      </c>
      <c r="AE445" s="48">
        <f t="shared" si="82"/>
        <v>0.99810061116395177</v>
      </c>
      <c r="AF445" s="48">
        <f t="shared" si="86"/>
        <v>0.38665518655200143</v>
      </c>
      <c r="AH445" s="48">
        <f t="shared" si="87"/>
        <v>0</v>
      </c>
    </row>
    <row r="446" spans="4:34" ht="13.9" customHeight="1">
      <c r="D446" s="8"/>
      <c r="E446" s="9"/>
      <c r="F446" s="18"/>
      <c r="G446" s="18"/>
      <c r="H446" s="18"/>
      <c r="J446" s="40"/>
      <c r="K446" s="40"/>
      <c r="L446" s="40"/>
      <c r="M446" s="38"/>
      <c r="O446" s="12">
        <f t="shared" si="77"/>
        <v>36.083333333333336</v>
      </c>
      <c r="P446" s="13">
        <v>433</v>
      </c>
      <c r="Q446" s="21">
        <v>2.6738011407585915E-2</v>
      </c>
      <c r="R446" s="18">
        <f t="shared" si="78"/>
        <v>2.3087492850620617E-2</v>
      </c>
      <c r="S446" s="21">
        <v>3.1407747515293849E-2</v>
      </c>
      <c r="T446" s="18">
        <f t="shared" si="79"/>
        <v>4.060092859978659E-2</v>
      </c>
      <c r="U446" s="23">
        <v>3.468949727770787E-2</v>
      </c>
      <c r="V446" s="23">
        <f t="shared" si="80"/>
        <v>4.0986507191260957E-2</v>
      </c>
      <c r="W446" s="22">
        <f t="shared" si="83"/>
        <v>3.3512903863053278E-3</v>
      </c>
      <c r="X446" s="23">
        <v>3.4032288745416306E-2</v>
      </c>
      <c r="Y446" s="23">
        <f t="shared" si="84"/>
        <v>4.0905141047821836E-2</v>
      </c>
      <c r="Z446" s="22">
        <f t="shared" si="85"/>
        <v>3.3446607902061221E-3</v>
      </c>
      <c r="AA446" s="33"/>
      <c r="AB446" s="50">
        <f t="shared" si="81"/>
        <v>433</v>
      </c>
      <c r="AC446" s="48">
        <f t="shared" si="76"/>
        <v>0.38592060739048367</v>
      </c>
      <c r="AE446" s="48">
        <f t="shared" si="82"/>
        <v>0.99810016990055517</v>
      </c>
      <c r="AF446" s="48">
        <f t="shared" si="86"/>
        <v>0.38592060739048351</v>
      </c>
      <c r="AH446" s="48">
        <f t="shared" si="87"/>
        <v>0</v>
      </c>
    </row>
    <row r="447" spans="4:34" ht="13.9" customHeight="1">
      <c r="D447" s="8"/>
      <c r="E447" s="9"/>
      <c r="F447" s="18"/>
      <c r="G447" s="18"/>
      <c r="H447" s="18"/>
      <c r="J447" s="40"/>
      <c r="K447" s="40"/>
      <c r="L447" s="40"/>
      <c r="M447" s="38"/>
      <c r="O447" s="12">
        <f t="shared" si="77"/>
        <v>36.166666666666664</v>
      </c>
      <c r="P447" s="13">
        <v>434</v>
      </c>
      <c r="Q447" s="21">
        <v>2.672958512049517E-2</v>
      </c>
      <c r="R447" s="18">
        <f t="shared" si="78"/>
        <v>2.3093041002113068E-2</v>
      </c>
      <c r="S447" s="21">
        <v>3.1428836330942733E-2</v>
      </c>
      <c r="T447" s="18">
        <f t="shared" si="79"/>
        <v>4.0627685075547149E-2</v>
      </c>
      <c r="U447" s="23">
        <v>3.4703962645731057E-2</v>
      </c>
      <c r="V447" s="23">
        <f t="shared" si="80"/>
        <v>4.1007701984032918E-2</v>
      </c>
      <c r="W447" s="22">
        <f t="shared" si="83"/>
        <v>3.3530111542297014E-3</v>
      </c>
      <c r="X447" s="23">
        <v>3.4048072534734075E-2</v>
      </c>
      <c r="Y447" s="23">
        <f t="shared" si="84"/>
        <v>4.0927488426522052E-2</v>
      </c>
      <c r="Z447" s="22">
        <f t="shared" si="85"/>
        <v>3.3464755355896436E-3</v>
      </c>
      <c r="AA447" s="33"/>
      <c r="AB447" s="50">
        <f t="shared" si="81"/>
        <v>434</v>
      </c>
      <c r="AC447" s="48">
        <f t="shared" si="76"/>
        <v>0.38518725161674411</v>
      </c>
      <c r="AE447" s="48">
        <f t="shared" si="82"/>
        <v>0.99809972372634115</v>
      </c>
      <c r="AF447" s="48">
        <f t="shared" si="86"/>
        <v>0.38518725161674333</v>
      </c>
      <c r="AH447" s="48">
        <f t="shared" si="87"/>
        <v>-7.7715611723760958E-16</v>
      </c>
    </row>
    <row r="448" spans="4:34" ht="13.9" customHeight="1">
      <c r="D448" s="8"/>
      <c r="E448" s="9"/>
      <c r="F448" s="18"/>
      <c r="G448" s="18"/>
      <c r="H448" s="18"/>
      <c r="J448" s="40"/>
      <c r="K448" s="40"/>
      <c r="L448" s="40"/>
      <c r="M448" s="38"/>
      <c r="O448" s="12">
        <f t="shared" si="77"/>
        <v>36.25</v>
      </c>
      <c r="P448" s="13">
        <v>435</v>
      </c>
      <c r="Q448" s="21">
        <v>2.6721210443267918E-2</v>
      </c>
      <c r="R448" s="18">
        <f t="shared" si="78"/>
        <v>2.3098649448948905E-2</v>
      </c>
      <c r="S448" s="21">
        <v>3.1449889582188861E-2</v>
      </c>
      <c r="T448" s="18">
        <f t="shared" si="79"/>
        <v>4.0654138484665259E-2</v>
      </c>
      <c r="U448" s="23">
        <v>3.4718410136941324E-2</v>
      </c>
      <c r="V448" s="23">
        <f t="shared" si="80"/>
        <v>4.1028670560049774E-2</v>
      </c>
      <c r="W448" s="22">
        <f t="shared" si="83"/>
        <v>3.354713518650021E-3</v>
      </c>
      <c r="X448" s="23">
        <v>3.4063835029261691E-2</v>
      </c>
      <c r="Y448" s="23">
        <f t="shared" si="84"/>
        <v>4.094959399933229E-2</v>
      </c>
      <c r="Z448" s="22">
        <f t="shared" si="85"/>
        <v>3.348270603342085E-3</v>
      </c>
      <c r="AA448" s="33"/>
      <c r="AB448" s="50">
        <f t="shared" si="81"/>
        <v>435</v>
      </c>
      <c r="AC448" s="48">
        <f t="shared" si="76"/>
        <v>0.38445511568196439</v>
      </c>
      <c r="AE448" s="48">
        <f t="shared" si="82"/>
        <v>0.9980992726739919</v>
      </c>
      <c r="AF448" s="48">
        <f t="shared" si="86"/>
        <v>0.38445511568196544</v>
      </c>
      <c r="AH448" s="48">
        <f t="shared" si="87"/>
        <v>1.0547118733938987E-15</v>
      </c>
    </row>
    <row r="449" spans="4:34" ht="13.9" customHeight="1">
      <c r="D449" s="8"/>
      <c r="E449" s="9"/>
      <c r="F449" s="18"/>
      <c r="G449" s="18"/>
      <c r="H449" s="18"/>
      <c r="J449" s="40"/>
      <c r="K449" s="40"/>
      <c r="L449" s="40"/>
      <c r="M449" s="38"/>
      <c r="O449" s="12">
        <f t="shared" si="77"/>
        <v>36.333333333333336</v>
      </c>
      <c r="P449" s="13">
        <v>436</v>
      </c>
      <c r="Q449" s="21">
        <v>2.6712887158718335E-2</v>
      </c>
      <c r="R449" s="18">
        <f t="shared" si="78"/>
        <v>2.3104318457013884E-2</v>
      </c>
      <c r="S449" s="21">
        <v>3.1470906823980904E-2</v>
      </c>
      <c r="T449" s="18">
        <f t="shared" si="79"/>
        <v>4.0680292363285186E-2</v>
      </c>
      <c r="U449" s="23">
        <v>3.4732839358291523E-2</v>
      </c>
      <c r="V449" s="23">
        <f t="shared" si="80"/>
        <v>4.1049415398959344E-2</v>
      </c>
      <c r="W449" s="22">
        <f t="shared" si="83"/>
        <v>3.3563976820902841E-3</v>
      </c>
      <c r="X449" s="23">
        <v>3.4079575824168318E-2</v>
      </c>
      <c r="Y449" s="23">
        <f t="shared" si="84"/>
        <v>4.09714604554694E-2</v>
      </c>
      <c r="Z449" s="22">
        <f t="shared" si="85"/>
        <v>3.3500462131241804E-3</v>
      </c>
      <c r="AA449" s="33"/>
      <c r="AB449" s="50">
        <f t="shared" si="81"/>
        <v>436</v>
      </c>
      <c r="AC449" s="48">
        <f t="shared" si="76"/>
        <v>0.3837241960450658</v>
      </c>
      <c r="AE449" s="48">
        <f t="shared" si="82"/>
        <v>0.99809881672245893</v>
      </c>
      <c r="AF449" s="48">
        <f t="shared" si="86"/>
        <v>0.38372419604506575</v>
      </c>
      <c r="AH449" s="48">
        <f t="shared" si="87"/>
        <v>0</v>
      </c>
    </row>
    <row r="450" spans="4:34" ht="13.9" customHeight="1">
      <c r="D450" s="8"/>
      <c r="E450" s="9"/>
      <c r="F450" s="18"/>
      <c r="G450" s="18"/>
      <c r="H450" s="18"/>
      <c r="J450" s="40"/>
      <c r="K450" s="40"/>
      <c r="L450" s="40"/>
      <c r="M450" s="38"/>
      <c r="O450" s="12">
        <f t="shared" si="77"/>
        <v>36.416666666666664</v>
      </c>
      <c r="P450" s="13">
        <v>437</v>
      </c>
      <c r="Q450" s="21">
        <v>2.6704615052260738E-2</v>
      </c>
      <c r="R450" s="18">
        <f t="shared" si="78"/>
        <v>2.3110048295710284E-2</v>
      </c>
      <c r="S450" s="21">
        <v>3.149188762336208E-2</v>
      </c>
      <c r="T450" s="18">
        <f t="shared" si="79"/>
        <v>4.0706150203632108E-2</v>
      </c>
      <c r="U450" s="23">
        <v>3.474724992597511E-2</v>
      </c>
      <c r="V450" s="23">
        <f t="shared" si="80"/>
        <v>4.1069938951595608E-2</v>
      </c>
      <c r="W450" s="22">
        <f t="shared" si="83"/>
        <v>3.3580638447143762E-3</v>
      </c>
      <c r="X450" s="23">
        <v>3.4095294524444597E-2</v>
      </c>
      <c r="Y450" s="23">
        <f t="shared" si="84"/>
        <v>4.0993090452018821E-2</v>
      </c>
      <c r="Z450" s="22">
        <f t="shared" si="85"/>
        <v>3.351802582074237E-3</v>
      </c>
      <c r="AA450" s="33"/>
      <c r="AB450" s="50">
        <f t="shared" si="81"/>
        <v>437</v>
      </c>
      <c r="AC450" s="48">
        <f t="shared" si="76"/>
        <v>0.38299448917252471</v>
      </c>
      <c r="AE450" s="48">
        <f t="shared" si="82"/>
        <v>0.99809835585021367</v>
      </c>
      <c r="AF450" s="48">
        <f t="shared" si="86"/>
        <v>0.38299448917252521</v>
      </c>
      <c r="AH450" s="48">
        <f t="shared" si="87"/>
        <v>4.9960036108132044E-16</v>
      </c>
    </row>
    <row r="451" spans="4:34" ht="13.9" customHeight="1">
      <c r="D451" s="8"/>
      <c r="E451" s="9"/>
      <c r="F451" s="18"/>
      <c r="G451" s="18"/>
      <c r="H451" s="18"/>
      <c r="J451" s="40"/>
      <c r="K451" s="40"/>
      <c r="L451" s="40"/>
      <c r="M451" s="38"/>
      <c r="O451" s="12">
        <f t="shared" si="77"/>
        <v>36.5</v>
      </c>
      <c r="P451" s="13">
        <v>438</v>
      </c>
      <c r="Q451" s="21">
        <v>2.6696393911886718E-2</v>
      </c>
      <c r="R451" s="18">
        <f t="shared" si="78"/>
        <v>2.3115838590523019E-2</v>
      </c>
      <c r="S451" s="21">
        <v>3.1512831559231902E-2</v>
      </c>
      <c r="T451" s="18">
        <f t="shared" si="79"/>
        <v>4.0731715455243789E-2</v>
      </c>
      <c r="U451" s="23">
        <v>3.4761641465255622E-2</v>
      </c>
      <c r="V451" s="23">
        <f t="shared" si="80"/>
        <v>4.1090243641036972E-2</v>
      </c>
      <c r="W451" s="22">
        <f t="shared" si="83"/>
        <v>3.3597122043460548E-3</v>
      </c>
      <c r="X451" s="23">
        <v>3.4110990744717462E-2</v>
      </c>
      <c r="Y451" s="23">
        <f t="shared" si="84"/>
        <v>4.101448661497864E-2</v>
      </c>
      <c r="Z451" s="22">
        <f t="shared" si="85"/>
        <v>3.3535399247208719E-3</v>
      </c>
      <c r="AA451" s="33"/>
      <c r="AB451" s="50">
        <f t="shared" si="81"/>
        <v>438</v>
      </c>
      <c r="AC451" s="48">
        <f t="shared" si="76"/>
        <v>0.38226599153829927</v>
      </c>
      <c r="AE451" s="48">
        <f t="shared" si="82"/>
        <v>0.99809789003544369</v>
      </c>
      <c r="AF451" s="48">
        <f t="shared" si="86"/>
        <v>0.38226599153829999</v>
      </c>
      <c r="AH451" s="48">
        <f t="shared" si="87"/>
        <v>7.2164496600635175E-16</v>
      </c>
    </row>
    <row r="452" spans="4:34" ht="13.9" customHeight="1">
      <c r="D452" s="8"/>
      <c r="E452" s="9"/>
      <c r="F452" s="18"/>
      <c r="G452" s="18"/>
      <c r="H452" s="18"/>
      <c r="J452" s="40"/>
      <c r="K452" s="40"/>
      <c r="L452" s="40"/>
      <c r="M452" s="38"/>
      <c r="O452" s="12">
        <f t="shared" si="77"/>
        <v>36.583333333333336</v>
      </c>
      <c r="P452" s="13">
        <v>439</v>
      </c>
      <c r="Q452" s="21">
        <v>2.6688223526664334E-2</v>
      </c>
      <c r="R452" s="18">
        <f t="shared" si="78"/>
        <v>2.3121687028478943E-2</v>
      </c>
      <c r="S452" s="21">
        <v>3.1533738222114582E-2</v>
      </c>
      <c r="T452" s="18">
        <f t="shared" si="79"/>
        <v>4.0756991525298103E-2</v>
      </c>
      <c r="U452" s="23">
        <v>3.4776013610299694E-2</v>
      </c>
      <c r="V452" s="23">
        <f t="shared" si="80"/>
        <v>4.1110331862212579E-2</v>
      </c>
      <c r="W452" s="22">
        <f t="shared" si="83"/>
        <v>3.3613429565555464E-3</v>
      </c>
      <c r="X452" s="23">
        <v>3.412666410907006E-2</v>
      </c>
      <c r="Y452" s="23">
        <f t="shared" si="84"/>
        <v>4.1035651540494822E-2</v>
      </c>
      <c r="Z452" s="22">
        <f t="shared" si="85"/>
        <v>3.355258453067167E-3</v>
      </c>
      <c r="AA452" s="33"/>
      <c r="AB452" s="50">
        <f t="shared" si="81"/>
        <v>439</v>
      </c>
      <c r="AC452" s="48">
        <f t="shared" si="76"/>
        <v>0.38153869964385329</v>
      </c>
      <c r="AE452" s="48">
        <f t="shared" si="82"/>
        <v>0.99809741930868512</v>
      </c>
      <c r="AF452" s="48">
        <f t="shared" si="86"/>
        <v>0.3815386996438529</v>
      </c>
      <c r="AH452" s="48">
        <f t="shared" si="87"/>
        <v>0</v>
      </c>
    </row>
    <row r="453" spans="4:34" ht="13.9" customHeight="1">
      <c r="D453" s="8"/>
      <c r="E453" s="9"/>
      <c r="F453" s="18"/>
      <c r="G453" s="18"/>
      <c r="H453" s="18"/>
      <c r="J453" s="40"/>
      <c r="K453" s="40"/>
      <c r="L453" s="40"/>
      <c r="M453" s="38"/>
      <c r="O453" s="12">
        <f t="shared" si="77"/>
        <v>36.666666666666664</v>
      </c>
      <c r="P453" s="13">
        <v>440</v>
      </c>
      <c r="Q453" s="21">
        <v>2.6680103682305223E-2</v>
      </c>
      <c r="R453" s="18">
        <f t="shared" si="78"/>
        <v>2.3127593247388001E-2</v>
      </c>
      <c r="S453" s="21">
        <v>3.1554607213930996E-2</v>
      </c>
      <c r="T453" s="18">
        <f t="shared" si="79"/>
        <v>4.0781981779129506E-2</v>
      </c>
      <c r="U453" s="23">
        <v>3.4790366004012307E-2</v>
      </c>
      <c r="V453" s="23">
        <f t="shared" si="80"/>
        <v>4.1130205982822243E-2</v>
      </c>
      <c r="W453" s="22">
        <f t="shared" si="83"/>
        <v>3.3629562946282388E-3</v>
      </c>
      <c r="X453" s="23">
        <v>3.4142314250865891E-2</v>
      </c>
      <c r="Y453" s="23">
        <f t="shared" si="84"/>
        <v>4.1056587793677046E-2</v>
      </c>
      <c r="Z453" s="22">
        <f t="shared" si="85"/>
        <v>3.3569583766916988E-3</v>
      </c>
      <c r="AA453" s="33"/>
      <c r="AB453" s="50">
        <f t="shared" si="81"/>
        <v>440</v>
      </c>
      <c r="AC453" s="48">
        <f t="shared" si="76"/>
        <v>0.38081261007810818</v>
      </c>
      <c r="AE453" s="48">
        <f t="shared" si="82"/>
        <v>0.99809694385806202</v>
      </c>
      <c r="AF453" s="48">
        <f t="shared" si="86"/>
        <v>0.38081261007810863</v>
      </c>
      <c r="AH453" s="48">
        <f t="shared" si="87"/>
        <v>4.4408920985006262E-16</v>
      </c>
    </row>
    <row r="454" spans="4:34" ht="13.9" customHeight="1">
      <c r="D454" s="8"/>
      <c r="E454" s="9"/>
      <c r="F454" s="18"/>
      <c r="G454" s="18"/>
      <c r="H454" s="18"/>
      <c r="J454" s="40"/>
      <c r="K454" s="40"/>
      <c r="L454" s="40"/>
      <c r="M454" s="38"/>
      <c r="O454" s="12">
        <f t="shared" si="77"/>
        <v>36.75</v>
      </c>
      <c r="P454" s="13">
        <v>441</v>
      </c>
      <c r="Q454" s="21">
        <v>2.6672034165641012E-2</v>
      </c>
      <c r="R454" s="18">
        <f t="shared" si="78"/>
        <v>2.31335575386864E-2</v>
      </c>
      <c r="S454" s="21">
        <v>3.1575438147775303E-2</v>
      </c>
      <c r="T454" s="18">
        <f t="shared" si="79"/>
        <v>4.0806689540937358E-2</v>
      </c>
      <c r="U454" s="23">
        <v>3.4804698297876024E-2</v>
      </c>
      <c r="V454" s="23">
        <f t="shared" si="80"/>
        <v>4.1149868343166141E-2</v>
      </c>
      <c r="W454" s="22">
        <f t="shared" si="83"/>
        <v>3.3645524096390655E-3</v>
      </c>
      <c r="X454" s="23">
        <v>3.4157940812573839E-2</v>
      </c>
      <c r="Y454" s="23">
        <f t="shared" si="84"/>
        <v>4.1077297909970056E-2</v>
      </c>
      <c r="Z454" s="22">
        <f t="shared" si="85"/>
        <v>3.3586399026521718E-3</v>
      </c>
      <c r="AA454" s="33"/>
      <c r="AB454" s="50">
        <f t="shared" si="81"/>
        <v>441</v>
      </c>
      <c r="AC454" s="48">
        <f t="shared" si="76"/>
        <v>0.38008771945631853</v>
      </c>
      <c r="AE454" s="48">
        <f t="shared" si="82"/>
        <v>0.99809646371310579</v>
      </c>
      <c r="AF454" s="48">
        <f t="shared" si="86"/>
        <v>0.38008771945631803</v>
      </c>
      <c r="AH454" s="48">
        <f t="shared" si="87"/>
        <v>-4.9960036108132044E-16</v>
      </c>
    </row>
    <row r="455" spans="4:34" ht="13.9" customHeight="1">
      <c r="D455" s="8"/>
      <c r="E455" s="9"/>
      <c r="F455" s="18"/>
      <c r="G455" s="18"/>
      <c r="H455" s="18"/>
      <c r="J455" s="40"/>
      <c r="K455" s="40"/>
      <c r="L455" s="40"/>
      <c r="M455" s="38"/>
      <c r="O455" s="12">
        <f t="shared" si="77"/>
        <v>36.833333333333336</v>
      </c>
      <c r="P455" s="13">
        <v>442</v>
      </c>
      <c r="Q455" s="21">
        <v>2.6664014766095478E-2</v>
      </c>
      <c r="R455" s="18">
        <f t="shared" si="78"/>
        <v>2.3139580197056642E-2</v>
      </c>
      <c r="S455" s="21">
        <v>3.1596230647695789E-2</v>
      </c>
      <c r="T455" s="18">
        <f t="shared" si="79"/>
        <v>4.0831118093781482E-2</v>
      </c>
      <c r="U455" s="23">
        <v>3.4819010151792007E-2</v>
      </c>
      <c r="V455" s="23">
        <f t="shared" si="80"/>
        <v>4.1169321256862235E-2</v>
      </c>
      <c r="W455" s="22">
        <f t="shared" si="83"/>
        <v>3.3661314904387396E-3</v>
      </c>
      <c r="X455" s="23">
        <v>3.4173543445598531E-2</v>
      </c>
      <c r="Y455" s="23">
        <f t="shared" si="84"/>
        <v>4.1097784395900838E-2</v>
      </c>
      <c r="Z455" s="22">
        <f t="shared" si="85"/>
        <v>3.3603032355982165E-3</v>
      </c>
      <c r="AA455" s="33"/>
      <c r="AB455" s="50">
        <f t="shared" si="81"/>
        <v>442</v>
      </c>
      <c r="AC455" s="48">
        <f t="shared" si="76"/>
        <v>0.37936402439969935</v>
      </c>
      <c r="AE455" s="48">
        <f t="shared" si="82"/>
        <v>0.99809597885021306</v>
      </c>
      <c r="AF455" s="48">
        <f t="shared" si="86"/>
        <v>0.37936402439969891</v>
      </c>
      <c r="AH455" s="48">
        <f t="shared" si="87"/>
        <v>-4.4408920985006262E-16</v>
      </c>
    </row>
    <row r="456" spans="4:34" ht="13.9" customHeight="1">
      <c r="D456" s="8"/>
      <c r="E456" s="9"/>
      <c r="F456" s="18"/>
      <c r="G456" s="18"/>
      <c r="H456" s="18"/>
      <c r="J456" s="40"/>
      <c r="K456" s="40"/>
      <c r="L456" s="40"/>
      <c r="M456" s="38"/>
      <c r="O456" s="12">
        <f t="shared" si="77"/>
        <v>36.916666666666664</v>
      </c>
      <c r="P456" s="13">
        <v>443</v>
      </c>
      <c r="Q456" s="21">
        <v>2.6656045275661899E-2</v>
      </c>
      <c r="R456" s="18">
        <f t="shared" si="78"/>
        <v>2.3145661522311123E-2</v>
      </c>
      <c r="S456" s="21">
        <v>3.161698434847926E-2</v>
      </c>
      <c r="T456" s="18">
        <f t="shared" si="79"/>
        <v>4.0855270681144695E-2</v>
      </c>
      <c r="U456" s="23">
        <v>3.4833301233925029E-2</v>
      </c>
      <c r="V456" s="23">
        <f t="shared" si="80"/>
        <v>4.1188567011156918E-2</v>
      </c>
      <c r="W456" s="22">
        <f t="shared" si="83"/>
        <v>3.3676937237132609E-3</v>
      </c>
      <c r="X456" s="23">
        <v>3.4189121810113354E-2</v>
      </c>
      <c r="Y456" s="23">
        <f t="shared" si="84"/>
        <v>4.1118049727716377E-2</v>
      </c>
      <c r="Z456" s="22">
        <f t="shared" si="85"/>
        <v>3.3619485778306757E-3</v>
      </c>
      <c r="AA456" s="33"/>
      <c r="AB456" s="50">
        <f t="shared" si="81"/>
        <v>443</v>
      </c>
      <c r="AC456" s="48">
        <f t="shared" si="76"/>
        <v>0.37864152153536618</v>
      </c>
      <c r="AE456" s="48">
        <f t="shared" si="82"/>
        <v>0.99809548924551683</v>
      </c>
      <c r="AF456" s="48">
        <f t="shared" si="86"/>
        <v>0.37864152153536568</v>
      </c>
      <c r="AH456" s="48">
        <f t="shared" si="87"/>
        <v>-4.9960036108132044E-16</v>
      </c>
    </row>
    <row r="457" spans="4:34" ht="13.9" customHeight="1">
      <c r="D457" s="8"/>
      <c r="E457" s="9"/>
      <c r="F457" s="18"/>
      <c r="G457" s="18"/>
      <c r="H457" s="18"/>
      <c r="J457" s="40"/>
      <c r="K457" s="40"/>
      <c r="L457" s="40"/>
      <c r="M457" s="38"/>
      <c r="O457" s="12">
        <f t="shared" si="77"/>
        <v>37</v>
      </c>
      <c r="P457" s="13">
        <v>444</v>
      </c>
      <c r="Q457" s="21">
        <v>2.6648125488885954E-2</v>
      </c>
      <c r="R457" s="18">
        <f t="shared" si="78"/>
        <v>2.3151801179671416E-2</v>
      </c>
      <c r="S457" s="21">
        <v>3.1637698895440991E-2</v>
      </c>
      <c r="T457" s="18">
        <f t="shared" si="79"/>
        <v>4.0879150506467621E-2</v>
      </c>
      <c r="U457" s="23">
        <v>3.4847571220550932E-2</v>
      </c>
      <c r="V457" s="23">
        <f t="shared" si="80"/>
        <v>4.1207607866975415E-2</v>
      </c>
      <c r="W457" s="22">
        <f t="shared" si="83"/>
        <v>3.3692392940083415E-3</v>
      </c>
      <c r="X457" s="23">
        <v>3.4204675574895038E-2</v>
      </c>
      <c r="Y457" s="23">
        <f t="shared" si="84"/>
        <v>4.1138096354032649E-2</v>
      </c>
      <c r="Z457" s="22">
        <f t="shared" si="85"/>
        <v>3.3635761291934685E-3</v>
      </c>
      <c r="AA457" s="33"/>
      <c r="AB457" s="50">
        <f t="shared" si="81"/>
        <v>444</v>
      </c>
      <c r="AC457" s="48">
        <f t="shared" si="76"/>
        <v>0.37792020749620298</v>
      </c>
      <c r="AE457" s="48">
        <f t="shared" si="82"/>
        <v>0.99809499487473563</v>
      </c>
      <c r="AF457" s="48">
        <f t="shared" si="86"/>
        <v>0.37792020749620292</v>
      </c>
      <c r="AH457" s="48">
        <f t="shared" si="87"/>
        <v>0</v>
      </c>
    </row>
    <row r="458" spans="4:34" ht="13.9" customHeight="1">
      <c r="D458" s="8"/>
      <c r="E458" s="9"/>
      <c r="F458" s="18"/>
      <c r="G458" s="18"/>
      <c r="H458" s="18"/>
      <c r="J458" s="40"/>
      <c r="K458" s="40"/>
      <c r="L458" s="40"/>
      <c r="M458" s="38"/>
      <c r="O458" s="12">
        <f t="shared" si="77"/>
        <v>37.083333333333336</v>
      </c>
      <c r="P458" s="13">
        <v>445</v>
      </c>
      <c r="Q458" s="21">
        <v>2.6640255201405783E-2</v>
      </c>
      <c r="R458" s="18">
        <f t="shared" si="78"/>
        <v>2.3157996922409607E-2</v>
      </c>
      <c r="S458" s="21">
        <v>3.1658373944217333E-2</v>
      </c>
      <c r="T458" s="18">
        <f t="shared" si="79"/>
        <v>4.0902760734387922E-2</v>
      </c>
      <c r="U458" s="23">
        <v>3.4861819795906746E-2</v>
      </c>
      <c r="V458" s="23">
        <f t="shared" si="80"/>
        <v>4.1226446059307253E-2</v>
      </c>
      <c r="W458" s="22">
        <f t="shared" si="83"/>
        <v>3.3707683837340685E-3</v>
      </c>
      <c r="X458" s="23">
        <v>3.4220204417164002E-2</v>
      </c>
      <c r="Y458" s="23">
        <f t="shared" si="84"/>
        <v>4.1157926694531222E-2</v>
      </c>
      <c r="Z458" s="22">
        <f t="shared" si="85"/>
        <v>3.3651860872867534E-3</v>
      </c>
      <c r="AA458" s="33"/>
      <c r="AB458" s="50">
        <f t="shared" si="81"/>
        <v>445</v>
      </c>
      <c r="AC458" s="48">
        <f t="shared" si="76"/>
        <v>0.37720007894039415</v>
      </c>
      <c r="AE458" s="48">
        <f t="shared" si="82"/>
        <v>0.99809449576517628</v>
      </c>
      <c r="AF458" s="48">
        <f t="shared" si="86"/>
        <v>0.37720007894039342</v>
      </c>
      <c r="AH458" s="48">
        <f t="shared" si="87"/>
        <v>-7.2164496600635175E-16</v>
      </c>
    </row>
    <row r="459" spans="4:34" ht="13.9" customHeight="1">
      <c r="D459" s="8"/>
      <c r="E459" s="9"/>
      <c r="F459" s="18"/>
      <c r="G459" s="18"/>
      <c r="H459" s="18"/>
      <c r="J459" s="40"/>
      <c r="K459" s="40"/>
      <c r="L459" s="40"/>
      <c r="M459" s="38"/>
      <c r="O459" s="12">
        <f t="shared" si="77"/>
        <v>37.166666666666664</v>
      </c>
      <c r="P459" s="13">
        <v>446</v>
      </c>
      <c r="Q459" s="21">
        <v>2.6632434205638766E-2</v>
      </c>
      <c r="R459" s="18">
        <f t="shared" si="78"/>
        <v>2.3164248427747891E-2</v>
      </c>
      <c r="S459" s="21">
        <v>3.1679009160563432E-2</v>
      </c>
      <c r="T459" s="18">
        <f t="shared" si="79"/>
        <v>4.092610449055023E-2</v>
      </c>
      <c r="U459" s="23">
        <v>3.4876046652043247E-2</v>
      </c>
      <c r="V459" s="23">
        <f t="shared" si="80"/>
        <v>4.1245083798312931E-2</v>
      </c>
      <c r="W459" s="22">
        <f t="shared" si="83"/>
        <v>3.3722811731971003E-3</v>
      </c>
      <c r="X459" s="23">
        <v>3.4235708022425593E-2</v>
      </c>
      <c r="Y459" s="23">
        <f t="shared" si="84"/>
        <v>4.1177543141051931E-2</v>
      </c>
      <c r="Z459" s="22">
        <f t="shared" si="85"/>
        <v>3.3667786473625672E-3</v>
      </c>
      <c r="AA459" s="33"/>
      <c r="AB459" s="50">
        <f t="shared" si="81"/>
        <v>446</v>
      </c>
      <c r="AC459" s="48">
        <f t="shared" si="76"/>
        <v>0.3764811326098918</v>
      </c>
      <c r="AE459" s="48">
        <f t="shared" si="82"/>
        <v>0.99809399209957217</v>
      </c>
      <c r="AF459" s="48">
        <f t="shared" si="86"/>
        <v>0.37648113260989102</v>
      </c>
      <c r="AH459" s="48">
        <f t="shared" si="87"/>
        <v>-7.7715611723760958E-16</v>
      </c>
    </row>
    <row r="460" spans="4:34" ht="13.9" customHeight="1">
      <c r="D460" s="8"/>
      <c r="E460" s="9"/>
      <c r="F460" s="18"/>
      <c r="G460" s="18"/>
      <c r="H460" s="18"/>
      <c r="J460" s="40"/>
      <c r="K460" s="40"/>
      <c r="L460" s="40"/>
      <c r="M460" s="38"/>
      <c r="O460" s="12">
        <f t="shared" si="77"/>
        <v>37.25</v>
      </c>
      <c r="P460" s="13">
        <v>447</v>
      </c>
      <c r="Q460" s="21">
        <v>2.6624662295136048E-2</v>
      </c>
      <c r="R460" s="18">
        <f t="shared" si="78"/>
        <v>2.3170556015549737E-2</v>
      </c>
      <c r="S460" s="21">
        <v>3.169960422015361E-2</v>
      </c>
      <c r="T460" s="18">
        <f t="shared" si="79"/>
        <v>4.0949184863138255E-2</v>
      </c>
      <c r="U460" s="23">
        <v>3.4890251488682189E-2</v>
      </c>
      <c r="V460" s="23">
        <f t="shared" si="80"/>
        <v>4.1263523267650815E-2</v>
      </c>
      <c r="W460" s="22">
        <f t="shared" si="83"/>
        <v>3.3737778406890406E-3</v>
      </c>
      <c r="X460" s="23">
        <v>3.4251186084315099E-2</v>
      </c>
      <c r="Y460" s="23">
        <f t="shared" si="84"/>
        <v>4.1196948057288463E-2</v>
      </c>
      <c r="Z460" s="22">
        <f t="shared" si="85"/>
        <v>3.3683540024140868E-3</v>
      </c>
      <c r="AA460" s="33"/>
      <c r="AB460" s="50">
        <f t="shared" si="81"/>
        <v>447</v>
      </c>
      <c r="AC460" s="48">
        <f t="shared" si="76"/>
        <v>0.37576336527082543</v>
      </c>
      <c r="AE460" s="48">
        <f t="shared" si="82"/>
        <v>0.99809348390425212</v>
      </c>
      <c r="AF460" s="48">
        <f t="shared" si="86"/>
        <v>0.37576336527082488</v>
      </c>
      <c r="AH460" s="48">
        <f t="shared" si="87"/>
        <v>-5.5511151231257827E-16</v>
      </c>
    </row>
    <row r="461" spans="4:34" ht="13.9" customHeight="1">
      <c r="D461" s="8"/>
      <c r="E461" s="9"/>
      <c r="F461" s="18"/>
      <c r="G461" s="18"/>
      <c r="H461" s="18"/>
      <c r="J461" s="40"/>
      <c r="K461" s="40"/>
      <c r="L461" s="40"/>
      <c r="M461" s="38"/>
      <c r="O461" s="12">
        <f t="shared" si="77"/>
        <v>37.333333333333336</v>
      </c>
      <c r="P461" s="13">
        <v>448</v>
      </c>
      <c r="Q461" s="21">
        <v>2.6616939266009387E-2</v>
      </c>
      <c r="R461" s="18">
        <f t="shared" si="78"/>
        <v>2.3176920010586688E-2</v>
      </c>
      <c r="S461" s="21">
        <v>3.1720158808387078E-2</v>
      </c>
      <c r="T461" s="18">
        <f t="shared" si="79"/>
        <v>4.0972004902248171E-2</v>
      </c>
      <c r="U461" s="23">
        <v>3.490443401307175E-2</v>
      </c>
      <c r="V461" s="23">
        <f t="shared" si="80"/>
        <v>4.1281766627782268E-2</v>
      </c>
      <c r="W461" s="22">
        <f t="shared" si="83"/>
        <v>3.3752585623532116E-3</v>
      </c>
      <c r="X461" s="23">
        <v>3.4266638304444541E-2</v>
      </c>
      <c r="Y461" s="23">
        <f t="shared" si="84"/>
        <v>4.1216143780579806E-2</v>
      </c>
      <c r="Z461" s="22">
        <f t="shared" si="85"/>
        <v>3.3699123431500944E-3</v>
      </c>
      <c r="AA461" s="33"/>
      <c r="AB461" s="50">
        <f t="shared" si="81"/>
        <v>448</v>
      </c>
      <c r="AC461" s="48">
        <f t="shared" ref="AC461:AC524" si="88">1/(1+Q461)^(P461/12)</f>
        <v>0.37504677369372247</v>
      </c>
      <c r="AE461" s="48">
        <f t="shared" si="82"/>
        <v>0.99809297115330398</v>
      </c>
      <c r="AF461" s="48">
        <f t="shared" si="86"/>
        <v>0.37504677369372186</v>
      </c>
      <c r="AH461" s="48">
        <f t="shared" si="87"/>
        <v>-6.106226635438361E-16</v>
      </c>
    </row>
    <row r="462" spans="4:34" ht="13.9" customHeight="1">
      <c r="D462" s="8"/>
      <c r="E462" s="9"/>
      <c r="F462" s="18"/>
      <c r="G462" s="18"/>
      <c r="H462" s="18"/>
      <c r="J462" s="40"/>
      <c r="K462" s="40"/>
      <c r="L462" s="40"/>
      <c r="M462" s="38"/>
      <c r="O462" s="12">
        <f t="shared" ref="O462:O525" si="89">P462/12</f>
        <v>37.416666666666664</v>
      </c>
      <c r="P462" s="13">
        <v>449</v>
      </c>
      <c r="Q462" s="21">
        <v>2.6609264916913622E-2</v>
      </c>
      <c r="R462" s="18">
        <f t="shared" ref="R462:R525" si="90">(1+Q463)^P463/(1+Q462)^P462-1</f>
        <v>2.3183340740889902E-2</v>
      </c>
      <c r="S462" s="21">
        <v>3.1740672620195642E-2</v>
      </c>
      <c r="T462" s="18">
        <f t="shared" ref="T462:T525" si="91">(1+S463)^P463/(1+S462)^P462-1</f>
        <v>4.0994567621287059E-2</v>
      </c>
      <c r="U462" s="23">
        <v>3.4918593939851084E-2</v>
      </c>
      <c r="V462" s="23">
        <f t="shared" ref="V462:V525" si="92">(1+U463)^P463/(1+U462)^P462-1</f>
        <v>4.1299816013000257E-2</v>
      </c>
      <c r="W462" s="22">
        <f t="shared" si="83"/>
        <v>3.3767235124506634E-3</v>
      </c>
      <c r="X462" s="23">
        <v>3.4282064392255229E-2</v>
      </c>
      <c r="Y462" s="23">
        <f t="shared" si="84"/>
        <v>4.123513262020162E-2</v>
      </c>
      <c r="Z462" s="22">
        <f t="shared" si="85"/>
        <v>3.3714538581410824E-3</v>
      </c>
      <c r="AA462" s="33"/>
      <c r="AB462" s="50">
        <f t="shared" ref="AB462:AB525" si="93">+P462</f>
        <v>449</v>
      </c>
      <c r="AC462" s="48">
        <f t="shared" si="88"/>
        <v>0.37433135465339806</v>
      </c>
      <c r="AE462" s="48">
        <f t="shared" ref="AE462:AE525" si="94">1/(1+R461)^(1/12)</f>
        <v>0.99809245382041822</v>
      </c>
      <c r="AF462" s="48">
        <f t="shared" si="86"/>
        <v>0.37433135465339795</v>
      </c>
      <c r="AH462" s="48">
        <f t="shared" si="87"/>
        <v>0</v>
      </c>
    </row>
    <row r="463" spans="4:34" ht="13.9" customHeight="1">
      <c r="D463" s="8"/>
      <c r="E463" s="9"/>
      <c r="F463" s="18"/>
      <c r="G463" s="18"/>
      <c r="H463" s="18"/>
      <c r="J463" s="40"/>
      <c r="K463" s="40"/>
      <c r="L463" s="40"/>
      <c r="M463" s="38"/>
      <c r="O463" s="12">
        <f t="shared" si="89"/>
        <v>37.5</v>
      </c>
      <c r="P463" s="13">
        <v>450</v>
      </c>
      <c r="Q463" s="21">
        <v>2.660163904902535E-2</v>
      </c>
      <c r="R463" s="18">
        <f t="shared" si="90"/>
        <v>2.3189817909242239E-2</v>
      </c>
      <c r="S463" s="21">
        <v>3.1761145359856968E-2</v>
      </c>
      <c r="T463" s="18">
        <f t="shared" si="91"/>
        <v>4.1016875996514157E-2</v>
      </c>
      <c r="U463" s="23">
        <v>3.4932730990910432E-2</v>
      </c>
      <c r="V463" s="23">
        <f t="shared" si="92"/>
        <v>4.1317673534476684E-2</v>
      </c>
      <c r="W463" s="22">
        <f t="shared" ref="W463:W526" si="95">(1+V462)^(1/12)-1</f>
        <v>3.3781728631214758E-3</v>
      </c>
      <c r="X463" s="23">
        <v>3.4297464064868777E-2</v>
      </c>
      <c r="Y463" s="23">
        <f t="shared" ref="Y463:Y526" si="96">(1+X464)^P464/(1+X463)^P463-1</f>
        <v>4.1253916859367079E-2</v>
      </c>
      <c r="Z463" s="22">
        <f t="shared" ref="Z463:Z526" si="97">(1+Y462)^(1/12)-1</f>
        <v>3.3729787336818084E-3</v>
      </c>
      <c r="AA463" s="33"/>
      <c r="AB463" s="50">
        <f t="shared" si="93"/>
        <v>450</v>
      </c>
      <c r="AC463" s="48">
        <f t="shared" si="88"/>
        <v>0.3736171049289011</v>
      </c>
      <c r="AE463" s="48">
        <f t="shared" si="94"/>
        <v>0.99809193187902234</v>
      </c>
      <c r="AF463" s="48">
        <f t="shared" ref="AF463:AF526" si="98">+AF462*AE463</f>
        <v>0.37361710492890143</v>
      </c>
      <c r="AH463" s="48">
        <f t="shared" ref="AH463:AH526" si="99">+AF463-AC463</f>
        <v>0</v>
      </c>
    </row>
    <row r="464" spans="4:34" ht="13.9" customHeight="1">
      <c r="D464" s="8"/>
      <c r="E464" s="9"/>
      <c r="F464" s="18"/>
      <c r="G464" s="18"/>
      <c r="H464" s="18"/>
      <c r="J464" s="40"/>
      <c r="K464" s="40"/>
      <c r="L464" s="40"/>
      <c r="M464" s="38"/>
      <c r="O464" s="12">
        <f t="shared" si="89"/>
        <v>37.583333333333336</v>
      </c>
      <c r="P464" s="13">
        <v>451</v>
      </c>
      <c r="Q464" s="21">
        <v>2.6594061464624064E-2</v>
      </c>
      <c r="R464" s="18">
        <f t="shared" si="90"/>
        <v>2.3196349335294908E-2</v>
      </c>
      <c r="S464" s="21">
        <v>3.1781576740808948E-2</v>
      </c>
      <c r="T464" s="18">
        <f t="shared" si="91"/>
        <v>4.1038932969104547E-2</v>
      </c>
      <c r="U464" s="23">
        <v>3.4946844895259233E-2</v>
      </c>
      <c r="V464" s="23">
        <f t="shared" si="92"/>
        <v>4.1335341278863069E-2</v>
      </c>
      <c r="W464" s="22">
        <f t="shared" si="95"/>
        <v>3.3796067846301181E-3</v>
      </c>
      <c r="X464" s="23">
        <v>3.4312837046944322E-2</v>
      </c>
      <c r="Y464" s="23">
        <f t="shared" si="96"/>
        <v>4.1272498754796993E-2</v>
      </c>
      <c r="Z464" s="22">
        <f t="shared" si="97"/>
        <v>3.3744871539522769E-3</v>
      </c>
      <c r="AA464" s="33"/>
      <c r="AB464" s="50">
        <f t="shared" si="93"/>
        <v>451</v>
      </c>
      <c r="AC464" s="48">
        <f t="shared" si="88"/>
        <v>0.37290402132254541</v>
      </c>
      <c r="AE464" s="48">
        <f t="shared" si="94"/>
        <v>0.99809140535337038</v>
      </c>
      <c r="AF464" s="48">
        <f t="shared" si="98"/>
        <v>0.37290402132254485</v>
      </c>
      <c r="AH464" s="48">
        <f t="shared" si="99"/>
        <v>-5.5511151231257827E-16</v>
      </c>
    </row>
    <row r="465" spans="4:34" ht="13.9" customHeight="1">
      <c r="D465" s="8"/>
      <c r="E465" s="9"/>
      <c r="F465" s="18"/>
      <c r="G465" s="18"/>
      <c r="H465" s="18"/>
      <c r="J465" s="40"/>
      <c r="K465" s="40"/>
      <c r="L465" s="40"/>
      <c r="M465" s="38"/>
      <c r="O465" s="12">
        <f t="shared" si="89"/>
        <v>37.666666666666664</v>
      </c>
      <c r="P465" s="13">
        <v>452</v>
      </c>
      <c r="Q465" s="21">
        <v>2.6586531962900173E-2</v>
      </c>
      <c r="R465" s="18">
        <f t="shared" si="90"/>
        <v>2.320293473352697E-2</v>
      </c>
      <c r="S465" s="21">
        <v>3.1801966485471178E-2</v>
      </c>
      <c r="T465" s="18">
        <f t="shared" si="91"/>
        <v>4.1060741443304849E-2</v>
      </c>
      <c r="U465" s="23">
        <v>3.4960935388893555E-2</v>
      </c>
      <c r="V465" s="23">
        <f t="shared" si="92"/>
        <v>4.1352821309027732E-2</v>
      </c>
      <c r="W465" s="22">
        <f t="shared" si="95"/>
        <v>3.3810254452535382E-3</v>
      </c>
      <c r="X465" s="23">
        <v>3.4328183070536644E-2</v>
      </c>
      <c r="Y465" s="23">
        <f t="shared" si="96"/>
        <v>4.1290880537504071E-2</v>
      </c>
      <c r="Z465" s="22">
        <f t="shared" si="97"/>
        <v>3.375979300984433E-3</v>
      </c>
      <c r="AA465" s="33"/>
      <c r="AB465" s="50">
        <f t="shared" si="93"/>
        <v>452</v>
      </c>
      <c r="AC465" s="48">
        <f t="shared" si="88"/>
        <v>0.37219210071684944</v>
      </c>
      <c r="AE465" s="48">
        <f t="shared" si="94"/>
        <v>0.99809087442079436</v>
      </c>
      <c r="AF465" s="48">
        <f t="shared" si="98"/>
        <v>0.37219210071684933</v>
      </c>
      <c r="AH465" s="48">
        <f t="shared" si="99"/>
        <v>0</v>
      </c>
    </row>
    <row r="466" spans="4:34" ht="13.9" customHeight="1">
      <c r="D466" s="8"/>
      <c r="E466" s="9"/>
      <c r="F466" s="18"/>
      <c r="G466" s="18"/>
      <c r="H466" s="18"/>
      <c r="J466" s="40"/>
      <c r="K466" s="40"/>
      <c r="L466" s="40"/>
      <c r="M466" s="38"/>
      <c r="O466" s="12">
        <f t="shared" si="89"/>
        <v>37.75</v>
      </c>
      <c r="P466" s="13">
        <v>453</v>
      </c>
      <c r="Q466" s="21">
        <v>2.6579050344185395E-2</v>
      </c>
      <c r="R466" s="18">
        <f t="shared" si="90"/>
        <v>2.3209574452659032E-2</v>
      </c>
      <c r="S466" s="21">
        <v>3.1822314325065326E-2</v>
      </c>
      <c r="T466" s="18">
        <f t="shared" si="91"/>
        <v>4.1082304289609128E-2</v>
      </c>
      <c r="U466" s="23">
        <v>3.4975002214666873E-2</v>
      </c>
      <c r="V466" s="23">
        <f t="shared" si="92"/>
        <v>4.1370115665018803E-2</v>
      </c>
      <c r="W466" s="22">
        <f t="shared" si="95"/>
        <v>3.3824290113413369E-3</v>
      </c>
      <c r="X466" s="23">
        <v>3.4343501874958049E-2</v>
      </c>
      <c r="Y466" s="23">
        <f t="shared" si="96"/>
        <v>4.1309064412113683E-2</v>
      </c>
      <c r="Z466" s="22">
        <f t="shared" si="97"/>
        <v>3.3774553547245567E-3</v>
      </c>
      <c r="AA466" s="33"/>
      <c r="AB466" s="50">
        <f t="shared" si="93"/>
        <v>453</v>
      </c>
      <c r="AC466" s="48">
        <f t="shared" si="88"/>
        <v>0.37148134001653271</v>
      </c>
      <c r="AE466" s="48">
        <f t="shared" si="94"/>
        <v>0.99809033910459555</v>
      </c>
      <c r="AF466" s="48">
        <f t="shared" si="98"/>
        <v>0.37148134001653194</v>
      </c>
      <c r="AH466" s="48">
        <f t="shared" si="99"/>
        <v>-7.7715611723760958E-16</v>
      </c>
    </row>
    <row r="467" spans="4:34" ht="13.9" customHeight="1">
      <c r="D467" s="8"/>
      <c r="E467" s="9"/>
      <c r="F467" s="18"/>
      <c r="G467" s="18"/>
      <c r="H467" s="18"/>
      <c r="J467" s="40"/>
      <c r="K467" s="40"/>
      <c r="L467" s="40"/>
      <c r="M467" s="38"/>
      <c r="O467" s="12">
        <f t="shared" si="89"/>
        <v>37.833333333333336</v>
      </c>
      <c r="P467" s="13">
        <v>454</v>
      </c>
      <c r="Q467" s="21">
        <v>2.6571616411342536E-2</v>
      </c>
      <c r="R467" s="18">
        <f t="shared" si="90"/>
        <v>2.3216268844139076E-2</v>
      </c>
      <c r="S467" s="21">
        <v>3.1842619999443711E-2</v>
      </c>
      <c r="T467" s="18">
        <f t="shared" si="91"/>
        <v>4.1103624342514689E-2</v>
      </c>
      <c r="U467" s="23">
        <v>3.4989045122163942E-2</v>
      </c>
      <c r="V467" s="23">
        <f t="shared" si="92"/>
        <v>4.138722636312786E-2</v>
      </c>
      <c r="W467" s="22">
        <f t="shared" si="95"/>
        <v>3.3838176473925952E-3</v>
      </c>
      <c r="X467" s="23">
        <v>3.4358793206640925E-2</v>
      </c>
      <c r="Y467" s="23">
        <f t="shared" si="96"/>
        <v>4.1327052558665534E-2</v>
      </c>
      <c r="Z467" s="22">
        <f t="shared" si="97"/>
        <v>3.3789154929806386E-3</v>
      </c>
      <c r="AA467" s="33"/>
      <c r="AB467" s="50">
        <f t="shared" si="93"/>
        <v>454</v>
      </c>
      <c r="AC467" s="48">
        <f t="shared" si="88"/>
        <v>0.37077173612922043</v>
      </c>
      <c r="AE467" s="48">
        <f t="shared" si="94"/>
        <v>0.99808979937651865</v>
      </c>
      <c r="AF467" s="48">
        <f t="shared" si="98"/>
        <v>0.37077173612922065</v>
      </c>
      <c r="AH467" s="48">
        <f t="shared" si="99"/>
        <v>0</v>
      </c>
    </row>
    <row r="468" spans="4:34" ht="13.9" customHeight="1">
      <c r="D468" s="8"/>
      <c r="E468" s="9"/>
      <c r="F468" s="18"/>
      <c r="G468" s="18"/>
      <c r="H468" s="18"/>
      <c r="J468" s="40"/>
      <c r="K468" s="40"/>
      <c r="L468" s="40"/>
      <c r="M468" s="38"/>
      <c r="O468" s="12">
        <f t="shared" si="89"/>
        <v>37.916666666666664</v>
      </c>
      <c r="P468" s="13">
        <v>455</v>
      </c>
      <c r="Q468" s="21">
        <v>2.6564229969742836E-2</v>
      </c>
      <c r="R468" s="18">
        <f t="shared" si="90"/>
        <v>2.3223018265299711E-2</v>
      </c>
      <c r="S468" s="21">
        <v>3.1862883256916552E-2</v>
      </c>
      <c r="T468" s="18">
        <f t="shared" si="91"/>
        <v>4.1124704403151746E-2</v>
      </c>
      <c r="U468" s="23">
        <v>3.5003063867575124E-2</v>
      </c>
      <c r="V468" s="23">
        <f t="shared" si="92"/>
        <v>4.1404155397218201E-2</v>
      </c>
      <c r="W468" s="22">
        <f t="shared" si="95"/>
        <v>3.3851915159817114E-3</v>
      </c>
      <c r="X468" s="23">
        <v>3.4374056819004961E-2</v>
      </c>
      <c r="Y468" s="23">
        <f t="shared" si="96"/>
        <v>4.1344847131892015E-2</v>
      </c>
      <c r="Z468" s="22">
        <f t="shared" si="97"/>
        <v>3.3803598915662647E-3</v>
      </c>
      <c r="AA468" s="33"/>
      <c r="AB468" s="50">
        <f t="shared" si="93"/>
        <v>455</v>
      </c>
      <c r="AC468" s="48">
        <f t="shared" si="88"/>
        <v>0.37006328596542359</v>
      </c>
      <c r="AE468" s="48">
        <f t="shared" si="94"/>
        <v>0.99808925520808878</v>
      </c>
      <c r="AF468" s="48">
        <f t="shared" si="98"/>
        <v>0.37006328596542387</v>
      </c>
      <c r="AH468" s="48">
        <f t="shared" si="99"/>
        <v>0</v>
      </c>
    </row>
    <row r="469" spans="4:34" ht="13.9" customHeight="1">
      <c r="D469" s="8"/>
      <c r="E469" s="9"/>
      <c r="F469" s="18"/>
      <c r="G469" s="18"/>
      <c r="H469" s="18"/>
      <c r="J469" s="40"/>
      <c r="K469" s="40"/>
      <c r="L469" s="40"/>
      <c r="M469" s="38"/>
      <c r="O469" s="12">
        <f t="shared" si="89"/>
        <v>38</v>
      </c>
      <c r="P469" s="13">
        <v>456</v>
      </c>
      <c r="Q469" s="21">
        <v>2.6556890827251989E-2</v>
      </c>
      <c r="R469" s="18">
        <f t="shared" si="90"/>
        <v>2.322982245541394E-2</v>
      </c>
      <c r="S469" s="21">
        <v>3.1883103854086325E-2</v>
      </c>
      <c r="T469" s="18">
        <f t="shared" si="91"/>
        <v>4.1145547238589764E-2</v>
      </c>
      <c r="U469" s="23">
        <v>3.5017058213574925E-2</v>
      </c>
      <c r="V469" s="23">
        <f t="shared" si="92"/>
        <v>4.1420904738476372E-2</v>
      </c>
      <c r="W469" s="22">
        <f t="shared" si="95"/>
        <v>3.3865507778652049E-3</v>
      </c>
      <c r="X469" s="23">
        <v>3.4389292472326138E-2</v>
      </c>
      <c r="Y469" s="23">
        <f t="shared" si="96"/>
        <v>4.1362450261627881E-2</v>
      </c>
      <c r="Z469" s="22">
        <f t="shared" si="97"/>
        <v>3.3817887242439948E-3</v>
      </c>
      <c r="AA469" s="33"/>
      <c r="AB469" s="50">
        <f t="shared" si="93"/>
        <v>456</v>
      </c>
      <c r="AC469" s="48">
        <f t="shared" si="88"/>
        <v>0.36935598643840473</v>
      </c>
      <c r="AE469" s="48">
        <f t="shared" si="94"/>
        <v>0.9980887065703542</v>
      </c>
      <c r="AF469" s="48">
        <f t="shared" si="98"/>
        <v>0.369355986438405</v>
      </c>
      <c r="AH469" s="48">
        <f t="shared" si="99"/>
        <v>0</v>
      </c>
    </row>
    <row r="470" spans="4:34" ht="13.9" customHeight="1">
      <c r="D470" s="8"/>
      <c r="E470" s="9"/>
      <c r="F470" s="18"/>
      <c r="G470" s="18"/>
      <c r="H470" s="18"/>
      <c r="J470" s="40"/>
      <c r="K470" s="40"/>
      <c r="L470" s="40"/>
      <c r="M470" s="38"/>
      <c r="O470" s="12">
        <f t="shared" si="89"/>
        <v>38.083333333333336</v>
      </c>
      <c r="P470" s="13">
        <v>457</v>
      </c>
      <c r="Q470" s="21">
        <v>2.6549598792845464E-2</v>
      </c>
      <c r="R470" s="18">
        <f t="shared" si="90"/>
        <v>2.3236679298030305E-2</v>
      </c>
      <c r="S470" s="21">
        <v>3.1903281555683005E-2</v>
      </c>
      <c r="T470" s="18">
        <f t="shared" si="91"/>
        <v>4.1166155582469388E-2</v>
      </c>
      <c r="U470" s="23">
        <v>3.503102792920143E-2</v>
      </c>
      <c r="V470" s="23">
        <f t="shared" si="92"/>
        <v>4.1437476335691059E-2</v>
      </c>
      <c r="W470" s="22">
        <f t="shared" si="95"/>
        <v>3.3878955919623976E-3</v>
      </c>
      <c r="X470" s="23">
        <v>3.4404499933606614E-2</v>
      </c>
      <c r="Y470" s="23">
        <f t="shared" si="96"/>
        <v>4.1379864053336712E-2</v>
      </c>
      <c r="Z470" s="22">
        <f t="shared" si="97"/>
        <v>3.3832021627577813E-3</v>
      </c>
      <c r="AA470" s="33"/>
      <c r="AB470" s="50">
        <f t="shared" si="93"/>
        <v>457</v>
      </c>
      <c r="AC470" s="48">
        <f t="shared" si="88"/>
        <v>0.36864983448279154</v>
      </c>
      <c r="AE470" s="48">
        <f t="shared" si="94"/>
        <v>0.99808815348460389</v>
      </c>
      <c r="AF470" s="48">
        <f t="shared" si="98"/>
        <v>0.36864983448279204</v>
      </c>
      <c r="AH470" s="48">
        <f t="shared" si="99"/>
        <v>4.9960036108132044E-16</v>
      </c>
    </row>
    <row r="471" spans="4:34" ht="13.9" customHeight="1">
      <c r="D471" s="8"/>
      <c r="E471" s="9"/>
      <c r="F471" s="18"/>
      <c r="G471" s="18"/>
      <c r="H471" s="18"/>
      <c r="J471" s="40"/>
      <c r="K471" s="40"/>
      <c r="L471" s="40"/>
      <c r="M471" s="38"/>
      <c r="O471" s="12">
        <f t="shared" si="89"/>
        <v>38.166666666666664</v>
      </c>
      <c r="P471" s="13">
        <v>458</v>
      </c>
      <c r="Q471" s="21">
        <v>2.6542353672531993E-2</v>
      </c>
      <c r="R471" s="18">
        <f t="shared" si="90"/>
        <v>2.3243588544581195E-2</v>
      </c>
      <c r="S471" s="21">
        <v>3.1923416134403082E-2</v>
      </c>
      <c r="T471" s="18">
        <f t="shared" si="91"/>
        <v>4.1186532135691456E-2</v>
      </c>
      <c r="U471" s="23">
        <v>3.5044972789738393E-2</v>
      </c>
      <c r="V471" s="23">
        <f t="shared" si="92"/>
        <v>4.1453872116012258E-2</v>
      </c>
      <c r="W471" s="22">
        <f t="shared" si="95"/>
        <v>3.3892261153776193E-3</v>
      </c>
      <c r="X471" s="23">
        <v>3.4419678976449042E-2</v>
      </c>
      <c r="Y471" s="23">
        <f t="shared" si="96"/>
        <v>4.1397090588570551E-2</v>
      </c>
      <c r="Z471" s="22">
        <f t="shared" si="97"/>
        <v>3.3846003768767119E-3</v>
      </c>
      <c r="AA471" s="33"/>
      <c r="AB471" s="50">
        <f t="shared" si="93"/>
        <v>458</v>
      </c>
      <c r="AC471" s="48">
        <f t="shared" si="88"/>
        <v>0.36794482711005955</v>
      </c>
      <c r="AE471" s="48">
        <f t="shared" si="94"/>
        <v>0.99808759612297027</v>
      </c>
      <c r="AF471" s="48">
        <f t="shared" si="98"/>
        <v>0.36794482711006077</v>
      </c>
      <c r="AH471" s="48">
        <f t="shared" si="99"/>
        <v>1.2212453270876722E-15</v>
      </c>
    </row>
    <row r="472" spans="4:34" ht="13.9" customHeight="1">
      <c r="D472" s="8"/>
      <c r="E472" s="9"/>
      <c r="F472" s="18"/>
      <c r="G472" s="18"/>
      <c r="H472" s="18"/>
      <c r="J472" s="40"/>
      <c r="K472" s="40"/>
      <c r="L472" s="40"/>
      <c r="M472" s="38"/>
      <c r="O472" s="12">
        <f t="shared" si="89"/>
        <v>38.25</v>
      </c>
      <c r="P472" s="13">
        <v>459</v>
      </c>
      <c r="Q472" s="21">
        <v>2.6535155273468058E-2</v>
      </c>
      <c r="R472" s="18">
        <f t="shared" si="90"/>
        <v>2.325055057062908E-2</v>
      </c>
      <c r="S472" s="21">
        <v>3.1943507370751689E-2</v>
      </c>
      <c r="T472" s="18">
        <f t="shared" si="91"/>
        <v>4.1206679566456517E-2</v>
      </c>
      <c r="U472" s="23">
        <v>3.5058892576599998E-2</v>
      </c>
      <c r="V472" s="23">
        <f t="shared" si="92"/>
        <v>4.1470093984350198E-2</v>
      </c>
      <c r="W472" s="22">
        <f t="shared" si="95"/>
        <v>3.3905425034626013E-3</v>
      </c>
      <c r="X472" s="23">
        <v>3.4434829380932452E-2</v>
      </c>
      <c r="Y472" s="23">
        <f t="shared" si="96"/>
        <v>4.1414131924618847E-2</v>
      </c>
      <c r="Z472" s="22">
        <f t="shared" si="97"/>
        <v>3.385983534432091E-3</v>
      </c>
      <c r="AA472" s="33"/>
      <c r="AB472" s="50">
        <f t="shared" si="93"/>
        <v>459</v>
      </c>
      <c r="AC472" s="48">
        <f t="shared" si="88"/>
        <v>0.36724096135201106</v>
      </c>
      <c r="AE472" s="48">
        <f t="shared" si="94"/>
        <v>0.9980870345057512</v>
      </c>
      <c r="AF472" s="48">
        <f t="shared" si="98"/>
        <v>0.3672409613520119</v>
      </c>
      <c r="AH472" s="48">
        <f t="shared" si="99"/>
        <v>8.3266726846886741E-16</v>
      </c>
    </row>
    <row r="473" spans="4:34" ht="13.9" customHeight="1">
      <c r="D473" s="8"/>
      <c r="E473" s="9"/>
      <c r="F473" s="18"/>
      <c r="G473" s="18"/>
      <c r="H473" s="18"/>
      <c r="J473" s="40"/>
      <c r="K473" s="40"/>
      <c r="L473" s="40"/>
      <c r="M473" s="38"/>
      <c r="O473" s="12">
        <f t="shared" si="89"/>
        <v>38.333333333333336</v>
      </c>
      <c r="P473" s="13">
        <v>460</v>
      </c>
      <c r="Q473" s="21">
        <v>2.6528003405307254E-2</v>
      </c>
      <c r="R473" s="18">
        <f t="shared" si="90"/>
        <v>2.3257565755932186E-2</v>
      </c>
      <c r="S473" s="21">
        <v>3.1963555052887616E-2</v>
      </c>
      <c r="T473" s="18">
        <f t="shared" si="91"/>
        <v>4.122660051095095E-2</v>
      </c>
      <c r="U473" s="23">
        <v>3.5072787077216283E-2</v>
      </c>
      <c r="V473" s="23">
        <f t="shared" si="92"/>
        <v>4.1486143824714272E-2</v>
      </c>
      <c r="W473" s="22">
        <f t="shared" si="95"/>
        <v>3.3918449097674053E-3</v>
      </c>
      <c r="X473" s="23">
        <v>3.4449950933489459E-2</v>
      </c>
      <c r="Y473" s="23">
        <f t="shared" si="96"/>
        <v>4.1430990096025688E-2</v>
      </c>
      <c r="Z473" s="22">
        <f t="shared" si="97"/>
        <v>3.387351801289018E-3</v>
      </c>
      <c r="AA473" s="33"/>
      <c r="AB473" s="50">
        <f t="shared" si="93"/>
        <v>460</v>
      </c>
      <c r="AC473" s="48">
        <f t="shared" si="88"/>
        <v>0.36653823424202031</v>
      </c>
      <c r="AE473" s="48">
        <f t="shared" si="94"/>
        <v>0.99808646860251304</v>
      </c>
      <c r="AF473" s="48">
        <f t="shared" si="98"/>
        <v>0.36653823424202153</v>
      </c>
      <c r="AH473" s="48">
        <f t="shared" si="99"/>
        <v>1.2212453270876722E-15</v>
      </c>
    </row>
    <row r="474" spans="4:34" ht="13.9" customHeight="1">
      <c r="D474" s="8"/>
      <c r="E474" s="9"/>
      <c r="F474" s="18"/>
      <c r="G474" s="18"/>
      <c r="H474" s="18"/>
      <c r="J474" s="40"/>
      <c r="K474" s="40"/>
      <c r="L474" s="40"/>
      <c r="M474" s="38"/>
      <c r="O474" s="12">
        <f t="shared" si="89"/>
        <v>38.416666666666664</v>
      </c>
      <c r="P474" s="13">
        <v>461</v>
      </c>
      <c r="Q474" s="21">
        <v>2.6520897880181638E-2</v>
      </c>
      <c r="R474" s="18">
        <f t="shared" si="90"/>
        <v>2.326463448372551E-2</v>
      </c>
      <c r="S474" s="21">
        <v>3.1983558976471205E-2</v>
      </c>
      <c r="T474" s="18">
        <f t="shared" si="91"/>
        <v>4.124629757372511E-2</v>
      </c>
      <c r="U474" s="23">
        <v>3.5086656084922341E-2</v>
      </c>
      <c r="V474" s="23">
        <f t="shared" si="92"/>
        <v>4.1502023499194074E-2</v>
      </c>
      <c r="W474" s="22">
        <f t="shared" si="95"/>
        <v>3.3931334861492246E-3</v>
      </c>
      <c r="X474" s="23">
        <v>3.4465043426787911E-2</v>
      </c>
      <c r="Y474" s="23">
        <f t="shared" si="96"/>
        <v>4.1447667113051034E-2</v>
      </c>
      <c r="Z474" s="22">
        <f t="shared" si="97"/>
        <v>3.3887053414694002E-3</v>
      </c>
      <c r="AA474" s="33"/>
      <c r="AB474" s="50">
        <f t="shared" si="93"/>
        <v>461</v>
      </c>
      <c r="AC474" s="48">
        <f t="shared" si="88"/>
        <v>0.36583664281497602</v>
      </c>
      <c r="AE474" s="48">
        <f t="shared" si="94"/>
        <v>0.99808589838248229</v>
      </c>
      <c r="AF474" s="48">
        <f t="shared" si="98"/>
        <v>0.3658366428149768</v>
      </c>
      <c r="AH474" s="48">
        <f t="shared" si="99"/>
        <v>7.7715611723760958E-16</v>
      </c>
    </row>
    <row r="475" spans="4:34" ht="13.9" customHeight="1">
      <c r="D475" s="8"/>
      <c r="E475" s="9"/>
      <c r="F475" s="18"/>
      <c r="G475" s="18"/>
      <c r="H475" s="18"/>
      <c r="J475" s="40"/>
      <c r="K475" s="40"/>
      <c r="L475" s="40"/>
      <c r="M475" s="38"/>
      <c r="O475" s="12">
        <f t="shared" si="89"/>
        <v>38.5</v>
      </c>
      <c r="P475" s="13">
        <v>462</v>
      </c>
      <c r="Q475" s="21">
        <v>2.6513838512682852E-2</v>
      </c>
      <c r="R475" s="18">
        <f t="shared" si="90"/>
        <v>2.3271756529861243E-2</v>
      </c>
      <c r="S475" s="21">
        <v>3.2003518944515141E-2</v>
      </c>
      <c r="T475" s="18">
        <f t="shared" si="91"/>
        <v>4.1265773328321931E-2</v>
      </c>
      <c r="U475" s="23">
        <v>3.510049939884774E-2</v>
      </c>
      <c r="V475" s="23">
        <f t="shared" si="92"/>
        <v>4.1517734849770171E-2</v>
      </c>
      <c r="W475" s="22">
        <f t="shared" si="95"/>
        <v>3.3944083826904503E-3</v>
      </c>
      <c r="X475" s="23">
        <v>3.4480106659611875E-2</v>
      </c>
      <c r="Y475" s="23">
        <f t="shared" si="96"/>
        <v>4.1464164963623373E-2</v>
      </c>
      <c r="Z475" s="22">
        <f t="shared" si="97"/>
        <v>3.3900443170284955E-3</v>
      </c>
      <c r="AA475" s="33"/>
      <c r="AB475" s="50">
        <f t="shared" si="93"/>
        <v>462</v>
      </c>
      <c r="AC475" s="48">
        <f t="shared" si="88"/>
        <v>0.36513618410723347</v>
      </c>
      <c r="AE475" s="48">
        <f t="shared" si="94"/>
        <v>0.9980853238146048</v>
      </c>
      <c r="AF475" s="48">
        <f t="shared" si="98"/>
        <v>0.36513618410723403</v>
      </c>
      <c r="AH475" s="48">
        <f t="shared" si="99"/>
        <v>5.5511151231257827E-16</v>
      </c>
    </row>
    <row r="476" spans="4:34" ht="13.9" customHeight="1">
      <c r="D476" s="8"/>
      <c r="E476" s="9"/>
      <c r="F476" s="18"/>
      <c r="G476" s="18"/>
      <c r="H476" s="18"/>
      <c r="J476" s="40"/>
      <c r="K476" s="40"/>
      <c r="L476" s="40"/>
      <c r="M476" s="38"/>
      <c r="O476" s="12">
        <f t="shared" si="89"/>
        <v>38.583333333333336</v>
      </c>
      <c r="P476" s="13">
        <v>463</v>
      </c>
      <c r="Q476" s="21">
        <v>2.6506825118519206E-2</v>
      </c>
      <c r="R476" s="18">
        <f t="shared" si="90"/>
        <v>2.3278929840504059E-2</v>
      </c>
      <c r="S476" s="21">
        <v>3.202343476723879E-2</v>
      </c>
      <c r="T476" s="18">
        <f t="shared" si="91"/>
        <v>4.1285030317192772E-2</v>
      </c>
      <c r="U476" s="23">
        <v>3.5114316823810166E-2</v>
      </c>
      <c r="V476" s="23">
        <f t="shared" si="92"/>
        <v>4.1533279696797765E-2</v>
      </c>
      <c r="W476" s="22">
        <f t="shared" si="95"/>
        <v>3.39566974784411E-3</v>
      </c>
      <c r="X476" s="23">
        <v>3.4495140436746841E-2</v>
      </c>
      <c r="Y476" s="23">
        <f t="shared" si="96"/>
        <v>4.1480485613186735E-2</v>
      </c>
      <c r="Z476" s="22">
        <f t="shared" si="97"/>
        <v>3.3913688882121207E-3</v>
      </c>
      <c r="AA476" s="33"/>
      <c r="AB476" s="50">
        <f t="shared" si="93"/>
        <v>463</v>
      </c>
      <c r="AC476" s="48">
        <f t="shared" si="88"/>
        <v>0.36443685517470686</v>
      </c>
      <c r="AE476" s="48">
        <f t="shared" si="94"/>
        <v>0.99808474491719779</v>
      </c>
      <c r="AF476" s="48">
        <f t="shared" si="98"/>
        <v>0.36443685517470764</v>
      </c>
      <c r="AH476" s="48">
        <f t="shared" si="99"/>
        <v>7.7715611723760958E-16</v>
      </c>
    </row>
    <row r="477" spans="4:34" ht="13.9" customHeight="1">
      <c r="D477" s="8"/>
      <c r="E477" s="9"/>
      <c r="F477" s="18"/>
      <c r="G477" s="18"/>
      <c r="H477" s="18"/>
      <c r="J477" s="40"/>
      <c r="K477" s="40"/>
      <c r="L477" s="40"/>
      <c r="M477" s="38"/>
      <c r="O477" s="12">
        <f t="shared" si="89"/>
        <v>38.666666666666664</v>
      </c>
      <c r="P477" s="13">
        <v>464</v>
      </c>
      <c r="Q477" s="21">
        <v>2.6499857510547953E-2</v>
      </c>
      <c r="R477" s="18">
        <f t="shared" si="90"/>
        <v>2.3286154203328691E-2</v>
      </c>
      <c r="S477" s="21">
        <v>3.2043306261923865E-2</v>
      </c>
      <c r="T477" s="18">
        <f t="shared" si="91"/>
        <v>4.1304071052032043E-2</v>
      </c>
      <c r="U477" s="23">
        <v>3.5128108170208172E-2</v>
      </c>
      <c r="V477" s="23">
        <f t="shared" si="92"/>
        <v>4.1548659841114555E-2</v>
      </c>
      <c r="W477" s="22">
        <f t="shared" si="95"/>
        <v>3.3969177283130758E-3</v>
      </c>
      <c r="X477" s="23">
        <v>3.451014456886714E-2</v>
      </c>
      <c r="Y477" s="23">
        <f t="shared" si="96"/>
        <v>4.1496631004084517E-2</v>
      </c>
      <c r="Z477" s="22">
        <f t="shared" si="97"/>
        <v>3.3926792134444383E-3</v>
      </c>
      <c r="AA477" s="33"/>
      <c r="AB477" s="50">
        <f t="shared" si="93"/>
        <v>464</v>
      </c>
      <c r="AC477" s="48">
        <f t="shared" si="88"/>
        <v>0.36373865314695686</v>
      </c>
      <c r="AE477" s="48">
        <f t="shared" si="94"/>
        <v>0.99808416185729765</v>
      </c>
      <c r="AF477" s="48">
        <f t="shared" si="98"/>
        <v>0.36373865314695747</v>
      </c>
      <c r="AH477" s="48">
        <f t="shared" si="99"/>
        <v>6.106226635438361E-16</v>
      </c>
    </row>
    <row r="478" spans="4:34" ht="13.9" customHeight="1">
      <c r="D478" s="8"/>
      <c r="E478" s="9"/>
      <c r="F478" s="18"/>
      <c r="G478" s="18"/>
      <c r="H478" s="18"/>
      <c r="J478" s="40"/>
      <c r="K478" s="40"/>
      <c r="L478" s="40"/>
      <c r="M478" s="38"/>
      <c r="O478" s="12">
        <f t="shared" si="89"/>
        <v>38.75</v>
      </c>
      <c r="P478" s="13">
        <v>465</v>
      </c>
      <c r="Q478" s="21">
        <v>2.649293550277898E-2</v>
      </c>
      <c r="R478" s="18">
        <f t="shared" si="90"/>
        <v>2.3293430019653893E-2</v>
      </c>
      <c r="S478" s="21">
        <v>3.2063133252773213E-2</v>
      </c>
      <c r="T478" s="18">
        <f t="shared" si="91"/>
        <v>4.1322898015291099E-2</v>
      </c>
      <c r="U478" s="23">
        <v>3.5141873253918821E-2</v>
      </c>
      <c r="V478" s="23">
        <f t="shared" si="92"/>
        <v>4.1563877062354981E-2</v>
      </c>
      <c r="W478" s="22">
        <f t="shared" si="95"/>
        <v>3.3981524692199283E-3</v>
      </c>
      <c r="X478" s="23">
        <v>3.4525118872423377E-2</v>
      </c>
      <c r="Y478" s="23">
        <f t="shared" si="96"/>
        <v>4.151260305723925E-2</v>
      </c>
      <c r="Z478" s="22">
        <f t="shared" si="97"/>
        <v>3.3939754492795515E-3</v>
      </c>
      <c r="AA478" s="33"/>
      <c r="AB478" s="50">
        <f t="shared" si="93"/>
        <v>465</v>
      </c>
      <c r="AC478" s="48">
        <f t="shared" si="88"/>
        <v>0.36304157517211261</v>
      </c>
      <c r="AE478" s="48">
        <f t="shared" si="94"/>
        <v>0.99808357465225761</v>
      </c>
      <c r="AF478" s="48">
        <f t="shared" si="98"/>
        <v>0.36304157517211294</v>
      </c>
      <c r="AH478" s="48">
        <f t="shared" si="99"/>
        <v>0</v>
      </c>
    </row>
    <row r="479" spans="4:34" ht="13.9" customHeight="1">
      <c r="D479" s="8"/>
      <c r="E479" s="9"/>
      <c r="F479" s="18"/>
      <c r="G479" s="18"/>
      <c r="H479" s="18"/>
      <c r="J479" s="40"/>
      <c r="K479" s="40"/>
      <c r="L479" s="40"/>
      <c r="M479" s="38"/>
      <c r="O479" s="12">
        <f t="shared" si="89"/>
        <v>38.833333333333336</v>
      </c>
      <c r="P479" s="13">
        <v>466</v>
      </c>
      <c r="Q479" s="21">
        <v>2.6486058911683319E-2</v>
      </c>
      <c r="R479" s="18">
        <f t="shared" si="90"/>
        <v>2.3300757696311569E-2</v>
      </c>
      <c r="S479" s="21">
        <v>3.2082915570774251E-2</v>
      </c>
      <c r="T479" s="18">
        <f t="shared" si="91"/>
        <v>4.134151365900296E-2</v>
      </c>
      <c r="U479" s="23">
        <v>3.5155611896194428E-2</v>
      </c>
      <c r="V479" s="23">
        <f t="shared" si="92"/>
        <v>4.1578933121038775E-2</v>
      </c>
      <c r="W479" s="22">
        <f t="shared" si="95"/>
        <v>3.3993741139706213E-3</v>
      </c>
      <c r="X479" s="23">
        <v>3.4540063169534285E-2</v>
      </c>
      <c r="Y479" s="23">
        <f t="shared" si="96"/>
        <v>4.1528403671176495E-2</v>
      </c>
      <c r="Z479" s="22">
        <f t="shared" si="97"/>
        <v>3.3952577505362846E-3</v>
      </c>
      <c r="AA479" s="33"/>
      <c r="AB479" s="50">
        <f t="shared" si="93"/>
        <v>466</v>
      </c>
      <c r="AC479" s="48">
        <f t="shared" si="88"/>
        <v>0.36234561839865942</v>
      </c>
      <c r="AE479" s="48">
        <f t="shared" si="94"/>
        <v>0.99808298326955325</v>
      </c>
      <c r="AF479" s="48">
        <f t="shared" si="98"/>
        <v>0.36234561839866025</v>
      </c>
      <c r="AH479" s="48">
        <f t="shared" si="99"/>
        <v>8.3266726846886741E-16</v>
      </c>
    </row>
    <row r="480" spans="4:34" ht="13.9" customHeight="1">
      <c r="D480" s="8"/>
      <c r="E480" s="9"/>
      <c r="F480" s="18"/>
      <c r="G480" s="18"/>
      <c r="H480" s="18"/>
      <c r="J480" s="40"/>
      <c r="K480" s="40"/>
      <c r="L480" s="40"/>
      <c r="M480" s="38"/>
      <c r="O480" s="12">
        <f t="shared" si="89"/>
        <v>38.916666666666664</v>
      </c>
      <c r="P480" s="13">
        <v>467</v>
      </c>
      <c r="Q480" s="21">
        <v>2.6479227556178264E-2</v>
      </c>
      <c r="R480" s="18">
        <f t="shared" si="90"/>
        <v>2.3308137642578552E-2</v>
      </c>
      <c r="S480" s="21">
        <v>3.2102653053561303E-2</v>
      </c>
      <c r="T480" s="18">
        <f t="shared" si="91"/>
        <v>4.1359920406347506E-2</v>
      </c>
      <c r="U480" s="23">
        <v>3.5169323923563311E-2</v>
      </c>
      <c r="V480" s="23">
        <f t="shared" si="92"/>
        <v>4.1593829757416323E-2</v>
      </c>
      <c r="W480" s="22">
        <f t="shared" si="95"/>
        <v>3.4005828044234576E-3</v>
      </c>
      <c r="X480" s="23">
        <v>3.4554977287878819E-2</v>
      </c>
      <c r="Y480" s="23">
        <f t="shared" si="96"/>
        <v>4.154403472297008E-2</v>
      </c>
      <c r="Z480" s="22">
        <f t="shared" si="97"/>
        <v>3.3965262702202459E-3</v>
      </c>
      <c r="AA480" s="33"/>
      <c r="AB480" s="50">
        <f t="shared" si="93"/>
        <v>467</v>
      </c>
      <c r="AC480" s="48">
        <f t="shared" si="88"/>
        <v>0.36165077997534989</v>
      </c>
      <c r="AE480" s="48">
        <f t="shared" si="94"/>
        <v>0.99808238767621416</v>
      </c>
      <c r="AF480" s="48">
        <f t="shared" si="98"/>
        <v>0.36165077997534917</v>
      </c>
      <c r="AH480" s="48">
        <f t="shared" si="99"/>
        <v>-7.2164496600635175E-16</v>
      </c>
    </row>
    <row r="481" spans="4:34" ht="13.9" customHeight="1">
      <c r="D481" s="8"/>
      <c r="E481" s="9"/>
      <c r="F481" s="18"/>
      <c r="G481" s="18"/>
      <c r="H481" s="18"/>
      <c r="J481" s="40"/>
      <c r="K481" s="40"/>
      <c r="L481" s="40"/>
      <c r="M481" s="38"/>
      <c r="O481" s="12">
        <f t="shared" si="89"/>
        <v>39</v>
      </c>
      <c r="P481" s="13">
        <v>468</v>
      </c>
      <c r="Q481" s="21">
        <v>2.6472441257607171E-2</v>
      </c>
      <c r="R481" s="18">
        <f t="shared" si="90"/>
        <v>2.3315569669683178E-2</v>
      </c>
      <c r="S481" s="21">
        <v>3.2122345545283926E-2</v>
      </c>
      <c r="T481" s="18">
        <f t="shared" si="91"/>
        <v>4.1378120651237804E-2</v>
      </c>
      <c r="U481" s="23">
        <v>3.5183009167731205E-2</v>
      </c>
      <c r="V481" s="23">
        <f t="shared" si="92"/>
        <v>4.1608568692638626E-2</v>
      </c>
      <c r="W481" s="22">
        <f t="shared" si="95"/>
        <v>3.4017786807964967E-3</v>
      </c>
      <c r="X481" s="23">
        <v>3.4569861060590901E-2</v>
      </c>
      <c r="Y481" s="23">
        <f t="shared" si="96"/>
        <v>4.1559498068603373E-2</v>
      </c>
      <c r="Z481" s="22">
        <f t="shared" si="97"/>
        <v>3.3977811595997665E-3</v>
      </c>
      <c r="AA481" s="33"/>
      <c r="AB481" s="50">
        <f t="shared" si="93"/>
        <v>468</v>
      </c>
      <c r="AC481" s="48">
        <f t="shared" si="88"/>
        <v>0.36095705705119113</v>
      </c>
      <c r="AE481" s="48">
        <f t="shared" si="94"/>
        <v>0.99808178783907253</v>
      </c>
      <c r="AF481" s="48">
        <f t="shared" si="98"/>
        <v>0.36095705705119158</v>
      </c>
      <c r="AH481" s="48">
        <f t="shared" si="99"/>
        <v>4.4408920985006262E-16</v>
      </c>
    </row>
    <row r="482" spans="4:34" ht="13.9" customHeight="1">
      <c r="D482" s="8"/>
      <c r="E482" s="9"/>
      <c r="F482" s="18"/>
      <c r="G482" s="18"/>
      <c r="H482" s="18"/>
      <c r="J482" s="40"/>
      <c r="K482" s="40"/>
      <c r="L482" s="40"/>
      <c r="M482" s="38"/>
      <c r="O482" s="12">
        <f t="shared" si="89"/>
        <v>39.083333333333336</v>
      </c>
      <c r="P482" s="13">
        <v>469</v>
      </c>
      <c r="Q482" s="21">
        <v>2.6465699838433387E-2</v>
      </c>
      <c r="R482" s="18">
        <f t="shared" si="90"/>
        <v>2.3323051785604676E-2</v>
      </c>
      <c r="S482" s="21">
        <v>3.2141992896475902E-2</v>
      </c>
      <c r="T482" s="18">
        <f t="shared" si="91"/>
        <v>4.139611675970567E-2</v>
      </c>
      <c r="U482" s="23">
        <v>3.5196667465484666E-2</v>
      </c>
      <c r="V482" s="23">
        <f t="shared" si="92"/>
        <v>4.1623151628137789E-2</v>
      </c>
      <c r="W482" s="22">
        <f t="shared" si="95"/>
        <v>3.4029618817623675E-3</v>
      </c>
      <c r="X482" s="23">
        <v>3.4584714326156618E-2</v>
      </c>
      <c r="Y482" s="23">
        <f t="shared" si="96"/>
        <v>4.1574795542705489E-2</v>
      </c>
      <c r="Z482" s="22">
        <f t="shared" si="97"/>
        <v>3.3990225682360986E-3</v>
      </c>
      <c r="AA482" s="33"/>
      <c r="AB482" s="50">
        <f t="shared" si="93"/>
        <v>469</v>
      </c>
      <c r="AC482" s="48">
        <f t="shared" si="88"/>
        <v>0.36026444679307779</v>
      </c>
      <c r="AE482" s="48">
        <f t="shared" si="94"/>
        <v>0.99808118377357113</v>
      </c>
      <c r="AF482" s="48">
        <f t="shared" si="98"/>
        <v>0.36026444679307773</v>
      </c>
      <c r="AH482" s="48">
        <f t="shared" si="99"/>
        <v>0</v>
      </c>
    </row>
    <row r="483" spans="4:34" ht="13.9" customHeight="1">
      <c r="D483" s="8"/>
      <c r="E483" s="9"/>
      <c r="F483" s="18"/>
      <c r="G483" s="18"/>
      <c r="H483" s="18"/>
      <c r="J483" s="40"/>
      <c r="K483" s="40"/>
      <c r="L483" s="40"/>
      <c r="M483" s="38"/>
      <c r="O483" s="12">
        <f t="shared" si="89"/>
        <v>39.166666666666664</v>
      </c>
      <c r="P483" s="13">
        <v>470</v>
      </c>
      <c r="Q483" s="21">
        <v>2.6459003118380675E-2</v>
      </c>
      <c r="R483" s="18">
        <f t="shared" si="90"/>
        <v>2.3330583811898009E-2</v>
      </c>
      <c r="S483" s="21">
        <v>3.2161594963927564E-2</v>
      </c>
      <c r="T483" s="18">
        <f t="shared" si="91"/>
        <v>4.1413911068587161E-2</v>
      </c>
      <c r="U483" s="23">
        <v>3.5210298658596262E-2</v>
      </c>
      <c r="V483" s="23">
        <f t="shared" si="92"/>
        <v>4.1637580246602912E-2</v>
      </c>
      <c r="W483" s="22">
        <f t="shared" si="95"/>
        <v>3.4041325443971981E-3</v>
      </c>
      <c r="X483" s="23">
        <v>3.4599536928311858E-2</v>
      </c>
      <c r="Y483" s="23">
        <f t="shared" si="96"/>
        <v>4.158992895928626E-2</v>
      </c>
      <c r="Z483" s="22">
        <f t="shared" si="97"/>
        <v>3.4002506439618774E-3</v>
      </c>
      <c r="AA483" s="33"/>
      <c r="AB483" s="50">
        <f t="shared" si="93"/>
        <v>470</v>
      </c>
      <c r="AC483" s="48">
        <f t="shared" si="88"/>
        <v>0.35957294643847953</v>
      </c>
      <c r="AE483" s="48">
        <f t="shared" si="94"/>
        <v>0.99808057564171682</v>
      </c>
      <c r="AF483" s="48">
        <f t="shared" si="98"/>
        <v>0.3595729464384797</v>
      </c>
      <c r="AH483" s="48">
        <f t="shared" si="99"/>
        <v>0</v>
      </c>
    </row>
    <row r="484" spans="4:34" ht="13.9" customHeight="1">
      <c r="D484" s="8"/>
      <c r="E484" s="9"/>
      <c r="F484" s="18"/>
      <c r="G484" s="18"/>
      <c r="H484" s="18"/>
      <c r="J484" s="40"/>
      <c r="K484" s="40"/>
      <c r="L484" s="40"/>
      <c r="M484" s="38"/>
      <c r="O484" s="12">
        <f t="shared" si="89"/>
        <v>39.25</v>
      </c>
      <c r="P484" s="13">
        <v>471</v>
      </c>
      <c r="Q484" s="21">
        <v>2.6452350918324319E-2</v>
      </c>
      <c r="R484" s="18">
        <f t="shared" si="90"/>
        <v>2.3338166177058861E-2</v>
      </c>
      <c r="S484" s="21">
        <v>3.2181151610558789E-2</v>
      </c>
      <c r="T484" s="18">
        <f t="shared" si="91"/>
        <v>4.1431505887949971E-2</v>
      </c>
      <c r="U484" s="23">
        <v>3.5223902593731093E-2</v>
      </c>
      <c r="V484" s="23">
        <f t="shared" si="92"/>
        <v>4.1651856212147065E-2</v>
      </c>
      <c r="W484" s="22">
        <f t="shared" si="95"/>
        <v>3.4052908042612184E-3</v>
      </c>
      <c r="X484" s="23">
        <v>3.4614328715943499E-2</v>
      </c>
      <c r="Y484" s="23">
        <f t="shared" si="96"/>
        <v>4.1604900111616994E-2</v>
      </c>
      <c r="Z484" s="22">
        <f t="shared" si="97"/>
        <v>3.4014655329401844E-3</v>
      </c>
      <c r="AA484" s="33"/>
      <c r="AB484" s="50">
        <f t="shared" si="93"/>
        <v>471</v>
      </c>
      <c r="AC484" s="48">
        <f t="shared" si="88"/>
        <v>0.35888255324184271</v>
      </c>
      <c r="AE484" s="48">
        <f t="shared" si="94"/>
        <v>0.99807996345810956</v>
      </c>
      <c r="AF484" s="48">
        <f t="shared" si="98"/>
        <v>0.35888255324184259</v>
      </c>
      <c r="AH484" s="48">
        <f t="shared" si="99"/>
        <v>0</v>
      </c>
    </row>
    <row r="485" spans="4:34" ht="13.9" customHeight="1">
      <c r="D485" s="8"/>
      <c r="E485" s="9"/>
      <c r="F485" s="18"/>
      <c r="G485" s="18"/>
      <c r="H485" s="18"/>
      <c r="J485" s="40"/>
      <c r="K485" s="40"/>
      <c r="L485" s="40"/>
      <c r="M485" s="38"/>
      <c r="O485" s="12">
        <f t="shared" si="89"/>
        <v>39.333333333333336</v>
      </c>
      <c r="P485" s="13">
        <v>472</v>
      </c>
      <c r="Q485" s="21">
        <v>2.6445743061568994E-2</v>
      </c>
      <c r="R485" s="18">
        <f t="shared" si="90"/>
        <v>2.3345799312773696E-2</v>
      </c>
      <c r="S485" s="21">
        <v>3.2200662705297312E-2</v>
      </c>
      <c r="T485" s="18">
        <f t="shared" si="91"/>
        <v>4.14489034994594E-2</v>
      </c>
      <c r="U485" s="23">
        <v>3.5237479122356419E-2</v>
      </c>
      <c r="V485" s="23">
        <f t="shared" si="92"/>
        <v>4.166598116979725E-2</v>
      </c>
      <c r="W485" s="22">
        <f t="shared" si="95"/>
        <v>3.40643679541075E-3</v>
      </c>
      <c r="X485" s="23">
        <v>3.4629089542990821E-2</v>
      </c>
      <c r="Y485" s="23">
        <f t="shared" si="96"/>
        <v>4.1619710772549112E-2</v>
      </c>
      <c r="Z485" s="22">
        <f t="shared" si="97"/>
        <v>3.4026673796563323E-3</v>
      </c>
      <c r="AA485" s="33"/>
      <c r="AB485" s="50">
        <f t="shared" si="93"/>
        <v>472</v>
      </c>
      <c r="AC485" s="48">
        <f t="shared" si="88"/>
        <v>0.3581932644567884</v>
      </c>
      <c r="AE485" s="48">
        <f t="shared" si="94"/>
        <v>0.99807934718801961</v>
      </c>
      <c r="AF485" s="48">
        <f t="shared" si="98"/>
        <v>0.35819326445678795</v>
      </c>
      <c r="AH485" s="48">
        <f t="shared" si="99"/>
        <v>-4.4408920985006262E-16</v>
      </c>
    </row>
    <row r="486" spans="4:34" ht="13.9" customHeight="1">
      <c r="D486" s="8"/>
      <c r="E486" s="9"/>
      <c r="F486" s="18"/>
      <c r="G486" s="18"/>
      <c r="H486" s="18"/>
      <c r="J486" s="40"/>
      <c r="K486" s="40"/>
      <c r="L486" s="40"/>
      <c r="M486" s="38"/>
      <c r="O486" s="12">
        <f t="shared" si="89"/>
        <v>39.416666666666664</v>
      </c>
      <c r="P486" s="13">
        <v>473</v>
      </c>
      <c r="Q486" s="21">
        <v>2.6439179373829669E-2</v>
      </c>
      <c r="R486" s="18">
        <f t="shared" si="90"/>
        <v>2.3353483654866114E-2</v>
      </c>
      <c r="S486" s="21">
        <v>3.2220128122956382E-2</v>
      </c>
      <c r="T486" s="18">
        <f t="shared" si="91"/>
        <v>4.1466106158721816E-2</v>
      </c>
      <c r="U486" s="23">
        <v>3.5251028100650394E-2</v>
      </c>
      <c r="V486" s="23">
        <f t="shared" si="92"/>
        <v>4.1679956746291325E-2</v>
      </c>
      <c r="W486" s="22">
        <f t="shared" si="95"/>
        <v>3.4075706503591263E-3</v>
      </c>
      <c r="X486" s="23">
        <v>3.4643819268349585E-2</v>
      </c>
      <c r="Y486" s="23">
        <f t="shared" si="96"/>
        <v>4.1634362695360139E-2</v>
      </c>
      <c r="Z486" s="22">
        <f t="shared" si="97"/>
        <v>3.4038563269427335E-3</v>
      </c>
      <c r="AA486" s="33"/>
      <c r="AB486" s="50">
        <f t="shared" si="93"/>
        <v>473</v>
      </c>
      <c r="AC486" s="48">
        <f t="shared" si="88"/>
        <v>0.35750507733609821</v>
      </c>
      <c r="AE486" s="48">
        <f t="shared" si="94"/>
        <v>0.99807872679646015</v>
      </c>
      <c r="AF486" s="48">
        <f t="shared" si="98"/>
        <v>0.35750507733609865</v>
      </c>
      <c r="AH486" s="48">
        <f t="shared" si="99"/>
        <v>4.4408920985006262E-16</v>
      </c>
    </row>
    <row r="487" spans="4:34" ht="13.9" customHeight="1">
      <c r="D487" s="8"/>
      <c r="E487" s="9"/>
      <c r="F487" s="18"/>
      <c r="G487" s="18"/>
      <c r="H487" s="18"/>
      <c r="J487" s="40"/>
      <c r="K487" s="40"/>
      <c r="L487" s="40"/>
      <c r="M487" s="38"/>
      <c r="O487" s="12">
        <f t="shared" si="89"/>
        <v>39.5</v>
      </c>
      <c r="P487" s="13">
        <v>474</v>
      </c>
      <c r="Q487" s="21">
        <v>2.643265968321451E-2</v>
      </c>
      <c r="R487" s="18">
        <f t="shared" si="90"/>
        <v>2.3361219048105397E-2</v>
      </c>
      <c r="S487" s="21">
        <v>3.2239547744117303E-2</v>
      </c>
      <c r="T487" s="18">
        <f t="shared" si="91"/>
        <v>4.1483116093444572E-2</v>
      </c>
      <c r="U487" s="23">
        <v>3.5264549389414368E-2</v>
      </c>
      <c r="V487" s="23">
        <f t="shared" si="92"/>
        <v>4.1693784550716817E-2</v>
      </c>
      <c r="W487" s="22">
        <f t="shared" si="95"/>
        <v>3.4086925001395318E-3</v>
      </c>
      <c r="X487" s="23">
        <v>3.4658517755777885E-2</v>
      </c>
      <c r="Y487" s="23">
        <f t="shared" si="96"/>
        <v>4.1648857612999413E-2</v>
      </c>
      <c r="Z487" s="22">
        <f t="shared" si="97"/>
        <v>3.4050325160479566E-3</v>
      </c>
      <c r="AA487" s="33"/>
      <c r="AB487" s="50">
        <f t="shared" si="93"/>
        <v>474</v>
      </c>
      <c r="AC487" s="48">
        <f t="shared" si="88"/>
        <v>0.35681798913167734</v>
      </c>
      <c r="AE487" s="48">
        <f t="shared" si="94"/>
        <v>0.99807810224810911</v>
      </c>
      <c r="AF487" s="48">
        <f t="shared" si="98"/>
        <v>0.35681798913167684</v>
      </c>
      <c r="AH487" s="48">
        <f t="shared" si="99"/>
        <v>-4.9960036108132044E-16</v>
      </c>
    </row>
    <row r="488" spans="4:34" ht="13.9" customHeight="1">
      <c r="D488" s="8"/>
      <c r="E488" s="9"/>
      <c r="F488" s="18"/>
      <c r="G488" s="18"/>
      <c r="H488" s="18"/>
      <c r="J488" s="40"/>
      <c r="K488" s="40"/>
      <c r="L488" s="40"/>
      <c r="M488" s="38"/>
      <c r="O488" s="12">
        <f t="shared" si="89"/>
        <v>39.583333333333336</v>
      </c>
      <c r="P488" s="13">
        <v>475</v>
      </c>
      <c r="Q488" s="21">
        <v>2.6426183818952342E-2</v>
      </c>
      <c r="R488" s="18">
        <f t="shared" si="90"/>
        <v>2.3369003561628077E-2</v>
      </c>
      <c r="S488" s="21">
        <v>3.225892145501108E-2</v>
      </c>
      <c r="T488" s="18">
        <f t="shared" si="91"/>
        <v>4.1499935505633578E-2</v>
      </c>
      <c r="U488" s="23">
        <v>3.5278042853986724E-2</v>
      </c>
      <c r="V488" s="23">
        <f t="shared" si="92"/>
        <v>4.1707466173679597E-2</v>
      </c>
      <c r="W488" s="22">
        <f t="shared" si="95"/>
        <v>3.409802474357404E-3</v>
      </c>
      <c r="X488" s="23">
        <v>3.4673184873803553E-2</v>
      </c>
      <c r="Y488" s="23">
        <f t="shared" si="96"/>
        <v>4.1663197238856586E-2</v>
      </c>
      <c r="Z488" s="22">
        <f t="shared" si="97"/>
        <v>3.4061960865758856E-3</v>
      </c>
      <c r="AA488" s="33"/>
      <c r="AB488" s="50">
        <f t="shared" si="93"/>
        <v>475</v>
      </c>
      <c r="AC488" s="48">
        <f t="shared" si="88"/>
        <v>0.35613199711176341</v>
      </c>
      <c r="AE488" s="48">
        <f t="shared" si="94"/>
        <v>0.99807747355568466</v>
      </c>
      <c r="AF488" s="48">
        <f t="shared" si="98"/>
        <v>0.35613199711176374</v>
      </c>
      <c r="AH488" s="48">
        <f t="shared" si="99"/>
        <v>0</v>
      </c>
    </row>
    <row r="489" spans="4:34" ht="13.9" customHeight="1">
      <c r="D489" s="8"/>
      <c r="E489" s="9"/>
      <c r="F489" s="18"/>
      <c r="G489" s="18"/>
      <c r="H489" s="18"/>
      <c r="J489" s="40"/>
      <c r="K489" s="40"/>
      <c r="L489" s="40"/>
      <c r="M489" s="38"/>
      <c r="O489" s="12">
        <f t="shared" si="89"/>
        <v>39.666666666666664</v>
      </c>
      <c r="P489" s="13">
        <v>476</v>
      </c>
      <c r="Q489" s="21">
        <v>2.6419751607638542E-2</v>
      </c>
      <c r="R489" s="18">
        <f t="shared" si="90"/>
        <v>2.3376837050811838E-2</v>
      </c>
      <c r="S489" s="21">
        <v>3.2278249147405846E-2</v>
      </c>
      <c r="T489" s="18">
        <f t="shared" si="91"/>
        <v>4.1516566571026425E-2</v>
      </c>
      <c r="U489" s="23">
        <v>3.5291508364157398E-2</v>
      </c>
      <c r="V489" s="23">
        <f t="shared" si="92"/>
        <v>4.1721003188382344E-2</v>
      </c>
      <c r="W489" s="22">
        <f t="shared" si="95"/>
        <v>3.4109007011233761E-3</v>
      </c>
      <c r="X489" s="23">
        <v>3.4687820495632016E-2</v>
      </c>
      <c r="Y489" s="23">
        <f t="shared" si="96"/>
        <v>4.1677383267411772E-2</v>
      </c>
      <c r="Z489" s="22">
        <f t="shared" si="97"/>
        <v>3.4073471765478924E-3</v>
      </c>
      <c r="AA489" s="33"/>
      <c r="AB489" s="50">
        <f t="shared" si="93"/>
        <v>476</v>
      </c>
      <c r="AC489" s="48">
        <f t="shared" si="88"/>
        <v>0.35544709861224638</v>
      </c>
      <c r="AE489" s="48">
        <f t="shared" si="94"/>
        <v>0.99807684087621684</v>
      </c>
      <c r="AF489" s="48">
        <f t="shared" si="98"/>
        <v>0.35544709861224716</v>
      </c>
      <c r="AH489" s="48">
        <f t="shared" si="99"/>
        <v>7.7715611723760958E-16</v>
      </c>
    </row>
    <row r="490" spans="4:34" ht="13.9" customHeight="1">
      <c r="D490" s="8"/>
      <c r="E490" s="9"/>
      <c r="F490" s="18"/>
      <c r="G490" s="18"/>
      <c r="H490" s="18"/>
      <c r="J490" s="40"/>
      <c r="K490" s="40"/>
      <c r="L490" s="40"/>
      <c r="M490" s="38"/>
      <c r="O490" s="12">
        <f t="shared" si="89"/>
        <v>39.75</v>
      </c>
      <c r="P490" s="13">
        <v>477</v>
      </c>
      <c r="Q490" s="21">
        <v>2.641336287701912E-2</v>
      </c>
      <c r="R490" s="18">
        <f t="shared" si="90"/>
        <v>2.3384719969494761E-2</v>
      </c>
      <c r="S490" s="21">
        <v>3.2297530718493617E-2</v>
      </c>
      <c r="T490" s="18">
        <f t="shared" si="91"/>
        <v>4.1533011439567113E-2</v>
      </c>
      <c r="U490" s="23">
        <v>3.5304945794083942E-2</v>
      </c>
      <c r="V490" s="23">
        <f t="shared" si="92"/>
        <v>4.1734397150395175E-2</v>
      </c>
      <c r="W490" s="22">
        <f t="shared" si="95"/>
        <v>3.4119873071409845E-3</v>
      </c>
      <c r="X490" s="23">
        <v>3.4702424499058804E-2</v>
      </c>
      <c r="Y490" s="23">
        <f t="shared" si="96"/>
        <v>4.1691417373312056E-2</v>
      </c>
      <c r="Z490" s="22">
        <f t="shared" si="97"/>
        <v>3.4084859224550179E-3</v>
      </c>
      <c r="AA490" s="33"/>
      <c r="AB490" s="50">
        <f t="shared" si="93"/>
        <v>477</v>
      </c>
      <c r="AC490" s="48">
        <f t="shared" si="88"/>
        <v>0.3547632909844784</v>
      </c>
      <c r="AE490" s="48">
        <f t="shared" si="94"/>
        <v>0.99807620422155852</v>
      </c>
      <c r="AF490" s="48">
        <f t="shared" si="98"/>
        <v>0.35476329098447762</v>
      </c>
      <c r="AH490" s="48">
        <f t="shared" si="99"/>
        <v>-7.7715611723760958E-16</v>
      </c>
    </row>
    <row r="491" spans="4:34" ht="13.9" customHeight="1">
      <c r="D491" s="8"/>
      <c r="E491" s="9"/>
      <c r="F491" s="18"/>
      <c r="G491" s="18"/>
      <c r="H491" s="18"/>
      <c r="J491" s="40"/>
      <c r="K491" s="40"/>
      <c r="L491" s="40"/>
      <c r="M491" s="38"/>
      <c r="O491" s="12">
        <f t="shared" si="89"/>
        <v>39.833333333333336</v>
      </c>
      <c r="P491" s="13">
        <v>478</v>
      </c>
      <c r="Q491" s="21">
        <v>2.6407017457234838E-2</v>
      </c>
      <c r="R491" s="18">
        <f t="shared" si="90"/>
        <v>2.3392652774651967E-2</v>
      </c>
      <c r="S491" s="21">
        <v>3.2316766070780378E-2</v>
      </c>
      <c r="T491" s="18">
        <f t="shared" si="91"/>
        <v>4.1549272235789081E-2</v>
      </c>
      <c r="U491" s="23">
        <v>3.5318355022209813E-2</v>
      </c>
      <c r="V491" s="23">
        <f t="shared" si="92"/>
        <v>4.1747649597919212E-2</v>
      </c>
      <c r="W491" s="22">
        <f t="shared" si="95"/>
        <v>3.4130624176871294E-3</v>
      </c>
      <c r="X491" s="23">
        <v>3.471699676638007E-2</v>
      </c>
      <c r="Y491" s="23">
        <f t="shared" si="96"/>
        <v>4.1705301212978219E-2</v>
      </c>
      <c r="Z491" s="22">
        <f t="shared" si="97"/>
        <v>3.4096124591851407E-3</v>
      </c>
      <c r="AA491" s="33"/>
      <c r="AB491" s="50">
        <f t="shared" si="93"/>
        <v>478</v>
      </c>
      <c r="AC491" s="48">
        <f t="shared" si="88"/>
        <v>0.35408057157793177</v>
      </c>
      <c r="AE491" s="48">
        <f t="shared" si="94"/>
        <v>0.99807556355492366</v>
      </c>
      <c r="AF491" s="48">
        <f t="shared" si="98"/>
        <v>0.35408057157793188</v>
      </c>
      <c r="AH491" s="48">
        <f t="shared" si="99"/>
        <v>0</v>
      </c>
    </row>
    <row r="492" spans="4:34" ht="13.9" customHeight="1">
      <c r="D492" s="8"/>
      <c r="E492" s="9"/>
      <c r="F492" s="18"/>
      <c r="G492" s="18"/>
      <c r="H492" s="18"/>
      <c r="J492" s="40"/>
      <c r="K492" s="40"/>
      <c r="L492" s="40"/>
      <c r="M492" s="38"/>
      <c r="O492" s="12">
        <f t="shared" si="89"/>
        <v>39.916666666666664</v>
      </c>
      <c r="P492" s="13">
        <v>479</v>
      </c>
      <c r="Q492" s="21">
        <v>2.640071518080167E-2</v>
      </c>
      <c r="R492" s="18">
        <f t="shared" si="90"/>
        <v>2.3400635927275371E-2</v>
      </c>
      <c r="S492" s="21">
        <v>3.2335955111978176E-2</v>
      </c>
      <c r="T492" s="18">
        <f t="shared" si="91"/>
        <v>4.156535105892023E-2</v>
      </c>
      <c r="U492" s="23">
        <v>3.533173593118355E-2</v>
      </c>
      <c r="V492" s="23">
        <f t="shared" si="92"/>
        <v>4.1760762052357014E-2</v>
      </c>
      <c r="W492" s="22">
        <f t="shared" si="95"/>
        <v>3.4141261566351666E-3</v>
      </c>
      <c r="X492" s="23">
        <v>3.4731537184307548E-2</v>
      </c>
      <c r="Y492" s="23">
        <f t="shared" si="96"/>
        <v>4.171903642397301E-2</v>
      </c>
      <c r="Z492" s="22">
        <f t="shared" si="97"/>
        <v>3.410726920151097E-3</v>
      </c>
      <c r="AA492" s="33"/>
      <c r="AB492" s="50">
        <f t="shared" si="93"/>
        <v>479</v>
      </c>
      <c r="AC492" s="48">
        <f t="shared" si="88"/>
        <v>0.35339893774020803</v>
      </c>
      <c r="AE492" s="48">
        <f t="shared" si="94"/>
        <v>0.99807491883927413</v>
      </c>
      <c r="AF492" s="48">
        <f t="shared" si="98"/>
        <v>0.35339893774020814</v>
      </c>
      <c r="AH492" s="48">
        <f t="shared" si="99"/>
        <v>0</v>
      </c>
    </row>
    <row r="493" spans="4:34" ht="13.9" customHeight="1">
      <c r="D493" s="8"/>
      <c r="E493" s="9"/>
      <c r="F493" s="18"/>
      <c r="G493" s="18"/>
      <c r="H493" s="18"/>
      <c r="J493" s="40"/>
      <c r="K493" s="40"/>
      <c r="L493" s="40"/>
      <c r="M493" s="38"/>
      <c r="O493" s="12">
        <f t="shared" si="89"/>
        <v>40</v>
      </c>
      <c r="P493" s="13">
        <v>480</v>
      </c>
      <c r="Q493" s="21">
        <v>2.6394455882595258E-2</v>
      </c>
      <c r="R493" s="18">
        <f t="shared" si="90"/>
        <v>2.340866930614327E-2</v>
      </c>
      <c r="S493" s="21">
        <v>3.2355097754898754E-2</v>
      </c>
      <c r="T493" s="18">
        <f t="shared" si="91"/>
        <v>4.1581249983880131E-2</v>
      </c>
      <c r="U493" s="23">
        <v>3.5345088407779945E-2</v>
      </c>
      <c r="V493" s="23">
        <f t="shared" si="92"/>
        <v>4.1773736017914009E-2</v>
      </c>
      <c r="W493" s="22">
        <f t="shared" si="95"/>
        <v>3.4151786464993172E-3</v>
      </c>
      <c r="X493" s="23">
        <v>3.4746045643883505E-2</v>
      </c>
      <c r="Y493" s="23">
        <f t="shared" si="96"/>
        <v>4.1732624625008485E-2</v>
      </c>
      <c r="Z493" s="22">
        <f t="shared" si="97"/>
        <v>3.4118294372404989E-3</v>
      </c>
      <c r="AA493" s="33"/>
      <c r="AB493" s="50">
        <f t="shared" si="93"/>
        <v>480</v>
      </c>
      <c r="AC493" s="48">
        <f t="shared" si="88"/>
        <v>0.3527183868169963</v>
      </c>
      <c r="AE493" s="48">
        <f t="shared" si="94"/>
        <v>0.99807427003724647</v>
      </c>
      <c r="AF493" s="48">
        <f t="shared" si="98"/>
        <v>0.35271838681699658</v>
      </c>
      <c r="AH493" s="48">
        <f t="shared" si="99"/>
        <v>0</v>
      </c>
    </row>
    <row r="494" spans="4:34" ht="13.9" customHeight="1">
      <c r="D494" s="8"/>
      <c r="E494" s="9"/>
      <c r="F494" s="18"/>
      <c r="G494" s="18"/>
      <c r="H494" s="18"/>
      <c r="J494" s="40"/>
      <c r="K494" s="40"/>
      <c r="L494" s="40"/>
      <c r="M494" s="38"/>
      <c r="O494" s="12">
        <f t="shared" si="89"/>
        <v>40.083333333333336</v>
      </c>
      <c r="P494" s="13">
        <v>481</v>
      </c>
      <c r="Q494" s="21">
        <v>2.6388239398611901E-2</v>
      </c>
      <c r="R494" s="18">
        <f t="shared" si="90"/>
        <v>2.3416751039568418E-2</v>
      </c>
      <c r="S494" s="21">
        <v>3.2374193917349858E-2</v>
      </c>
      <c r="T494" s="18">
        <f t="shared" si="91"/>
        <v>4.15969710602484E-2</v>
      </c>
      <c r="U494" s="23">
        <v>3.5358412342821666E-2</v>
      </c>
      <c r="V494" s="23">
        <f t="shared" si="92"/>
        <v>4.1786572982095205E-2</v>
      </c>
      <c r="W494" s="22">
        <f t="shared" si="95"/>
        <v>3.4162200084042471E-3</v>
      </c>
      <c r="X494" s="23">
        <v>3.4760522040397257E-2</v>
      </c>
      <c r="Y494" s="23">
        <f t="shared" si="96"/>
        <v>4.1746067417037791E-2</v>
      </c>
      <c r="Z494" s="22">
        <f t="shared" si="97"/>
        <v>3.4129201408170662E-3</v>
      </c>
      <c r="AA494" s="33"/>
      <c r="AB494" s="50">
        <f t="shared" si="93"/>
        <v>481</v>
      </c>
      <c r="AC494" s="48">
        <f t="shared" si="88"/>
        <v>0.35203891616885413</v>
      </c>
      <c r="AE494" s="48">
        <f t="shared" si="94"/>
        <v>0.99807361715879572</v>
      </c>
      <c r="AF494" s="48">
        <f t="shared" si="98"/>
        <v>0.35203891616885508</v>
      </c>
      <c r="AH494" s="48">
        <f t="shared" si="99"/>
        <v>9.4368957093138306E-16</v>
      </c>
    </row>
    <row r="495" spans="4:34" ht="13.9" customHeight="1">
      <c r="D495" s="8"/>
      <c r="E495" s="9"/>
      <c r="F495" s="18"/>
      <c r="G495" s="18"/>
      <c r="H495" s="18"/>
      <c r="J495" s="40"/>
      <c r="K495" s="40"/>
      <c r="L495" s="40"/>
      <c r="M495" s="38"/>
      <c r="O495" s="12">
        <f t="shared" si="89"/>
        <v>40.166666666666664</v>
      </c>
      <c r="P495" s="13">
        <v>482</v>
      </c>
      <c r="Q495" s="21">
        <v>2.6382065562314816E-2</v>
      </c>
      <c r="R495" s="18">
        <f t="shared" si="90"/>
        <v>2.3424881016328003E-2</v>
      </c>
      <c r="S495" s="21">
        <v>3.2393243522032433E-2</v>
      </c>
      <c r="T495" s="18">
        <f t="shared" si="91"/>
        <v>4.1612516314484038E-2</v>
      </c>
      <c r="U495" s="23">
        <v>3.5371707631102867E-2</v>
      </c>
      <c r="V495" s="23">
        <f t="shared" si="92"/>
        <v>4.1799274416114196E-2</v>
      </c>
      <c r="W495" s="22">
        <f t="shared" si="95"/>
        <v>3.4172503621239247E-3</v>
      </c>
      <c r="X495" s="23">
        <v>3.4774966273303898E-2</v>
      </c>
      <c r="Y495" s="23">
        <f t="shared" si="96"/>
        <v>4.1759366382784435E-2</v>
      </c>
      <c r="Z495" s="22">
        <f t="shared" si="97"/>
        <v>3.4139991598081121E-3</v>
      </c>
      <c r="AA495" s="33"/>
      <c r="AB495" s="50">
        <f t="shared" si="93"/>
        <v>482</v>
      </c>
      <c r="AC495" s="48">
        <f t="shared" si="88"/>
        <v>0.35136052322121486</v>
      </c>
      <c r="AE495" s="48">
        <f t="shared" si="94"/>
        <v>0.99807296035613791</v>
      </c>
      <c r="AF495" s="48">
        <f t="shared" si="98"/>
        <v>0.35136052322121547</v>
      </c>
      <c r="AH495" s="48">
        <f t="shared" si="99"/>
        <v>6.106226635438361E-16</v>
      </c>
    </row>
    <row r="496" spans="4:34" ht="13.9" customHeight="1">
      <c r="D496" s="8"/>
      <c r="E496" s="9"/>
      <c r="F496" s="18"/>
      <c r="G496" s="18"/>
      <c r="H496" s="18"/>
      <c r="J496" s="40"/>
      <c r="K496" s="40"/>
      <c r="L496" s="40"/>
      <c r="M496" s="38"/>
      <c r="O496" s="12">
        <f t="shared" si="89"/>
        <v>40.25</v>
      </c>
      <c r="P496" s="13">
        <v>483</v>
      </c>
      <c r="Q496" s="21">
        <v>2.6375934208316076E-2</v>
      </c>
      <c r="R496" s="18">
        <f t="shared" si="90"/>
        <v>2.343305971531362E-2</v>
      </c>
      <c r="S496" s="21">
        <v>3.2412246496441366E-2</v>
      </c>
      <c r="T496" s="18">
        <f t="shared" si="91"/>
        <v>4.1627887748153958E-2</v>
      </c>
      <c r="U496" s="23">
        <v>3.5384974171314365E-2</v>
      </c>
      <c r="V496" s="23">
        <f t="shared" si="92"/>
        <v>4.1811841775003966E-2</v>
      </c>
      <c r="W496" s="22">
        <f t="shared" si="95"/>
        <v>3.4182698261160382E-3</v>
      </c>
      <c r="X496" s="23">
        <v>3.4789378246144365E-2</v>
      </c>
      <c r="Y496" s="23">
        <f t="shared" si="96"/>
        <v>4.1772523087559188E-2</v>
      </c>
      <c r="Z496" s="22">
        <f t="shared" si="97"/>
        <v>3.4150666216672398E-3</v>
      </c>
      <c r="AA496" s="33"/>
      <c r="AB496" s="50">
        <f t="shared" si="93"/>
        <v>483</v>
      </c>
      <c r="AC496" s="48">
        <f t="shared" si="88"/>
        <v>0.3506832054135538</v>
      </c>
      <c r="AE496" s="48">
        <f t="shared" si="94"/>
        <v>0.99807229963841226</v>
      </c>
      <c r="AF496" s="48">
        <f t="shared" si="98"/>
        <v>0.3506832054135543</v>
      </c>
      <c r="AH496" s="48">
        <f t="shared" si="99"/>
        <v>4.9960036108132044E-16</v>
      </c>
    </row>
    <row r="497" spans="4:34" ht="13.9" customHeight="1">
      <c r="D497" s="8"/>
      <c r="E497" s="9"/>
      <c r="F497" s="18"/>
      <c r="G497" s="18"/>
      <c r="H497" s="18"/>
      <c r="J497" s="40"/>
      <c r="K497" s="40"/>
      <c r="L497" s="40"/>
      <c r="M497" s="38"/>
      <c r="O497" s="12">
        <f t="shared" si="89"/>
        <v>40.333333333333336</v>
      </c>
      <c r="P497" s="13">
        <v>484</v>
      </c>
      <c r="Q497" s="21">
        <v>2.6369845173587203E-2</v>
      </c>
      <c r="R497" s="18">
        <f t="shared" si="90"/>
        <v>2.3441287617957274E-2</v>
      </c>
      <c r="S497" s="21">
        <v>3.243120277276601E-2</v>
      </c>
      <c r="T497" s="18">
        <f t="shared" si="91"/>
        <v>4.164308733999289E-2</v>
      </c>
      <c r="U497" s="23">
        <v>3.5398211865970586E-2</v>
      </c>
      <c r="V497" s="23">
        <f t="shared" si="92"/>
        <v>4.182427649702225E-2</v>
      </c>
      <c r="W497" s="22">
        <f t="shared" si="95"/>
        <v>3.4192785175295448E-3</v>
      </c>
      <c r="X497" s="23">
        <v>3.4803757866466833E-2</v>
      </c>
      <c r="Y497" s="23">
        <f t="shared" si="96"/>
        <v>4.1785539078296852E-2</v>
      </c>
      <c r="Z497" s="22">
        <f t="shared" si="97"/>
        <v>3.4161226524398458E-3</v>
      </c>
      <c r="AA497" s="33"/>
      <c r="AB497" s="50">
        <f t="shared" si="93"/>
        <v>484</v>
      </c>
      <c r="AC497" s="48">
        <f t="shared" si="88"/>
        <v>0.35000696018250549</v>
      </c>
      <c r="AE497" s="48">
        <f t="shared" si="94"/>
        <v>0.99807163496680151</v>
      </c>
      <c r="AF497" s="48">
        <f t="shared" si="98"/>
        <v>0.35000696018250482</v>
      </c>
      <c r="AH497" s="48">
        <f t="shared" si="99"/>
        <v>-6.6613381477509392E-16</v>
      </c>
    </row>
    <row r="498" spans="4:34" ht="13.9" customHeight="1">
      <c r="D498" s="8"/>
      <c r="E498" s="9"/>
      <c r="F498" s="18"/>
      <c r="G498" s="18"/>
      <c r="H498" s="18"/>
      <c r="J498" s="40"/>
      <c r="K498" s="40"/>
      <c r="L498" s="40"/>
      <c r="M498" s="38"/>
      <c r="O498" s="12">
        <f t="shared" si="89"/>
        <v>40.416666666666664</v>
      </c>
      <c r="P498" s="13">
        <v>485</v>
      </c>
      <c r="Q498" s="21">
        <v>2.6363798297440511E-2</v>
      </c>
      <c r="R498" s="18">
        <f t="shared" si="90"/>
        <v>2.3449565210819978E-2</v>
      </c>
      <c r="S498" s="21">
        <v>3.2450112287794708E-2</v>
      </c>
      <c r="T498" s="18">
        <f t="shared" si="91"/>
        <v>4.1658117045089815E-2</v>
      </c>
      <c r="U498" s="23">
        <v>3.5411420621335177E-2</v>
      </c>
      <c r="V498" s="23">
        <f t="shared" si="92"/>
        <v>4.1836580005371493E-2</v>
      </c>
      <c r="W498" s="22">
        <f t="shared" si="95"/>
        <v>3.4202765521584855E-3</v>
      </c>
      <c r="X498" s="23">
        <v>3.4818105045748116E-2</v>
      </c>
      <c r="Y498" s="23">
        <f t="shared" si="96"/>
        <v>4.1798415885424989E-2</v>
      </c>
      <c r="Z498" s="22">
        <f t="shared" si="97"/>
        <v>3.417167376686292E-3</v>
      </c>
      <c r="AA498" s="33"/>
      <c r="AB498" s="50">
        <f t="shared" si="93"/>
        <v>485</v>
      </c>
      <c r="AC498" s="48">
        <f t="shared" si="88"/>
        <v>0.34933178496187711</v>
      </c>
      <c r="AE498" s="48">
        <f t="shared" si="94"/>
        <v>0.99807096630228354</v>
      </c>
      <c r="AF498" s="48">
        <f t="shared" si="98"/>
        <v>0.34933178496187745</v>
      </c>
      <c r="AH498" s="48">
        <f t="shared" si="99"/>
        <v>0</v>
      </c>
    </row>
    <row r="499" spans="4:34" ht="13.9" customHeight="1">
      <c r="D499" s="8"/>
      <c r="E499" s="9"/>
      <c r="F499" s="18"/>
      <c r="G499" s="18"/>
      <c r="H499" s="18"/>
      <c r="J499" s="40"/>
      <c r="K499" s="40"/>
      <c r="L499" s="40"/>
      <c r="M499" s="38"/>
      <c r="O499" s="12">
        <f t="shared" si="89"/>
        <v>40.5</v>
      </c>
      <c r="P499" s="13">
        <v>486</v>
      </c>
      <c r="Q499" s="21">
        <v>2.6357793421514675E-2</v>
      </c>
      <c r="R499" s="18">
        <f t="shared" si="90"/>
        <v>2.345789240546825E-2</v>
      </c>
      <c r="S499" s="21">
        <v>3.246897498281931E-2</v>
      </c>
      <c r="T499" s="18">
        <f t="shared" si="91"/>
        <v>4.1672978795502136E-2</v>
      </c>
      <c r="U499" s="23">
        <v>3.5424600347352175E-2</v>
      </c>
      <c r="V499" s="23">
        <f t="shared" si="92"/>
        <v>4.1848753706556829E-2</v>
      </c>
      <c r="W499" s="22">
        <f t="shared" si="95"/>
        <v>3.4212640445796527E-3</v>
      </c>
      <c r="X499" s="23">
        <v>3.4832419699319495E-2</v>
      </c>
      <c r="Y499" s="23">
        <f t="shared" si="96"/>
        <v>4.1811155021730162E-2</v>
      </c>
      <c r="Z499" s="22">
        <f t="shared" si="97"/>
        <v>3.4182009176320083E-3</v>
      </c>
      <c r="AA499" s="33"/>
      <c r="AB499" s="50">
        <f t="shared" si="93"/>
        <v>486</v>
      </c>
      <c r="AC499" s="48">
        <f t="shared" si="88"/>
        <v>0.34865767718260637</v>
      </c>
      <c r="AE499" s="48">
        <f t="shared" si="94"/>
        <v>0.99807029360542143</v>
      </c>
      <c r="AF499" s="48">
        <f t="shared" si="98"/>
        <v>0.34865767718260698</v>
      </c>
      <c r="AH499" s="48">
        <f t="shared" si="99"/>
        <v>6.106226635438361E-16</v>
      </c>
    </row>
    <row r="500" spans="4:34" ht="13.9" customHeight="1">
      <c r="D500" s="8"/>
      <c r="E500" s="9"/>
      <c r="F500" s="18"/>
      <c r="G500" s="18"/>
      <c r="H500" s="18"/>
      <c r="J500" s="40"/>
      <c r="K500" s="40"/>
      <c r="L500" s="40"/>
      <c r="M500" s="38"/>
      <c r="O500" s="12">
        <f t="shared" si="89"/>
        <v>40.583333333333336</v>
      </c>
      <c r="P500" s="13">
        <v>487</v>
      </c>
      <c r="Q500" s="21">
        <v>2.6351830388567477E-2</v>
      </c>
      <c r="R500" s="18">
        <f t="shared" si="90"/>
        <v>2.3466267387870721E-2</v>
      </c>
      <c r="S500" s="21">
        <v>3.2487790803542138E-2</v>
      </c>
      <c r="T500" s="18">
        <f t="shared" si="91"/>
        <v>4.1687674500755501E-2</v>
      </c>
      <c r="U500" s="23">
        <v>3.5437750957573844E-2</v>
      </c>
      <c r="V500" s="23">
        <f t="shared" si="92"/>
        <v>4.1860798992715997E-2</v>
      </c>
      <c r="W500" s="22">
        <f t="shared" si="95"/>
        <v>3.4222411080211401E-3</v>
      </c>
      <c r="X500" s="23">
        <v>3.4846701746291009E-2</v>
      </c>
      <c r="Y500" s="23">
        <f t="shared" si="96"/>
        <v>4.182375798291682E-2</v>
      </c>
      <c r="Z500" s="22">
        <f t="shared" si="97"/>
        <v>3.4192233970768982E-3</v>
      </c>
      <c r="AA500" s="33"/>
      <c r="AB500" s="50">
        <f t="shared" si="93"/>
        <v>487</v>
      </c>
      <c r="AC500" s="48">
        <f t="shared" si="88"/>
        <v>0.34798463428913851</v>
      </c>
      <c r="AE500" s="48">
        <f t="shared" si="94"/>
        <v>0.99806961688350782</v>
      </c>
      <c r="AF500" s="48">
        <f t="shared" si="98"/>
        <v>0.34798463428913828</v>
      </c>
      <c r="AH500" s="48">
        <f t="shared" si="99"/>
        <v>0</v>
      </c>
    </row>
    <row r="501" spans="4:34" ht="13.9" customHeight="1">
      <c r="D501" s="8"/>
      <c r="E501" s="9"/>
      <c r="F501" s="18"/>
      <c r="G501" s="18"/>
      <c r="H501" s="18"/>
      <c r="J501" s="40"/>
      <c r="K501" s="40"/>
      <c r="L501" s="40"/>
      <c r="M501" s="38"/>
      <c r="O501" s="12">
        <f t="shared" si="89"/>
        <v>40.666666666666664</v>
      </c>
      <c r="P501" s="13">
        <v>488</v>
      </c>
      <c r="Q501" s="21">
        <v>2.6345909038918203E-2</v>
      </c>
      <c r="R501" s="18">
        <f t="shared" si="90"/>
        <v>2.3474690081010774E-2</v>
      </c>
      <c r="S501" s="21">
        <v>3.2506559699985393E-2</v>
      </c>
      <c r="T501" s="18">
        <f t="shared" si="91"/>
        <v>4.1702206048120471E-2</v>
      </c>
      <c r="U501" s="23">
        <v>3.5450872369094277E-2</v>
      </c>
      <c r="V501" s="23">
        <f t="shared" si="92"/>
        <v>4.1872717239418877E-2</v>
      </c>
      <c r="W501" s="22">
        <f t="shared" si="95"/>
        <v>3.4232078545493039E-3</v>
      </c>
      <c r="X501" s="23">
        <v>3.4860951109478178E-2</v>
      </c>
      <c r="Y501" s="23">
        <f t="shared" si="96"/>
        <v>4.1836226248608055E-2</v>
      </c>
      <c r="Z501" s="22">
        <f t="shared" si="97"/>
        <v>3.4202349354404138E-3</v>
      </c>
      <c r="AA501" s="33"/>
      <c r="AB501" s="50">
        <f t="shared" si="93"/>
        <v>488</v>
      </c>
      <c r="AC501" s="48">
        <f t="shared" si="88"/>
        <v>0.34731265378816056</v>
      </c>
      <c r="AE501" s="48">
        <f t="shared" si="94"/>
        <v>0.99806893628406734</v>
      </c>
      <c r="AF501" s="48">
        <f t="shared" si="98"/>
        <v>0.34731265378816045</v>
      </c>
      <c r="AH501" s="48">
        <f t="shared" si="99"/>
        <v>0</v>
      </c>
    </row>
    <row r="502" spans="4:34" ht="13.9" customHeight="1">
      <c r="D502" s="8"/>
      <c r="E502" s="9"/>
      <c r="F502" s="18"/>
      <c r="G502" s="18"/>
      <c r="H502" s="18"/>
      <c r="J502" s="40"/>
      <c r="K502" s="40"/>
      <c r="L502" s="40"/>
      <c r="M502" s="38"/>
      <c r="O502" s="12">
        <f t="shared" si="89"/>
        <v>40.75</v>
      </c>
      <c r="P502" s="13">
        <v>489</v>
      </c>
      <c r="Q502" s="21">
        <v>2.6340029214034555E-2</v>
      </c>
      <c r="R502" s="18">
        <f t="shared" si="90"/>
        <v>2.3483160987275209E-2</v>
      </c>
      <c r="S502" s="21">
        <v>3.2525281626401448E-2</v>
      </c>
      <c r="T502" s="18">
        <f t="shared" si="91"/>
        <v>4.1716575301963266E-2</v>
      </c>
      <c r="U502" s="23">
        <v>3.5463964502480128E-2</v>
      </c>
      <c r="V502" s="23">
        <f t="shared" si="92"/>
        <v>4.1884509807882608E-2</v>
      </c>
      <c r="W502" s="22">
        <f t="shared" si="95"/>
        <v>3.4241643948926814E-3</v>
      </c>
      <c r="X502" s="23">
        <v>3.487516771533139E-2</v>
      </c>
      <c r="Y502" s="23">
        <f t="shared" si="96"/>
        <v>4.1848561280682706E-2</v>
      </c>
      <c r="Z502" s="22">
        <f t="shared" si="97"/>
        <v>3.4212356518419362E-3</v>
      </c>
      <c r="AA502" s="33"/>
      <c r="AB502" s="50">
        <f t="shared" si="93"/>
        <v>489</v>
      </c>
      <c r="AC502" s="48">
        <f t="shared" si="88"/>
        <v>0.34664173319904351</v>
      </c>
      <c r="AE502" s="48">
        <f t="shared" si="94"/>
        <v>0.99806825181346182</v>
      </c>
      <c r="AF502" s="48">
        <f t="shared" si="98"/>
        <v>0.3466417331990434</v>
      </c>
      <c r="AH502" s="48">
        <f t="shared" si="99"/>
        <v>0</v>
      </c>
    </row>
    <row r="503" spans="4:34" ht="13.9" customHeight="1">
      <c r="D503" s="8"/>
      <c r="E503" s="9"/>
      <c r="F503" s="18"/>
      <c r="G503" s="18"/>
      <c r="H503" s="18"/>
      <c r="J503" s="40"/>
      <c r="K503" s="40"/>
      <c r="L503" s="40"/>
      <c r="M503" s="38"/>
      <c r="O503" s="12">
        <f t="shared" si="89"/>
        <v>40.833333333333336</v>
      </c>
      <c r="P503" s="13">
        <v>490</v>
      </c>
      <c r="Q503" s="21">
        <v>2.6334190757707043E-2</v>
      </c>
      <c r="R503" s="18">
        <f t="shared" si="90"/>
        <v>2.34916806137353E-2</v>
      </c>
      <c r="S503" s="21">
        <v>3.2543956541183583E-2</v>
      </c>
      <c r="T503" s="18">
        <f t="shared" si="91"/>
        <v>4.1730784105713736E-2</v>
      </c>
      <c r="U503" s="23">
        <v>3.547702728170532E-2</v>
      </c>
      <c r="V503" s="23">
        <f t="shared" si="92"/>
        <v>4.1896178043845378E-2</v>
      </c>
      <c r="W503" s="22">
        <f t="shared" si="95"/>
        <v>3.4251108386198492E-3</v>
      </c>
      <c r="X503" s="23">
        <v>3.4889351493862852E-2</v>
      </c>
      <c r="Y503" s="23">
        <f t="shared" si="96"/>
        <v>4.1860764526236327E-2</v>
      </c>
      <c r="Z503" s="22">
        <f t="shared" si="97"/>
        <v>3.4222256639673265E-3</v>
      </c>
      <c r="AA503" s="33"/>
      <c r="AB503" s="50">
        <f t="shared" si="93"/>
        <v>490</v>
      </c>
      <c r="AC503" s="48">
        <f t="shared" si="88"/>
        <v>0.34597187003745627</v>
      </c>
      <c r="AE503" s="48">
        <f t="shared" si="94"/>
        <v>0.99806756343096881</v>
      </c>
      <c r="AF503" s="48">
        <f t="shared" si="98"/>
        <v>0.34597187003745722</v>
      </c>
      <c r="AH503" s="48">
        <f t="shared" si="99"/>
        <v>9.4368957093138306E-16</v>
      </c>
    </row>
    <row r="504" spans="4:34" ht="13.9" customHeight="1">
      <c r="D504" s="8"/>
      <c r="E504" s="9"/>
      <c r="F504" s="18"/>
      <c r="G504" s="18"/>
      <c r="H504" s="18"/>
      <c r="J504" s="40"/>
      <c r="K504" s="40"/>
      <c r="L504" s="40"/>
      <c r="M504" s="38"/>
      <c r="O504" s="12">
        <f t="shared" si="89"/>
        <v>40.916666666666664</v>
      </c>
      <c r="P504" s="13">
        <v>491</v>
      </c>
      <c r="Q504" s="21">
        <v>2.6328393516034332E-2</v>
      </c>
      <c r="R504" s="18">
        <f t="shared" si="90"/>
        <v>2.3500249469823098E-2</v>
      </c>
      <c r="S504" s="21">
        <v>3.2562584406782058E-2</v>
      </c>
      <c r="T504" s="18">
        <f t="shared" si="91"/>
        <v>4.1744834280620591E-2</v>
      </c>
      <c r="U504" s="23">
        <v>3.5490060634085552E-2</v>
      </c>
      <c r="V504" s="23">
        <f t="shared" si="92"/>
        <v>4.1907723278430398E-2</v>
      </c>
      <c r="W504" s="22">
        <f t="shared" si="95"/>
        <v>3.4260472940488285E-3</v>
      </c>
      <c r="X504" s="23">
        <v>3.4903502378580198E-2</v>
      </c>
      <c r="Y504" s="23">
        <f t="shared" si="96"/>
        <v>4.187283741467529E-2</v>
      </c>
      <c r="Z504" s="22">
        <f t="shared" si="97"/>
        <v>3.4232050883076237E-3</v>
      </c>
      <c r="AA504" s="33"/>
      <c r="AB504" s="50">
        <f t="shared" si="93"/>
        <v>491</v>
      </c>
      <c r="AC504" s="48">
        <f t="shared" si="88"/>
        <v>0.34530306181533976</v>
      </c>
      <c r="AE504" s="48">
        <f t="shared" si="94"/>
        <v>0.99806687109548764</v>
      </c>
      <c r="AF504" s="48">
        <f t="shared" si="98"/>
        <v>0.3453030618153396</v>
      </c>
      <c r="AH504" s="48">
        <f t="shared" si="99"/>
        <v>0</v>
      </c>
    </row>
    <row r="505" spans="4:34" ht="13.9" customHeight="1">
      <c r="D505" s="8"/>
      <c r="E505" s="9"/>
      <c r="F505" s="18"/>
      <c r="G505" s="18"/>
      <c r="H505" s="18"/>
      <c r="J505" s="40"/>
      <c r="K505" s="40"/>
      <c r="L505" s="40"/>
      <c r="M505" s="38"/>
      <c r="O505" s="12">
        <f t="shared" si="89"/>
        <v>41</v>
      </c>
      <c r="P505" s="13">
        <v>492</v>
      </c>
      <c r="Q505" s="21">
        <v>2.6322637337405252E-2</v>
      </c>
      <c r="R505" s="18">
        <f t="shared" si="90"/>
        <v>2.3508867501102593E-2</v>
      </c>
      <c r="S505" s="21">
        <v>3.2581165189617511E-2</v>
      </c>
      <c r="T505" s="18">
        <f t="shared" si="91"/>
        <v>4.1758727626788339E-2</v>
      </c>
      <c r="U505" s="23">
        <v>3.5503064490214564E-2</v>
      </c>
      <c r="V505" s="23">
        <f t="shared" si="92"/>
        <v>4.1919146827827714E-2</v>
      </c>
      <c r="W505" s="22">
        <f t="shared" si="95"/>
        <v>3.4269738683172513E-3</v>
      </c>
      <c r="X505" s="23">
        <v>3.4917620306415653E-2</v>
      </c>
      <c r="Y505" s="23">
        <f t="shared" si="96"/>
        <v>4.1884781360278067E-2</v>
      </c>
      <c r="Z505" s="22">
        <f t="shared" si="97"/>
        <v>3.4241740399250098E-3</v>
      </c>
      <c r="AA505" s="33"/>
      <c r="AB505" s="50">
        <f t="shared" si="93"/>
        <v>492</v>
      </c>
      <c r="AC505" s="48">
        <f t="shared" si="88"/>
        <v>0.34463530604092918</v>
      </c>
      <c r="AE505" s="48">
        <f t="shared" si="94"/>
        <v>0.99806617476572712</v>
      </c>
      <c r="AF505" s="48">
        <f t="shared" si="98"/>
        <v>0.3446353060409294</v>
      </c>
      <c r="AH505" s="48">
        <f t="shared" si="99"/>
        <v>0</v>
      </c>
    </row>
    <row r="506" spans="4:34" ht="13.9" customHeight="1">
      <c r="D506" s="8"/>
      <c r="E506" s="9"/>
      <c r="F506" s="18"/>
      <c r="G506" s="18"/>
      <c r="H506" s="18"/>
      <c r="J506" s="40"/>
      <c r="K506" s="40"/>
      <c r="L506" s="40"/>
      <c r="M506" s="38"/>
      <c r="O506" s="12">
        <f t="shared" si="89"/>
        <v>41.083333333333336</v>
      </c>
      <c r="P506" s="13">
        <v>493</v>
      </c>
      <c r="Q506" s="21">
        <v>2.6316922071327964E-2</v>
      </c>
      <c r="R506" s="18">
        <f t="shared" si="90"/>
        <v>2.3517532950518394E-2</v>
      </c>
      <c r="S506" s="21">
        <v>3.2599698859998805E-2</v>
      </c>
      <c r="T506" s="18">
        <f t="shared" si="91"/>
        <v>4.1772465923287649E-2</v>
      </c>
      <c r="U506" s="23">
        <v>3.5516038783901083E-2</v>
      </c>
      <c r="V506" s="23">
        <f t="shared" si="92"/>
        <v>4.1930449994269869E-2</v>
      </c>
      <c r="W506" s="22">
        <f t="shared" si="95"/>
        <v>3.4278906673570475E-3</v>
      </c>
      <c r="X506" s="23">
        <v>3.4931705217660758E-2</v>
      </c>
      <c r="Y506" s="23">
        <f t="shared" si="96"/>
        <v>4.1896597761346133E-2</v>
      </c>
      <c r="Z506" s="22">
        <f t="shared" si="97"/>
        <v>3.4251326326588671E-3</v>
      </c>
      <c r="AA506" s="33"/>
      <c r="AB506" s="50">
        <f t="shared" si="93"/>
        <v>493</v>
      </c>
      <c r="AC506" s="48">
        <f t="shared" si="88"/>
        <v>0.34396860023465831</v>
      </c>
      <c r="AE506" s="48">
        <f t="shared" si="94"/>
        <v>0.99806547444621996</v>
      </c>
      <c r="AF506" s="48">
        <f t="shared" si="98"/>
        <v>0.34396860023465842</v>
      </c>
      <c r="AH506" s="48">
        <f t="shared" si="99"/>
        <v>0</v>
      </c>
    </row>
    <row r="507" spans="4:34" ht="13.9" customHeight="1">
      <c r="D507" s="8"/>
      <c r="E507" s="9"/>
      <c r="F507" s="18"/>
      <c r="G507" s="18"/>
      <c r="H507" s="18"/>
      <c r="J507" s="40"/>
      <c r="K507" s="40"/>
      <c r="L507" s="40"/>
      <c r="M507" s="38"/>
      <c r="O507" s="12">
        <f t="shared" si="89"/>
        <v>41.166666666666664</v>
      </c>
      <c r="P507" s="13">
        <v>494</v>
      </c>
      <c r="Q507" s="21">
        <v>2.6311247564962725E-2</v>
      </c>
      <c r="R507" s="18">
        <f t="shared" si="90"/>
        <v>2.3526245773795251E-2</v>
      </c>
      <c r="S507" s="21">
        <v>3.261818539204131E-2</v>
      </c>
      <c r="T507" s="18">
        <f t="shared" si="91"/>
        <v>4.178605092810117E-2</v>
      </c>
      <c r="U507" s="23">
        <v>3.5528983452107754E-2</v>
      </c>
      <c r="V507" s="23">
        <f t="shared" si="92"/>
        <v>4.1941634065042921E-2</v>
      </c>
      <c r="W507" s="22">
        <f t="shared" si="95"/>
        <v>3.4287977959717164E-3</v>
      </c>
      <c r="X507" s="23">
        <v>3.4945757055899751E-2</v>
      </c>
      <c r="Y507" s="23">
        <f t="shared" si="96"/>
        <v>4.190828800066404E-2</v>
      </c>
      <c r="Z507" s="22">
        <f t="shared" si="97"/>
        <v>3.426080979058499E-3</v>
      </c>
      <c r="AA507" s="33"/>
      <c r="AB507" s="50">
        <f t="shared" si="93"/>
        <v>494</v>
      </c>
      <c r="AC507" s="48">
        <f t="shared" si="88"/>
        <v>0.3433029419766877</v>
      </c>
      <c r="AE507" s="48">
        <f t="shared" si="94"/>
        <v>0.99806477027985541</v>
      </c>
      <c r="AF507" s="48">
        <f t="shared" si="98"/>
        <v>0.34330294197668776</v>
      </c>
      <c r="AH507" s="48">
        <f t="shared" si="99"/>
        <v>0</v>
      </c>
    </row>
    <row r="508" spans="4:34" ht="13.9" customHeight="1">
      <c r="D508" s="8"/>
      <c r="E508" s="9"/>
      <c r="F508" s="18"/>
      <c r="G508" s="18"/>
      <c r="H508" s="18"/>
      <c r="J508" s="40"/>
      <c r="K508" s="40"/>
      <c r="L508" s="40"/>
      <c r="M508" s="38"/>
      <c r="O508" s="12">
        <f t="shared" si="89"/>
        <v>41.25</v>
      </c>
      <c r="P508" s="13">
        <v>495</v>
      </c>
      <c r="Q508" s="21">
        <v>2.6305613666615546E-2</v>
      </c>
      <c r="R508" s="18">
        <f t="shared" si="90"/>
        <v>2.3535006497330979E-2</v>
      </c>
      <c r="S508" s="21">
        <v>3.2636624763586308E-2</v>
      </c>
      <c r="T508" s="18">
        <f t="shared" si="91"/>
        <v>4.1799484379101859E-2</v>
      </c>
      <c r="U508" s="23">
        <v>3.5541898434889641E-2</v>
      </c>
      <c r="V508" s="23">
        <f t="shared" si="92"/>
        <v>4.1952700313681701E-2</v>
      </c>
      <c r="W508" s="22">
        <f t="shared" si="95"/>
        <v>3.4296953577586109E-3</v>
      </c>
      <c r="X508" s="23">
        <v>3.4959775767946066E-2</v>
      </c>
      <c r="Y508" s="23">
        <f t="shared" si="96"/>
        <v>4.1919853445012478E-2</v>
      </c>
      <c r="Z508" s="22">
        <f t="shared" si="97"/>
        <v>3.4270191904195446E-3</v>
      </c>
      <c r="AA508" s="33"/>
      <c r="AB508" s="50">
        <f t="shared" si="93"/>
        <v>495</v>
      </c>
      <c r="AC508" s="48">
        <f t="shared" si="88"/>
        <v>0.34263832885861084</v>
      </c>
      <c r="AE508" s="48">
        <f t="shared" si="94"/>
        <v>0.99806406227033706</v>
      </c>
      <c r="AF508" s="48">
        <f t="shared" si="98"/>
        <v>0.34263832885861079</v>
      </c>
      <c r="AH508" s="48">
        <f t="shared" si="99"/>
        <v>0</v>
      </c>
    </row>
    <row r="509" spans="4:34" ht="13.9" customHeight="1">
      <c r="D509" s="8"/>
      <c r="E509" s="9"/>
      <c r="F509" s="18"/>
      <c r="G509" s="18"/>
      <c r="H509" s="18"/>
      <c r="J509" s="40"/>
      <c r="K509" s="40"/>
      <c r="L509" s="40"/>
      <c r="M509" s="38"/>
      <c r="O509" s="12">
        <f t="shared" si="89"/>
        <v>41.333333333333336</v>
      </c>
      <c r="P509" s="13">
        <v>496</v>
      </c>
      <c r="Q509" s="21">
        <v>2.6300020226880161E-2</v>
      </c>
      <c r="R509" s="18">
        <f t="shared" si="90"/>
        <v>2.3543815652435462E-2</v>
      </c>
      <c r="S509" s="21">
        <v>3.2655016956123495E-2</v>
      </c>
      <c r="T509" s="18">
        <f t="shared" si="91"/>
        <v>4.1812767993570921E-2</v>
      </c>
      <c r="U509" s="23">
        <v>3.5554783675335155E-2</v>
      </c>
      <c r="V509" s="23">
        <f t="shared" si="92"/>
        <v>4.1963649999356312E-2</v>
      </c>
      <c r="W509" s="22">
        <f t="shared" si="95"/>
        <v>3.4305834552044168E-3</v>
      </c>
      <c r="X509" s="23">
        <v>3.4973761303777051E-2</v>
      </c>
      <c r="Y509" s="23">
        <f t="shared" si="96"/>
        <v>4.1931295446955064E-2</v>
      </c>
      <c r="Z509" s="22">
        <f t="shared" si="97"/>
        <v>3.4279473767453439E-3</v>
      </c>
      <c r="AA509" s="33"/>
      <c r="AB509" s="50">
        <f t="shared" si="93"/>
        <v>496</v>
      </c>
      <c r="AC509" s="48">
        <f t="shared" si="88"/>
        <v>0.34197475846751513</v>
      </c>
      <c r="AE509" s="48">
        <f t="shared" si="94"/>
        <v>0.99806335037499661</v>
      </c>
      <c r="AF509" s="48">
        <f t="shared" si="98"/>
        <v>0.34197475846751496</v>
      </c>
      <c r="AH509" s="48">
        <f t="shared" si="99"/>
        <v>0</v>
      </c>
    </row>
    <row r="510" spans="4:34" ht="13.9" customHeight="1">
      <c r="D510" s="8"/>
      <c r="E510" s="9"/>
      <c r="F510" s="18"/>
      <c r="G510" s="18"/>
      <c r="H510" s="18"/>
      <c r="J510" s="40"/>
      <c r="K510" s="40"/>
      <c r="L510" s="40"/>
      <c r="M510" s="38"/>
      <c r="O510" s="12">
        <f t="shared" si="89"/>
        <v>41.416666666666664</v>
      </c>
      <c r="P510" s="13">
        <v>497</v>
      </c>
      <c r="Q510" s="21">
        <v>2.629446709862493E-2</v>
      </c>
      <c r="R510" s="18">
        <f t="shared" si="90"/>
        <v>2.3552673773268085E-2</v>
      </c>
      <c r="S510" s="21">
        <v>3.2673361954712821E-2</v>
      </c>
      <c r="T510" s="18">
        <f t="shared" si="91"/>
        <v>4.1825903468741599E-2</v>
      </c>
      <c r="U510" s="23">
        <v>3.5567639119507666E-2</v>
      </c>
      <c r="V510" s="23">
        <f t="shared" si="92"/>
        <v>4.197448436782425E-2</v>
      </c>
      <c r="W510" s="22">
        <f t="shared" si="95"/>
        <v>3.4314621896358588E-3</v>
      </c>
      <c r="X510" s="23">
        <v>3.4987713616473792E-2</v>
      </c>
      <c r="Y510" s="23">
        <f t="shared" si="96"/>
        <v>4.1942615343119716E-2</v>
      </c>
      <c r="Z510" s="22">
        <f t="shared" si="97"/>
        <v>3.4288656468901557E-3</v>
      </c>
      <c r="AA510" s="33"/>
      <c r="AB510" s="50">
        <f t="shared" si="93"/>
        <v>497</v>
      </c>
      <c r="AC510" s="48">
        <f t="shared" si="88"/>
        <v>0.3413122283859501</v>
      </c>
      <c r="AE510" s="48">
        <f t="shared" si="94"/>
        <v>0.99806263455076882</v>
      </c>
      <c r="AF510" s="48">
        <f t="shared" si="98"/>
        <v>0.34131222838595082</v>
      </c>
      <c r="AH510" s="48">
        <f t="shared" si="99"/>
        <v>7.2164496600635175E-16</v>
      </c>
    </row>
    <row r="511" spans="4:34" ht="13.9" customHeight="1">
      <c r="D511" s="8"/>
      <c r="E511" s="9"/>
      <c r="F511" s="18"/>
      <c r="G511" s="18"/>
      <c r="H511" s="18"/>
      <c r="J511" s="40"/>
      <c r="K511" s="40"/>
      <c r="L511" s="40"/>
      <c r="M511" s="38"/>
      <c r="O511" s="12">
        <f t="shared" si="89"/>
        <v>41.5</v>
      </c>
      <c r="P511" s="13">
        <v>498</v>
      </c>
      <c r="Q511" s="21">
        <v>2.6288954136975295E-2</v>
      </c>
      <c r="R511" s="18">
        <f t="shared" si="90"/>
        <v>2.3561580836985341E-2</v>
      </c>
      <c r="S511" s="21">
        <v>3.2691659747909441E-2</v>
      </c>
      <c r="T511" s="18">
        <f t="shared" si="91"/>
        <v>4.1838892482316314E-2</v>
      </c>
      <c r="U511" s="23">
        <v>3.5580464716387539E-2</v>
      </c>
      <c r="V511" s="23">
        <f t="shared" si="92"/>
        <v>4.1985204650985652E-2</v>
      </c>
      <c r="W511" s="22">
        <f t="shared" si="95"/>
        <v>3.4323316612967503E-3</v>
      </c>
      <c r="X511" s="23">
        <v>3.5001632662158721E-2</v>
      </c>
      <c r="Y511" s="23">
        <f t="shared" si="96"/>
        <v>4.1953814455708782E-2</v>
      </c>
      <c r="Z511" s="22">
        <f t="shared" si="97"/>
        <v>3.4297741084217126E-3</v>
      </c>
      <c r="AA511" s="33"/>
      <c r="AB511" s="50">
        <f t="shared" si="93"/>
        <v>498</v>
      </c>
      <c r="AC511" s="48">
        <f t="shared" si="88"/>
        <v>0.34065073619195896</v>
      </c>
      <c r="AE511" s="48">
        <f t="shared" si="94"/>
        <v>0.99806191475435857</v>
      </c>
      <c r="AF511" s="48">
        <f t="shared" si="98"/>
        <v>0.34065073619195901</v>
      </c>
      <c r="AH511" s="48">
        <f t="shared" si="99"/>
        <v>0</v>
      </c>
    </row>
    <row r="512" spans="4:34" ht="13.9" customHeight="1">
      <c r="D512" s="8"/>
      <c r="E512" s="9"/>
      <c r="F512" s="18"/>
      <c r="G512" s="18"/>
      <c r="H512" s="18"/>
      <c r="J512" s="40"/>
      <c r="K512" s="40"/>
      <c r="L512" s="40"/>
      <c r="M512" s="38"/>
      <c r="O512" s="12">
        <f t="shared" si="89"/>
        <v>41.583333333333336</v>
      </c>
      <c r="P512" s="13">
        <v>499</v>
      </c>
      <c r="Q512" s="21">
        <v>2.6283481198172476E-2</v>
      </c>
      <c r="R512" s="18">
        <f t="shared" si="90"/>
        <v>2.3570535143802696E-2</v>
      </c>
      <c r="S512" s="21">
        <v>3.2709910327689551E-2</v>
      </c>
      <c r="T512" s="18">
        <f t="shared" si="91"/>
        <v>4.185173669217912E-2</v>
      </c>
      <c r="U512" s="23">
        <v>3.559326041781663E-2</v>
      </c>
      <c r="V512" s="23">
        <f t="shared" si="92"/>
        <v>4.1995812067010085E-2</v>
      </c>
      <c r="W512" s="22">
        <f t="shared" si="95"/>
        <v>3.4331919693115776E-3</v>
      </c>
      <c r="X512" s="23">
        <v>3.5015518399935885E-2</v>
      </c>
      <c r="Y512" s="23">
        <f t="shared" si="96"/>
        <v>4.1964894091905292E-2</v>
      </c>
      <c r="Z512" s="22">
        <f t="shared" si="97"/>
        <v>3.4306728677433451E-3</v>
      </c>
      <c r="AA512" s="33"/>
      <c r="AB512" s="50">
        <f t="shared" si="93"/>
        <v>499</v>
      </c>
      <c r="AC512" s="48">
        <f t="shared" si="88"/>
        <v>0.33999027947459526</v>
      </c>
      <c r="AE512" s="48">
        <f t="shared" si="94"/>
        <v>0.99806119098773383</v>
      </c>
      <c r="AF512" s="48">
        <f t="shared" si="98"/>
        <v>0.33999027947459493</v>
      </c>
      <c r="AH512" s="48">
        <f t="shared" si="99"/>
        <v>0</v>
      </c>
    </row>
    <row r="513" spans="4:34" ht="13.9" customHeight="1">
      <c r="D513" s="8"/>
      <c r="E513" s="9"/>
      <c r="F513" s="18"/>
      <c r="G513" s="18"/>
      <c r="H513" s="18"/>
      <c r="J513" s="40"/>
      <c r="K513" s="40"/>
      <c r="L513" s="40"/>
      <c r="M513" s="38"/>
      <c r="O513" s="12">
        <f t="shared" si="89"/>
        <v>41.666666666666664</v>
      </c>
      <c r="P513" s="13">
        <v>500</v>
      </c>
      <c r="Q513" s="21">
        <v>2.627804813619905E-2</v>
      </c>
      <c r="R513" s="18">
        <f t="shared" si="90"/>
        <v>2.3579536680925717E-2</v>
      </c>
      <c r="S513" s="21">
        <v>3.2728113689376892E-2</v>
      </c>
      <c r="T513" s="18">
        <f t="shared" si="91"/>
        <v>4.1864437736792048E-2</v>
      </c>
      <c r="U513" s="23">
        <v>3.5606026178441441E-2</v>
      </c>
      <c r="V513" s="23">
        <f t="shared" si="92"/>
        <v>4.2006307820932731E-2</v>
      </c>
      <c r="W513" s="22">
        <f t="shared" si="95"/>
        <v>3.4340432116974906E-3</v>
      </c>
      <c r="X513" s="23">
        <v>3.5029370791831438E-2</v>
      </c>
      <c r="Y513" s="23">
        <f t="shared" si="96"/>
        <v>4.19758555445926E-2</v>
      </c>
      <c r="Z513" s="22">
        <f t="shared" si="97"/>
        <v>3.4315620300446881E-3</v>
      </c>
      <c r="AA513" s="33"/>
      <c r="AB513" s="50">
        <f t="shared" si="93"/>
        <v>500</v>
      </c>
      <c r="AC513" s="48">
        <f t="shared" si="88"/>
        <v>0.33933085588021317</v>
      </c>
      <c r="AE513" s="48">
        <f t="shared" si="94"/>
        <v>0.9980604633891258</v>
      </c>
      <c r="AF513" s="48">
        <f t="shared" si="98"/>
        <v>0.33933085588021261</v>
      </c>
      <c r="AH513" s="48">
        <f t="shared" si="99"/>
        <v>-5.5511151231257827E-16</v>
      </c>
    </row>
    <row r="514" spans="4:34" ht="13.9" customHeight="1">
      <c r="D514" s="8"/>
      <c r="E514" s="9"/>
      <c r="F514" s="18"/>
      <c r="G514" s="18"/>
      <c r="H514" s="18"/>
      <c r="J514" s="40"/>
      <c r="K514" s="40"/>
      <c r="L514" s="40"/>
      <c r="M514" s="38"/>
      <c r="O514" s="12">
        <f t="shared" si="89"/>
        <v>41.75</v>
      </c>
      <c r="P514" s="13">
        <v>501</v>
      </c>
      <c r="Q514" s="21">
        <v>2.627265480617802E-2</v>
      </c>
      <c r="R514" s="18">
        <f t="shared" si="90"/>
        <v>2.3588586000049983E-2</v>
      </c>
      <c r="S514" s="21">
        <v>3.2746269831571251E-2</v>
      </c>
      <c r="T514" s="18">
        <f t="shared" si="91"/>
        <v>4.1876997235913205E-2</v>
      </c>
      <c r="U514" s="23">
        <v>3.5618761955659828E-2</v>
      </c>
      <c r="V514" s="23">
        <f t="shared" si="92"/>
        <v>4.2016693104597103E-2</v>
      </c>
      <c r="W514" s="22">
        <f t="shared" si="95"/>
        <v>3.4348854854100441E-3</v>
      </c>
      <c r="X514" s="23">
        <v>3.5043189802736574E-2</v>
      </c>
      <c r="Y514" s="23">
        <f t="shared" si="96"/>
        <v>4.1986700092173646E-2</v>
      </c>
      <c r="Z514" s="22">
        <f t="shared" si="97"/>
        <v>3.4324416993616325E-3</v>
      </c>
      <c r="AA514" s="33"/>
      <c r="AB514" s="50">
        <f t="shared" si="93"/>
        <v>501</v>
      </c>
      <c r="AC514" s="48">
        <f t="shared" si="88"/>
        <v>0.33867246306545445</v>
      </c>
      <c r="AE514" s="48">
        <f t="shared" si="94"/>
        <v>0.99805973195968289</v>
      </c>
      <c r="AF514" s="48">
        <f t="shared" si="98"/>
        <v>0.33867246306545479</v>
      </c>
      <c r="AH514" s="48">
        <f t="shared" si="99"/>
        <v>0</v>
      </c>
    </row>
    <row r="515" spans="4:34" ht="13.9" customHeight="1">
      <c r="D515" s="8"/>
      <c r="E515" s="9"/>
      <c r="F515" s="18"/>
      <c r="G515" s="18"/>
      <c r="H515" s="18"/>
      <c r="J515" s="40"/>
      <c r="K515" s="40"/>
      <c r="L515" s="40"/>
      <c r="M515" s="38"/>
      <c r="O515" s="12">
        <f t="shared" si="89"/>
        <v>41.833333333333336</v>
      </c>
      <c r="P515" s="13">
        <v>502</v>
      </c>
      <c r="Q515" s="21">
        <v>2.626730106548858E-2</v>
      </c>
      <c r="R515" s="18">
        <f t="shared" si="90"/>
        <v>2.3597683655528279E-2</v>
      </c>
      <c r="S515" s="21">
        <v>3.276437875607896E-2</v>
      </c>
      <c r="T515" s="18">
        <f t="shared" si="91"/>
        <v>4.1889416790191536E-2</v>
      </c>
      <c r="U515" s="23">
        <v>3.5631467709566822E-2</v>
      </c>
      <c r="V515" s="23">
        <f t="shared" si="92"/>
        <v>4.2026969096718325E-2</v>
      </c>
      <c r="W515" s="22">
        <f t="shared" si="95"/>
        <v>3.4357188863407551E-3</v>
      </c>
      <c r="X515" s="23">
        <v>3.5056975400349577E-2</v>
      </c>
      <c r="Y515" s="23">
        <f t="shared" si="96"/>
        <v>4.1997428998834962E-2</v>
      </c>
      <c r="Z515" s="22">
        <f t="shared" si="97"/>
        <v>3.4333119785603383E-3</v>
      </c>
      <c r="AA515" s="33"/>
      <c r="AB515" s="50">
        <f t="shared" si="93"/>
        <v>502</v>
      </c>
      <c r="AC515" s="48">
        <f t="shared" si="88"/>
        <v>0.33801509868167895</v>
      </c>
      <c r="AE515" s="48">
        <f t="shared" si="94"/>
        <v>0.99805899665468656</v>
      </c>
      <c r="AF515" s="48">
        <f t="shared" si="98"/>
        <v>0.33801509868167917</v>
      </c>
      <c r="AH515" s="48">
        <f t="shared" si="99"/>
        <v>0</v>
      </c>
    </row>
    <row r="516" spans="4:34" ht="13.9" customHeight="1">
      <c r="D516" s="8"/>
      <c r="E516" s="9"/>
      <c r="F516" s="18"/>
      <c r="G516" s="18"/>
      <c r="H516" s="18"/>
      <c r="J516" s="40"/>
      <c r="K516" s="40"/>
      <c r="L516" s="40"/>
      <c r="M516" s="38"/>
      <c r="O516" s="12">
        <f t="shared" si="89"/>
        <v>41.916666666666664</v>
      </c>
      <c r="P516" s="13">
        <v>503</v>
      </c>
      <c r="Q516" s="21">
        <v>2.6261986773749246E-2</v>
      </c>
      <c r="R516" s="18">
        <f t="shared" si="90"/>
        <v>2.3606830205444185E-2</v>
      </c>
      <c r="S516" s="21">
        <v>3.2782440467843399E-2</v>
      </c>
      <c r="T516" s="18">
        <f t="shared" si="91"/>
        <v>4.1901697981751473E-2</v>
      </c>
      <c r="U516" s="23">
        <v>3.5644143402902451E-2</v>
      </c>
      <c r="V516" s="23">
        <f t="shared" si="92"/>
        <v>4.203713696289868E-2</v>
      </c>
      <c r="W516" s="22">
        <f t="shared" si="95"/>
        <v>3.4365435093213215E-3</v>
      </c>
      <c r="X516" s="23">
        <v>3.5070727555120751E-2</v>
      </c>
      <c r="Y516" s="23">
        <f t="shared" si="96"/>
        <v>4.2008043514964344E-2</v>
      </c>
      <c r="Z516" s="22">
        <f t="shared" si="97"/>
        <v>3.4341729693594392E-3</v>
      </c>
      <c r="AA516" s="33"/>
      <c r="AB516" s="50">
        <f t="shared" si="93"/>
        <v>503</v>
      </c>
      <c r="AC516" s="48">
        <f t="shared" si="88"/>
        <v>0.3373587603749979</v>
      </c>
      <c r="AE516" s="48">
        <f t="shared" si="94"/>
        <v>0.99805825742920495</v>
      </c>
      <c r="AF516" s="48">
        <f t="shared" si="98"/>
        <v>0.33735876037499746</v>
      </c>
      <c r="AH516" s="48">
        <f t="shared" si="99"/>
        <v>-4.4408920985006262E-16</v>
      </c>
    </row>
    <row r="517" spans="4:34" ht="13.9" customHeight="1">
      <c r="D517" s="8"/>
      <c r="E517" s="9"/>
      <c r="F517" s="18"/>
      <c r="G517" s="18"/>
      <c r="H517" s="18"/>
      <c r="J517" s="40"/>
      <c r="K517" s="40"/>
      <c r="L517" s="40"/>
      <c r="M517" s="38"/>
      <c r="O517" s="12">
        <f t="shared" si="89"/>
        <v>42</v>
      </c>
      <c r="P517" s="13">
        <v>504</v>
      </c>
      <c r="Q517" s="21">
        <v>2.6256711792802978E-2</v>
      </c>
      <c r="R517" s="18">
        <f t="shared" si="90"/>
        <v>2.3616025659610296E-2</v>
      </c>
      <c r="S517" s="21">
        <v>3.2800454974877269E-2</v>
      </c>
      <c r="T517" s="18">
        <f t="shared" si="91"/>
        <v>4.1913842374202925E-2</v>
      </c>
      <c r="U517" s="23">
        <v>3.5656789000999334E-2</v>
      </c>
      <c r="V517" s="23">
        <f t="shared" si="92"/>
        <v>4.2047197856537766E-2</v>
      </c>
      <c r="W517" s="22">
        <f t="shared" si="95"/>
        <v>3.4373594481251768E-3</v>
      </c>
      <c r="X517" s="23">
        <v>3.5084446240197131E-2</v>
      </c>
      <c r="Y517" s="23">
        <f t="shared" si="96"/>
        <v>4.2018544876537112E-2</v>
      </c>
      <c r="Z517" s="22">
        <f t="shared" si="97"/>
        <v>3.4350247723635707E-3</v>
      </c>
      <c r="AA517" s="33"/>
      <c r="AB517" s="50">
        <f t="shared" si="93"/>
        <v>504</v>
      </c>
      <c r="AC517" s="48">
        <f t="shared" si="88"/>
        <v>0.33670344578628458</v>
      </c>
      <c r="AE517" s="48">
        <f t="shared" si="94"/>
        <v>0.99805751423800526</v>
      </c>
      <c r="AF517" s="48">
        <f t="shared" si="98"/>
        <v>0.33670344578628481</v>
      </c>
      <c r="AH517" s="48">
        <f t="shared" si="99"/>
        <v>0</v>
      </c>
    </row>
    <row r="518" spans="4:34" ht="13.9" customHeight="1">
      <c r="D518" s="8"/>
      <c r="E518" s="9"/>
      <c r="F518" s="18"/>
      <c r="G518" s="18"/>
      <c r="H518" s="18"/>
      <c r="J518" s="40"/>
      <c r="K518" s="40"/>
      <c r="L518" s="40"/>
      <c r="M518" s="38"/>
      <c r="O518" s="12">
        <f t="shared" si="89"/>
        <v>42.083333333333336</v>
      </c>
      <c r="P518" s="13">
        <v>505</v>
      </c>
      <c r="Q518" s="21">
        <v>2.6251475985606065E-2</v>
      </c>
      <c r="R518" s="18">
        <f t="shared" si="90"/>
        <v>2.3625268374382724E-2</v>
      </c>
      <c r="S518" s="21">
        <v>3.2818422288196203E-2</v>
      </c>
      <c r="T518" s="18">
        <f t="shared" si="91"/>
        <v>4.1925851513263224E-2</v>
      </c>
      <c r="U518" s="23">
        <v>3.5669404471732946E-2</v>
      </c>
      <c r="V518" s="23">
        <f t="shared" si="92"/>
        <v>4.2057152917660545E-2</v>
      </c>
      <c r="W518" s="22">
        <f t="shared" si="95"/>
        <v>3.4381667955407647E-3</v>
      </c>
      <c r="X518" s="23">
        <v>3.5098131431368085E-2</v>
      </c>
      <c r="Y518" s="23">
        <f t="shared" si="96"/>
        <v>4.2028934306303611E-2</v>
      </c>
      <c r="Z518" s="22">
        <f t="shared" si="97"/>
        <v>3.4358674870147432E-3</v>
      </c>
      <c r="AA518" s="33"/>
      <c r="AB518" s="50">
        <f t="shared" si="93"/>
        <v>505</v>
      </c>
      <c r="AC518" s="48">
        <f t="shared" si="88"/>
        <v>0.33604915256629131</v>
      </c>
      <c r="AE518" s="48">
        <f t="shared" si="94"/>
        <v>0.99805676708040558</v>
      </c>
      <c r="AF518" s="48">
        <f t="shared" si="98"/>
        <v>0.33604915256629203</v>
      </c>
      <c r="AH518" s="48">
        <f t="shared" si="99"/>
        <v>7.2164496600635175E-16</v>
      </c>
    </row>
    <row r="519" spans="4:34" ht="13.9" customHeight="1">
      <c r="D519" s="8"/>
      <c r="E519" s="9"/>
      <c r="F519" s="18"/>
      <c r="G519" s="18"/>
      <c r="H519" s="18"/>
      <c r="J519" s="40"/>
      <c r="K519" s="40"/>
      <c r="L519" s="40"/>
      <c r="M519" s="38"/>
      <c r="O519" s="12">
        <f t="shared" si="89"/>
        <v>42.166666666666664</v>
      </c>
      <c r="P519" s="13">
        <v>506</v>
      </c>
      <c r="Q519" s="21">
        <v>2.6246279212941648E-2</v>
      </c>
      <c r="R519" s="18">
        <f t="shared" si="90"/>
        <v>2.3634558368596847E-2</v>
      </c>
      <c r="S519" s="21">
        <v>3.283634242175415E-2</v>
      </c>
      <c r="T519" s="18">
        <f t="shared" si="91"/>
        <v>4.1937726926296159E-2</v>
      </c>
      <c r="U519" s="23">
        <v>3.5681989785470769E-2</v>
      </c>
      <c r="V519" s="23">
        <f t="shared" si="92"/>
        <v>4.2067003274480985E-2</v>
      </c>
      <c r="W519" s="22">
        <f t="shared" si="95"/>
        <v>3.4389656432771698E-3</v>
      </c>
      <c r="X519" s="23">
        <v>3.5111783107013128E-2</v>
      </c>
      <c r="Y519" s="23">
        <f t="shared" si="96"/>
        <v>4.2039213013107757E-2</v>
      </c>
      <c r="Z519" s="22">
        <f t="shared" si="97"/>
        <v>3.4367012116862661E-3</v>
      </c>
      <c r="AA519" s="33"/>
      <c r="AB519" s="50">
        <f t="shared" si="93"/>
        <v>506</v>
      </c>
      <c r="AC519" s="48">
        <f t="shared" si="88"/>
        <v>0.33539587842075697</v>
      </c>
      <c r="AE519" s="48">
        <f t="shared" si="94"/>
        <v>0.99805601609007022</v>
      </c>
      <c r="AF519" s="48">
        <f t="shared" si="98"/>
        <v>0.33539587842075763</v>
      </c>
      <c r="AH519" s="48">
        <f t="shared" si="99"/>
        <v>6.6613381477509392E-16</v>
      </c>
    </row>
    <row r="520" spans="4:34" ht="13.9" customHeight="1">
      <c r="D520" s="8"/>
      <c r="E520" s="9"/>
      <c r="F520" s="18"/>
      <c r="G520" s="18"/>
      <c r="H520" s="18"/>
      <c r="J520" s="40"/>
      <c r="K520" s="40"/>
      <c r="L520" s="40"/>
      <c r="M520" s="38"/>
      <c r="O520" s="12">
        <f t="shared" si="89"/>
        <v>42.25</v>
      </c>
      <c r="P520" s="13">
        <v>507</v>
      </c>
      <c r="Q520" s="21">
        <v>2.6241121336728401E-2</v>
      </c>
      <c r="R520" s="18">
        <f t="shared" si="90"/>
        <v>2.3643896217673266E-2</v>
      </c>
      <c r="S520" s="21">
        <v>3.2854215392378538E-2</v>
      </c>
      <c r="T520" s="18">
        <f t="shared" si="91"/>
        <v>4.1949470123517463E-2</v>
      </c>
      <c r="U520" s="23">
        <v>3.5694544915023885E-2</v>
      </c>
      <c r="V520" s="23">
        <f t="shared" si="92"/>
        <v>4.2076750042669753E-2</v>
      </c>
      <c r="W520" s="22">
        <f t="shared" si="95"/>
        <v>3.4397560820906836E-3</v>
      </c>
      <c r="X520" s="23">
        <v>3.512540124804886E-2</v>
      </c>
      <c r="Y520" s="23">
        <f t="shared" si="96"/>
        <v>4.2049382193276807E-2</v>
      </c>
      <c r="Z520" s="22">
        <f t="shared" si="97"/>
        <v>3.4375260436303456E-3</v>
      </c>
      <c r="AA520" s="33"/>
      <c r="AB520" s="50">
        <f t="shared" si="93"/>
        <v>507</v>
      </c>
      <c r="AC520" s="48">
        <f t="shared" si="88"/>
        <v>0.33474362106462835</v>
      </c>
      <c r="AE520" s="48">
        <f t="shared" si="94"/>
        <v>0.99805526126558175</v>
      </c>
      <c r="AF520" s="48">
        <f t="shared" si="98"/>
        <v>0.33474362106462857</v>
      </c>
      <c r="AH520" s="48">
        <f t="shared" si="99"/>
        <v>0</v>
      </c>
    </row>
    <row r="521" spans="4:34" ht="13.9" customHeight="1">
      <c r="D521" s="8"/>
      <c r="E521" s="9"/>
      <c r="F521" s="18"/>
      <c r="G521" s="18"/>
      <c r="H521" s="18"/>
      <c r="J521" s="40"/>
      <c r="K521" s="40"/>
      <c r="L521" s="40"/>
      <c r="M521" s="38"/>
      <c r="O521" s="12">
        <f t="shared" si="89"/>
        <v>42.333333333333336</v>
      </c>
      <c r="P521" s="13">
        <v>508</v>
      </c>
      <c r="Q521" s="21">
        <v>2.623600222110789E-2</v>
      </c>
      <c r="R521" s="18">
        <f t="shared" si="90"/>
        <v>2.3653282500325501E-2</v>
      </c>
      <c r="S521" s="21">
        <v>3.2872041219708326E-2</v>
      </c>
      <c r="T521" s="18">
        <f t="shared" si="91"/>
        <v>4.1961082597198107E-2</v>
      </c>
      <c r="U521" s="23">
        <v>3.5707069835599015E-2</v>
      </c>
      <c r="V521" s="23">
        <f t="shared" si="92"/>
        <v>4.2086394325439702E-2</v>
      </c>
      <c r="W521" s="22">
        <f t="shared" si="95"/>
        <v>3.4405382017255182E-3</v>
      </c>
      <c r="X521" s="23">
        <v>3.5138985837879666E-2</v>
      </c>
      <c r="Y521" s="23">
        <f t="shared" si="96"/>
        <v>4.2059443028328758E-2</v>
      </c>
      <c r="Z521" s="22">
        <f t="shared" si="97"/>
        <v>3.438342079087553E-3</v>
      </c>
      <c r="AA521" s="33"/>
      <c r="AB521" s="50">
        <f t="shared" si="93"/>
        <v>508</v>
      </c>
      <c r="AC521" s="48">
        <f t="shared" si="88"/>
        <v>0.33409237820689164</v>
      </c>
      <c r="AE521" s="48">
        <f t="shared" si="94"/>
        <v>0.99805450256030026</v>
      </c>
      <c r="AF521" s="48">
        <f t="shared" si="98"/>
        <v>0.33409237820689153</v>
      </c>
      <c r="AH521" s="48">
        <f t="shared" si="99"/>
        <v>0</v>
      </c>
    </row>
    <row r="522" spans="4:34" ht="13.9" customHeight="1">
      <c r="D522" s="8"/>
      <c r="E522" s="9"/>
      <c r="F522" s="18"/>
      <c r="G522" s="18"/>
      <c r="H522" s="18"/>
      <c r="J522" s="40"/>
      <c r="K522" s="40"/>
      <c r="L522" s="40"/>
      <c r="M522" s="38"/>
      <c r="O522" s="12">
        <f t="shared" si="89"/>
        <v>42.416666666666664</v>
      </c>
      <c r="P522" s="13">
        <v>509</v>
      </c>
      <c r="Q522" s="21">
        <v>2.6230921732429024E-2</v>
      </c>
      <c r="R522" s="18">
        <f t="shared" si="90"/>
        <v>2.3662717798581756E-2</v>
      </c>
      <c r="S522" s="21">
        <v>3.2889819926131825E-2</v>
      </c>
      <c r="T522" s="18">
        <f t="shared" si="91"/>
        <v>4.1972565822182561E-2</v>
      </c>
      <c r="U522" s="23">
        <v>3.5719564524750114E-2</v>
      </c>
      <c r="V522" s="23">
        <f t="shared" si="92"/>
        <v>4.2095937214407186E-2</v>
      </c>
      <c r="W522" s="22">
        <f t="shared" si="95"/>
        <v>3.4413120909202455E-3</v>
      </c>
      <c r="X522" s="23">
        <v>3.5152536862344874E-2</v>
      </c>
      <c r="Y522" s="23">
        <f t="shared" si="96"/>
        <v>4.2069396688098948E-2</v>
      </c>
      <c r="Z522" s="22">
        <f t="shared" si="97"/>
        <v>3.4391494131051914E-3</v>
      </c>
      <c r="AA522" s="33"/>
      <c r="AB522" s="50">
        <f t="shared" si="93"/>
        <v>509</v>
      </c>
      <c r="AC522" s="48">
        <f t="shared" si="88"/>
        <v>0.33344214755060136</v>
      </c>
      <c r="AE522" s="48">
        <f t="shared" si="94"/>
        <v>0.99805373992732072</v>
      </c>
      <c r="AF522" s="48">
        <f t="shared" si="98"/>
        <v>0.33344214755060098</v>
      </c>
      <c r="AH522" s="48">
        <f t="shared" si="99"/>
        <v>0</v>
      </c>
    </row>
    <row r="523" spans="4:34" ht="13.9" customHeight="1">
      <c r="D523" s="8"/>
      <c r="E523" s="9"/>
      <c r="F523" s="18"/>
      <c r="G523" s="18"/>
      <c r="H523" s="18"/>
      <c r="J523" s="40"/>
      <c r="K523" s="40"/>
      <c r="L523" s="40"/>
      <c r="M523" s="38"/>
      <c r="O523" s="12">
        <f t="shared" si="89"/>
        <v>42.5</v>
      </c>
      <c r="P523" s="13">
        <v>510</v>
      </c>
      <c r="Q523" s="21">
        <v>2.622587973923296E-2</v>
      </c>
      <c r="R523" s="18">
        <f t="shared" si="90"/>
        <v>2.3672202154175537E-2</v>
      </c>
      <c r="S523" s="21">
        <v>3.2907551536726087E-2</v>
      </c>
      <c r="T523" s="18">
        <f t="shared" si="91"/>
        <v>4.1983921256791623E-2</v>
      </c>
      <c r="U523" s="23">
        <v>3.5732028962333295E-2</v>
      </c>
      <c r="V523" s="23">
        <f t="shared" si="92"/>
        <v>4.2105379788937469E-2</v>
      </c>
      <c r="W523" s="22">
        <f t="shared" si="95"/>
        <v>3.4420778374781857E-3</v>
      </c>
      <c r="X523" s="23">
        <v>3.5166054309671457E-2</v>
      </c>
      <c r="Y523" s="23">
        <f t="shared" si="96"/>
        <v>4.2079244328971699E-2</v>
      </c>
      <c r="Z523" s="22">
        <f t="shared" si="97"/>
        <v>3.4399481397864307E-3</v>
      </c>
      <c r="AA523" s="33"/>
      <c r="AB523" s="50">
        <f t="shared" si="93"/>
        <v>510</v>
      </c>
      <c r="AC523" s="48">
        <f t="shared" si="88"/>
        <v>0.33279292679290667</v>
      </c>
      <c r="AE523" s="48">
        <f t="shared" si="94"/>
        <v>0.9980529733194714</v>
      </c>
      <c r="AF523" s="48">
        <f t="shared" si="98"/>
        <v>0.33279292679290723</v>
      </c>
      <c r="AH523" s="48">
        <f t="shared" si="99"/>
        <v>5.5511151231257827E-16</v>
      </c>
    </row>
    <row r="524" spans="4:34" ht="13.9" customHeight="1">
      <c r="D524" s="8"/>
      <c r="E524" s="9"/>
      <c r="F524" s="18"/>
      <c r="G524" s="18"/>
      <c r="H524" s="18"/>
      <c r="J524" s="40"/>
      <c r="K524" s="40"/>
      <c r="L524" s="40"/>
      <c r="M524" s="38"/>
      <c r="O524" s="12">
        <f t="shared" si="89"/>
        <v>42.583333333333336</v>
      </c>
      <c r="P524" s="13">
        <v>511</v>
      </c>
      <c r="Q524" s="21">
        <v>2.6220876111171298E-2</v>
      </c>
      <c r="R524" s="18">
        <f t="shared" si="90"/>
        <v>2.3681733978635044E-2</v>
      </c>
      <c r="S524" s="21">
        <v>3.2925236079198283E-2</v>
      </c>
      <c r="T524" s="18">
        <f t="shared" si="91"/>
        <v>4.199515034209611E-2</v>
      </c>
      <c r="U524" s="23">
        <v>3.5744463130460202E-2</v>
      </c>
      <c r="V524" s="23">
        <f t="shared" si="92"/>
        <v>4.2114723116688957E-2</v>
      </c>
      <c r="W524" s="22">
        <f t="shared" si="95"/>
        <v>3.4428355282145606E-3</v>
      </c>
      <c r="X524" s="23">
        <v>3.5179538170424962E-2</v>
      </c>
      <c r="Y524" s="23">
        <f t="shared" si="96"/>
        <v>4.2088987094173413E-2</v>
      </c>
      <c r="Z524" s="22">
        <f t="shared" si="97"/>
        <v>3.4407383521497525E-3</v>
      </c>
      <c r="AA524" s="33"/>
      <c r="AB524" s="50">
        <f t="shared" si="93"/>
        <v>511</v>
      </c>
      <c r="AC524" s="48">
        <f t="shared" si="88"/>
        <v>0.3321447136397826</v>
      </c>
      <c r="AE524" s="48">
        <f t="shared" si="94"/>
        <v>0.99805220273348072</v>
      </c>
      <c r="AF524" s="48">
        <f t="shared" si="98"/>
        <v>0.33214471363978304</v>
      </c>
      <c r="AH524" s="48">
        <f t="shared" si="99"/>
        <v>4.4408920985006262E-16</v>
      </c>
    </row>
    <row r="525" spans="4:34" ht="13.9" customHeight="1">
      <c r="D525" s="8"/>
      <c r="E525" s="9"/>
      <c r="F525" s="18"/>
      <c r="G525" s="18"/>
      <c r="H525" s="18"/>
      <c r="J525" s="40"/>
      <c r="K525" s="40"/>
      <c r="L525" s="40"/>
      <c r="M525" s="38"/>
      <c r="O525" s="12">
        <f t="shared" si="89"/>
        <v>42.666666666666664</v>
      </c>
      <c r="P525" s="13">
        <v>512</v>
      </c>
      <c r="Q525" s="21">
        <v>2.6215910715803759E-2</v>
      </c>
      <c r="R525" s="18">
        <f t="shared" si="90"/>
        <v>2.3691313322794949E-2</v>
      </c>
      <c r="S525" s="21">
        <v>3.2942873583826637E-2</v>
      </c>
      <c r="T525" s="18">
        <f t="shared" si="91"/>
        <v>4.2006254502450879E-2</v>
      </c>
      <c r="U525" s="23">
        <v>3.5756867013453597E-2</v>
      </c>
      <c r="V525" s="23">
        <f t="shared" si="92"/>
        <v>4.2123968254043742E-2</v>
      </c>
      <c r="W525" s="22">
        <f t="shared" si="95"/>
        <v>3.4435852490000141E-3</v>
      </c>
      <c r="X525" s="23">
        <v>3.5192988437461326E-2</v>
      </c>
      <c r="Y525" s="23">
        <f t="shared" si="96"/>
        <v>4.2098626115129711E-2</v>
      </c>
      <c r="Z525" s="22">
        <f t="shared" si="97"/>
        <v>3.4415201421518216E-3</v>
      </c>
      <c r="AA525" s="33"/>
      <c r="AB525" s="50">
        <f t="shared" si="93"/>
        <v>512</v>
      </c>
      <c r="AC525" s="48">
        <f t="shared" ref="AC525:AC588" si="100">1/(1+Q525)^(P525/12)</f>
        <v>0.33149750584999071</v>
      </c>
      <c r="AE525" s="48">
        <f t="shared" si="94"/>
        <v>0.99805142829852678</v>
      </c>
      <c r="AF525" s="48">
        <f t="shared" si="98"/>
        <v>0.33149750584999066</v>
      </c>
      <c r="AH525" s="48">
        <f t="shared" si="99"/>
        <v>0</v>
      </c>
    </row>
    <row r="526" spans="4:34" ht="13.9" customHeight="1">
      <c r="D526" s="8"/>
      <c r="E526" s="9"/>
      <c r="F526" s="18"/>
      <c r="G526" s="18"/>
      <c r="H526" s="18"/>
      <c r="J526" s="40"/>
      <c r="K526" s="40"/>
      <c r="L526" s="40"/>
      <c r="M526" s="38"/>
      <c r="O526" s="12">
        <f t="shared" ref="O526:O589" si="101">P526/12</f>
        <v>42.75</v>
      </c>
      <c r="P526" s="13">
        <v>513</v>
      </c>
      <c r="Q526" s="21">
        <v>2.6210983421822043E-2</v>
      </c>
      <c r="R526" s="18">
        <f t="shared" ref="R526:R589" si="102">(1+Q527)^P527/(1+Q526)^P526-1</f>
        <v>2.3700940786491431E-2</v>
      </c>
      <c r="S526" s="21">
        <v>3.2960464083403584E-2</v>
      </c>
      <c r="T526" s="18">
        <f t="shared" ref="T526:T589" si="103">(1+S527)^P527/(1+S526)^P526-1</f>
        <v>4.2017235145822784E-2</v>
      </c>
      <c r="U526" s="23">
        <v>3.5769240597803176E-2</v>
      </c>
      <c r="V526" s="23">
        <f t="shared" ref="V526:V589" si="104">(1+U527)^P527/(1+U526)^P526-1</f>
        <v>4.2133116245156366E-2</v>
      </c>
      <c r="W526" s="22">
        <f t="shared" si="95"/>
        <v>3.4443270847952512E-3</v>
      </c>
      <c r="X526" s="23">
        <v>3.5206405105881133E-2</v>
      </c>
      <c r="Y526" s="23">
        <f t="shared" si="96"/>
        <v>4.2108162509854052E-2</v>
      </c>
      <c r="Z526" s="22">
        <f t="shared" si="97"/>
        <v>3.4422936007971749E-3</v>
      </c>
      <c r="AA526" s="33"/>
      <c r="AB526" s="50">
        <f t="shared" ref="AB526:AB589" si="105">+P526</f>
        <v>513</v>
      </c>
      <c r="AC526" s="48">
        <f t="shared" si="100"/>
        <v>0.33085130119047346</v>
      </c>
      <c r="AE526" s="48">
        <f t="shared" ref="AE526:AE589" si="106">1/(1+R525)^(1/12)</f>
        <v>0.99805065001059612</v>
      </c>
      <c r="AF526" s="48">
        <f t="shared" si="98"/>
        <v>0.33085130119047457</v>
      </c>
      <c r="AH526" s="48">
        <f t="shared" si="99"/>
        <v>1.1102230246251565E-15</v>
      </c>
    </row>
    <row r="527" spans="4:34" ht="13.9" customHeight="1">
      <c r="D527" s="8"/>
      <c r="E527" s="9"/>
      <c r="F527" s="18"/>
      <c r="G527" s="18"/>
      <c r="H527" s="18"/>
      <c r="J527" s="40"/>
      <c r="K527" s="40"/>
      <c r="L527" s="40"/>
      <c r="M527" s="38"/>
      <c r="O527" s="12">
        <f t="shared" si="101"/>
        <v>42.833333333333336</v>
      </c>
      <c r="P527" s="13">
        <v>514</v>
      </c>
      <c r="Q527" s="21">
        <v>2.620609410010899E-2</v>
      </c>
      <c r="R527" s="18">
        <f t="shared" si="102"/>
        <v>2.371061697150445E-2</v>
      </c>
      <c r="S527" s="21">
        <v>3.2978007613179594E-2</v>
      </c>
      <c r="T527" s="18">
        <f t="shared" si="103"/>
        <v>4.2028093664232991E-2</v>
      </c>
      <c r="U527" s="23">
        <v>3.5781583872122047E-2</v>
      </c>
      <c r="V527" s="23">
        <f t="shared" si="104"/>
        <v>4.2142168123543211E-2</v>
      </c>
      <c r="W527" s="22">
        <f t="shared" ref="W527:W590" si="107">(1+V526)^(1/12)-1</f>
        <v>3.4450611195753211E-3</v>
      </c>
      <c r="X527" s="23">
        <v>3.5219788172982547E-2</v>
      </c>
      <c r="Y527" s="23">
        <f t="shared" ref="Y527:Y590" si="108">(1+X528)^P528/(1+X527)^P527-1</f>
        <v>4.2117597384815353E-2</v>
      </c>
      <c r="Z527" s="22">
        <f t="shared" ref="Z527:Z590" si="109">(1+Y526)^(1/12)-1</f>
        <v>3.4430588180087707E-3</v>
      </c>
      <c r="AA527" s="33"/>
      <c r="AB527" s="50">
        <f t="shared" si="105"/>
        <v>514</v>
      </c>
      <c r="AC527" s="48">
        <f t="shared" si="100"/>
        <v>0.33020609742158274</v>
      </c>
      <c r="AE527" s="48">
        <f t="shared" si="106"/>
        <v>0.99804986782107219</v>
      </c>
      <c r="AF527" s="48">
        <f t="shared" ref="AF527:AF590" si="110">+AF526*AE527</f>
        <v>0.33020609742158291</v>
      </c>
      <c r="AH527" s="48">
        <f t="shared" ref="AH527:AH590" si="111">+AF527-AC527</f>
        <v>0</v>
      </c>
    </row>
    <row r="528" spans="4:34" ht="13.9" customHeight="1">
      <c r="D528" s="8"/>
      <c r="E528" s="9"/>
      <c r="F528" s="18"/>
      <c r="G528" s="18"/>
      <c r="H528" s="18"/>
      <c r="J528" s="40"/>
      <c r="K528" s="40"/>
      <c r="L528" s="40"/>
      <c r="M528" s="38"/>
      <c r="O528" s="12">
        <f t="shared" si="101"/>
        <v>42.916666666666664</v>
      </c>
      <c r="P528" s="13">
        <v>515</v>
      </c>
      <c r="Q528" s="21">
        <v>2.6201242623721921E-2</v>
      </c>
      <c r="R528" s="18">
        <f t="shared" si="102"/>
        <v>2.3720342484877754E-2</v>
      </c>
      <c r="S528" s="21">
        <v>3.2995504210808102E-2</v>
      </c>
      <c r="T528" s="18">
        <f t="shared" si="103"/>
        <v>4.2038831433094836E-2</v>
      </c>
      <c r="U528" s="23">
        <v>3.5793896827104765E-2</v>
      </c>
      <c r="V528" s="23">
        <f t="shared" si="104"/>
        <v>4.2151124910886573E-2</v>
      </c>
      <c r="W528" s="22">
        <f t="shared" si="107"/>
        <v>3.4457874364568486E-3</v>
      </c>
      <c r="X528" s="23">
        <v>3.5233137638217338E-2</v>
      </c>
      <c r="Y528" s="23">
        <f t="shared" si="108"/>
        <v>4.2126931833722736E-2</v>
      </c>
      <c r="Z528" s="22">
        <f t="shared" si="109"/>
        <v>3.4438158827778675E-3</v>
      </c>
      <c r="AA528" s="33"/>
      <c r="AB528" s="50">
        <f t="shared" si="105"/>
        <v>515</v>
      </c>
      <c r="AC528" s="48">
        <f t="shared" si="100"/>
        <v>0.32956189229713762</v>
      </c>
      <c r="AE528" s="48">
        <f t="shared" si="106"/>
        <v>0.99804908168118311</v>
      </c>
      <c r="AF528" s="48">
        <f t="shared" si="110"/>
        <v>0.32956189229713811</v>
      </c>
      <c r="AH528" s="48">
        <f t="shared" si="111"/>
        <v>4.9960036108132044E-16</v>
      </c>
    </row>
    <row r="529" spans="4:34" ht="13.9" customHeight="1">
      <c r="D529" s="8"/>
      <c r="E529" s="9"/>
      <c r="F529" s="18"/>
      <c r="G529" s="18"/>
      <c r="H529" s="18"/>
      <c r="J529" s="40"/>
      <c r="K529" s="40"/>
      <c r="L529" s="40"/>
      <c r="M529" s="38"/>
      <c r="O529" s="12">
        <f t="shared" si="101"/>
        <v>43</v>
      </c>
      <c r="P529" s="13">
        <v>516</v>
      </c>
      <c r="Q529" s="21">
        <v>2.6196428867880872E-2</v>
      </c>
      <c r="R529" s="18">
        <f t="shared" si="102"/>
        <v>2.3730117399100914E-2</v>
      </c>
      <c r="S529" s="21">
        <v>3.3012953916291554E-2</v>
      </c>
      <c r="T529" s="18">
        <f t="shared" si="103"/>
        <v>4.2049449812114448E-2</v>
      </c>
      <c r="U529" s="23">
        <v>3.5806179455484699E-2</v>
      </c>
      <c r="V529" s="23">
        <f t="shared" si="104"/>
        <v>4.2159987618323624E-2</v>
      </c>
      <c r="W529" s="22">
        <f t="shared" si="107"/>
        <v>3.4465061176023326E-3</v>
      </c>
      <c r="X529" s="23">
        <v>3.5246453503145814E-2</v>
      </c>
      <c r="Y529" s="23">
        <f t="shared" si="108"/>
        <v>4.2136166938702146E-2</v>
      </c>
      <c r="Z529" s="22">
        <f t="shared" si="109"/>
        <v>3.4445648830667697E-3</v>
      </c>
      <c r="AA529" s="33"/>
      <c r="AB529" s="50">
        <f t="shared" si="105"/>
        <v>516</v>
      </c>
      <c r="AC529" s="48">
        <f t="shared" si="100"/>
        <v>0.3289186835644185</v>
      </c>
      <c r="AE529" s="48">
        <f t="shared" si="106"/>
        <v>0.99804829154173169</v>
      </c>
      <c r="AF529" s="48">
        <f t="shared" si="110"/>
        <v>0.32891868356441889</v>
      </c>
      <c r="AH529" s="48">
        <f t="shared" si="111"/>
        <v>0</v>
      </c>
    </row>
    <row r="530" spans="4:34" ht="13.9" customHeight="1">
      <c r="D530" s="8"/>
      <c r="E530" s="9"/>
      <c r="F530" s="18"/>
      <c r="G530" s="18"/>
      <c r="H530" s="18"/>
      <c r="J530" s="40"/>
      <c r="K530" s="40"/>
      <c r="L530" s="40"/>
      <c r="M530" s="38"/>
      <c r="O530" s="12">
        <f t="shared" si="101"/>
        <v>43.083333333333336</v>
      </c>
      <c r="P530" s="13">
        <v>517</v>
      </c>
      <c r="Q530" s="21">
        <v>2.6191652708911439E-2</v>
      </c>
      <c r="R530" s="18">
        <f t="shared" si="102"/>
        <v>2.3739940181538133E-2</v>
      </c>
      <c r="S530" s="21">
        <v>3.3030356771927671E-2</v>
      </c>
      <c r="T530" s="18">
        <f t="shared" si="103"/>
        <v>4.2059950145602043E-2</v>
      </c>
      <c r="U530" s="23">
        <v>3.581843175199384E-2</v>
      </c>
      <c r="V530" s="23">
        <f t="shared" si="104"/>
        <v>4.2168757245551802E-2</v>
      </c>
      <c r="W530" s="22">
        <f t="shared" si="107"/>
        <v>3.4472172443233973E-3</v>
      </c>
      <c r="X530" s="23">
        <v>3.5259735771393519E-2</v>
      </c>
      <c r="Y530" s="23">
        <f t="shared" si="108"/>
        <v>4.2145303769221876E-2</v>
      </c>
      <c r="Z530" s="22">
        <f t="shared" si="109"/>
        <v>3.4453059059031954E-3</v>
      </c>
      <c r="AA530" s="33"/>
      <c r="AB530" s="50">
        <f t="shared" si="105"/>
        <v>517</v>
      </c>
      <c r="AC530" s="48">
        <f t="shared" si="100"/>
        <v>0.32827646897856783</v>
      </c>
      <c r="AE530" s="48">
        <f t="shared" si="106"/>
        <v>0.99804749739695275</v>
      </c>
      <c r="AF530" s="48">
        <f t="shared" si="110"/>
        <v>0.32827646897856849</v>
      </c>
      <c r="AH530" s="48">
        <f t="shared" si="111"/>
        <v>6.6613381477509392E-16</v>
      </c>
    </row>
    <row r="531" spans="4:34" ht="13.9" customHeight="1">
      <c r="D531" s="8"/>
      <c r="E531" s="9"/>
      <c r="F531" s="18"/>
      <c r="G531" s="18"/>
      <c r="H531" s="18"/>
      <c r="J531" s="40"/>
      <c r="K531" s="40"/>
      <c r="L531" s="40"/>
      <c r="M531" s="38"/>
      <c r="O531" s="12">
        <f t="shared" si="101"/>
        <v>43.166666666666664</v>
      </c>
      <c r="P531" s="13">
        <v>518</v>
      </c>
      <c r="Q531" s="21">
        <v>2.618691402112816E-2</v>
      </c>
      <c r="R531" s="18">
        <f t="shared" si="102"/>
        <v>2.3749810914651448E-2</v>
      </c>
      <c r="S531" s="21">
        <v>3.3047712822258379E-2</v>
      </c>
      <c r="T531" s="18">
        <f t="shared" si="103"/>
        <v>4.2070333761867307E-2</v>
      </c>
      <c r="U531" s="23">
        <v>3.5830653713321947E-2</v>
      </c>
      <c r="V531" s="23">
        <f t="shared" si="104"/>
        <v>4.2177434781322853E-2</v>
      </c>
      <c r="W531" s="22">
        <f t="shared" si="107"/>
        <v>3.4479208970097375E-3</v>
      </c>
      <c r="X531" s="23">
        <v>3.5272984448608158E-2</v>
      </c>
      <c r="Y531" s="23">
        <f t="shared" si="108"/>
        <v>4.2154343383775439E-2</v>
      </c>
      <c r="Z531" s="22">
        <f t="shared" si="109"/>
        <v>3.4460390372943461E-3</v>
      </c>
      <c r="AA531" s="33"/>
      <c r="AB531" s="50">
        <f t="shared" si="105"/>
        <v>518</v>
      </c>
      <c r="AC531" s="48">
        <f t="shared" si="100"/>
        <v>0.32763524634538593</v>
      </c>
      <c r="AE531" s="48">
        <f t="shared" si="106"/>
        <v>0.99804669937148427</v>
      </c>
      <c r="AF531" s="48">
        <f t="shared" si="110"/>
        <v>0.32763524634538571</v>
      </c>
      <c r="AH531" s="48">
        <f t="shared" si="111"/>
        <v>0</v>
      </c>
    </row>
    <row r="532" spans="4:34" ht="13.9" customHeight="1">
      <c r="D532" s="8"/>
      <c r="E532" s="9"/>
      <c r="F532" s="18"/>
      <c r="G532" s="18"/>
      <c r="H532" s="18"/>
      <c r="J532" s="40"/>
      <c r="K532" s="40"/>
      <c r="L532" s="40"/>
      <c r="M532" s="38"/>
      <c r="O532" s="12">
        <f t="shared" si="101"/>
        <v>43.25</v>
      </c>
      <c r="P532" s="13">
        <v>519</v>
      </c>
      <c r="Q532" s="21">
        <v>2.6182212679973338E-2</v>
      </c>
      <c r="R532" s="18">
        <f t="shared" si="102"/>
        <v>2.3759730221745157E-2</v>
      </c>
      <c r="S532" s="21">
        <v>3.3065022114017406E-2</v>
      </c>
      <c r="T532" s="18">
        <f t="shared" si="103"/>
        <v>4.2080601974683551E-2</v>
      </c>
      <c r="U532" s="23">
        <v>3.5842845338076579E-2</v>
      </c>
      <c r="V532" s="23">
        <f t="shared" si="104"/>
        <v>4.2186021204274171E-2</v>
      </c>
      <c r="W532" s="22">
        <f t="shared" si="107"/>
        <v>3.4486171551684208E-3</v>
      </c>
      <c r="X532" s="23">
        <v>3.5286199542418073E-2</v>
      </c>
      <c r="Y532" s="23">
        <f t="shared" si="108"/>
        <v>4.2163286828898805E-2</v>
      </c>
      <c r="Z532" s="22">
        <f t="shared" si="109"/>
        <v>3.4467643623621314E-3</v>
      </c>
      <c r="AA532" s="33"/>
      <c r="AB532" s="50">
        <f t="shared" si="105"/>
        <v>519</v>
      </c>
      <c r="AC532" s="48">
        <f t="shared" si="100"/>
        <v>0.32699501347789778</v>
      </c>
      <c r="AE532" s="48">
        <f t="shared" si="106"/>
        <v>0.99804589745874861</v>
      </c>
      <c r="AF532" s="48">
        <f t="shared" si="110"/>
        <v>0.32699501347789867</v>
      </c>
      <c r="AH532" s="48">
        <f t="shared" si="111"/>
        <v>8.8817841970012523E-16</v>
      </c>
    </row>
    <row r="533" spans="4:34" ht="13.9" customHeight="1">
      <c r="D533" s="8"/>
      <c r="E533" s="9"/>
      <c r="F533" s="18"/>
      <c r="G533" s="18"/>
      <c r="H533" s="18"/>
      <c r="J533" s="40"/>
      <c r="K533" s="40"/>
      <c r="L533" s="40"/>
      <c r="M533" s="38"/>
      <c r="O533" s="12">
        <f t="shared" si="101"/>
        <v>43.333333333333336</v>
      </c>
      <c r="P533" s="13">
        <v>520</v>
      </c>
      <c r="Q533" s="21">
        <v>2.6177548563048214E-2</v>
      </c>
      <c r="R533" s="18">
        <f t="shared" si="102"/>
        <v>2.3769698729805055E-2</v>
      </c>
      <c r="S533" s="21">
        <v>3.3082284696081654E-2</v>
      </c>
      <c r="T533" s="18">
        <f t="shared" si="103"/>
        <v>4.2090756081628822E-2</v>
      </c>
      <c r="U533" s="23">
        <v>3.5855006626745123E-2</v>
      </c>
      <c r="V533" s="23">
        <f t="shared" si="104"/>
        <v>4.2194517481542348E-2</v>
      </c>
      <c r="W533" s="22">
        <f t="shared" si="107"/>
        <v>3.4493060974902789E-3</v>
      </c>
      <c r="X533" s="23">
        <v>3.5299381062390944E-2</v>
      </c>
      <c r="Y533" s="23">
        <f t="shared" si="108"/>
        <v>4.217213513903495E-2</v>
      </c>
      <c r="Z533" s="22">
        <f t="shared" si="109"/>
        <v>3.4474819652641209E-3</v>
      </c>
      <c r="AA533" s="33"/>
      <c r="AB533" s="50">
        <f t="shared" si="105"/>
        <v>520</v>
      </c>
      <c r="AC533" s="48">
        <f t="shared" si="100"/>
        <v>0.32635576818198275</v>
      </c>
      <c r="AE533" s="48">
        <f t="shared" si="106"/>
        <v>0.99804509160822996</v>
      </c>
      <c r="AF533" s="48">
        <f t="shared" si="110"/>
        <v>0.32635576818198375</v>
      </c>
      <c r="AH533" s="48">
        <f t="shared" si="111"/>
        <v>9.9920072216264089E-16</v>
      </c>
    </row>
    <row r="534" spans="4:34" ht="13.9" customHeight="1">
      <c r="D534" s="8"/>
      <c r="E534" s="9"/>
      <c r="F534" s="18"/>
      <c r="G534" s="18"/>
      <c r="H534" s="18"/>
      <c r="J534" s="40"/>
      <c r="K534" s="40"/>
      <c r="L534" s="40"/>
      <c r="M534" s="38"/>
      <c r="O534" s="12">
        <f t="shared" si="101"/>
        <v>43.416666666666664</v>
      </c>
      <c r="P534" s="13">
        <v>521</v>
      </c>
      <c r="Q534" s="21">
        <v>2.617292155009987E-2</v>
      </c>
      <c r="R534" s="18">
        <f t="shared" si="102"/>
        <v>2.3779717068804995E-2</v>
      </c>
      <c r="S534" s="21">
        <v>3.3099500619420574E-2</v>
      </c>
      <c r="T534" s="18">
        <f t="shared" si="103"/>
        <v>4.2100797366375842E-2</v>
      </c>
      <c r="U534" s="23">
        <v>3.5867137581655273E-2</v>
      </c>
      <c r="V534" s="23">
        <f t="shared" si="104"/>
        <v>4.2202924570831968E-2</v>
      </c>
      <c r="W534" s="22">
        <f t="shared" si="107"/>
        <v>3.4499878017397734E-3</v>
      </c>
      <c r="X534" s="23">
        <v>3.5312529019992267E-2</v>
      </c>
      <c r="Y534" s="23">
        <f t="shared" si="108"/>
        <v>4.2180889338443439E-2</v>
      </c>
      <c r="Z534" s="22">
        <f t="shared" si="109"/>
        <v>3.4481919291828866E-3</v>
      </c>
      <c r="AA534" s="33"/>
      <c r="AB534" s="50">
        <f t="shared" si="105"/>
        <v>521</v>
      </c>
      <c r="AC534" s="48">
        <f t="shared" si="100"/>
        <v>0.32571750825639589</v>
      </c>
      <c r="AE534" s="48">
        <f t="shared" si="106"/>
        <v>0.99804428176911653</v>
      </c>
      <c r="AF534" s="48">
        <f t="shared" si="110"/>
        <v>0.32571750825639628</v>
      </c>
      <c r="AH534" s="48">
        <f t="shared" si="111"/>
        <v>0</v>
      </c>
    </row>
    <row r="535" spans="4:34" ht="13.9" customHeight="1">
      <c r="D535" s="8"/>
      <c r="E535" s="9"/>
      <c r="F535" s="18"/>
      <c r="G535" s="18"/>
      <c r="H535" s="18"/>
      <c r="J535" s="40"/>
      <c r="K535" s="40"/>
      <c r="L535" s="40"/>
      <c r="M535" s="38"/>
      <c r="O535" s="12">
        <f t="shared" si="101"/>
        <v>43.5</v>
      </c>
      <c r="P535" s="13">
        <v>522</v>
      </c>
      <c r="Q535" s="21">
        <v>2.6168331523006128E-2</v>
      </c>
      <c r="R535" s="18">
        <f t="shared" si="102"/>
        <v>2.3789785343874215E-2</v>
      </c>
      <c r="S535" s="21">
        <v>3.3116669937048426E-2</v>
      </c>
      <c r="T535" s="18">
        <f t="shared" si="103"/>
        <v>4.2110727097091294E-2</v>
      </c>
      <c r="U535" s="23">
        <v>3.5879238206939057E-2</v>
      </c>
      <c r="V535" s="23">
        <f t="shared" si="104"/>
        <v>4.2211243418187827E-2</v>
      </c>
      <c r="W535" s="22">
        <f t="shared" si="107"/>
        <v>3.4506623449204188E-3</v>
      </c>
      <c r="X535" s="23">
        <v>3.5325643428547382E-2</v>
      </c>
      <c r="Y535" s="23">
        <f t="shared" si="108"/>
        <v>4.2189550438925361E-2</v>
      </c>
      <c r="Z535" s="22">
        <f t="shared" si="109"/>
        <v>3.4488943364798796E-3</v>
      </c>
      <c r="AA535" s="33"/>
      <c r="AB535" s="50">
        <f t="shared" si="105"/>
        <v>522</v>
      </c>
      <c r="AC535" s="48">
        <f t="shared" si="100"/>
        <v>0.32508023149281956</v>
      </c>
      <c r="AE535" s="48">
        <f t="shared" si="106"/>
        <v>0.99804346789035681</v>
      </c>
      <c r="AF535" s="48">
        <f t="shared" si="110"/>
        <v>0.32508023149281967</v>
      </c>
      <c r="AH535" s="48">
        <f t="shared" si="111"/>
        <v>0</v>
      </c>
    </row>
    <row r="536" spans="4:34" ht="13.9" customHeight="1">
      <c r="D536" s="8"/>
      <c r="E536" s="9"/>
      <c r="F536" s="18"/>
      <c r="G536" s="18"/>
      <c r="H536" s="18"/>
      <c r="J536" s="40"/>
      <c r="K536" s="40"/>
      <c r="L536" s="40"/>
      <c r="M536" s="38"/>
      <c r="O536" s="12">
        <f t="shared" si="101"/>
        <v>43.583333333333336</v>
      </c>
      <c r="P536" s="13">
        <v>523</v>
      </c>
      <c r="Q536" s="21">
        <v>2.6163778364749035E-2</v>
      </c>
      <c r="R536" s="18">
        <f t="shared" si="102"/>
        <v>2.3799902076646395E-2</v>
      </c>
      <c r="S536" s="21">
        <v>3.3133792703976539E-2</v>
      </c>
      <c r="T536" s="18">
        <f t="shared" si="103"/>
        <v>4.2120546527679492E-2</v>
      </c>
      <c r="U536" s="23">
        <v>3.5891308508493758E-2</v>
      </c>
      <c r="V536" s="23">
        <f t="shared" si="104"/>
        <v>4.2219474960594638E-2</v>
      </c>
      <c r="W536" s="22">
        <f t="shared" si="107"/>
        <v>3.4513298030958151E-3</v>
      </c>
      <c r="X536" s="23">
        <v>3.5338724303200397E-2</v>
      </c>
      <c r="Y536" s="23">
        <f t="shared" si="108"/>
        <v>4.219811944193097E-2</v>
      </c>
      <c r="Z536" s="22">
        <f t="shared" si="109"/>
        <v>3.4495892685120211E-3</v>
      </c>
      <c r="AA536" s="33"/>
      <c r="AB536" s="50">
        <f t="shared" si="105"/>
        <v>523</v>
      </c>
      <c r="AC536" s="48">
        <f t="shared" si="100"/>
        <v>0.32444393568985469</v>
      </c>
      <c r="AE536" s="48">
        <f t="shared" si="106"/>
        <v>0.99804264996353875</v>
      </c>
      <c r="AF536" s="48">
        <f t="shared" si="110"/>
        <v>0.32444393568985436</v>
      </c>
      <c r="AH536" s="48">
        <f t="shared" si="111"/>
        <v>0</v>
      </c>
    </row>
    <row r="537" spans="4:34" ht="13.9" customHeight="1">
      <c r="D537" s="8"/>
      <c r="E537" s="9"/>
      <c r="F537" s="18"/>
      <c r="G537" s="18"/>
      <c r="H537" s="18"/>
      <c r="J537" s="40"/>
      <c r="K537" s="40"/>
      <c r="L537" s="40"/>
      <c r="M537" s="38"/>
      <c r="O537" s="12">
        <f t="shared" si="101"/>
        <v>43.666666666666664</v>
      </c>
      <c r="P537" s="13">
        <v>524</v>
      </c>
      <c r="Q537" s="21">
        <v>2.6159261956375746E-2</v>
      </c>
      <c r="R537" s="18">
        <f t="shared" si="102"/>
        <v>2.3810067381584643E-2</v>
      </c>
      <c r="S537" s="21">
        <v>3.3150868977166903E-2</v>
      </c>
      <c r="T537" s="18">
        <f t="shared" si="103"/>
        <v>4.2130256897698004E-2</v>
      </c>
      <c r="U537" s="23">
        <v>3.590334849394794E-2</v>
      </c>
      <c r="V537" s="23">
        <f t="shared" si="104"/>
        <v>4.2227620123912679E-2</v>
      </c>
      <c r="W537" s="22">
        <f t="shared" si="107"/>
        <v>3.4519902515994794E-3</v>
      </c>
      <c r="X537" s="23">
        <v>3.5351771660877107E-2</v>
      </c>
      <c r="Y537" s="23">
        <f t="shared" si="108"/>
        <v>4.2206597337450802E-2</v>
      </c>
      <c r="Z537" s="22">
        <f t="shared" si="109"/>
        <v>3.4502768058013444E-3</v>
      </c>
      <c r="AA537" s="33"/>
      <c r="AB537" s="50">
        <f t="shared" si="105"/>
        <v>524</v>
      </c>
      <c r="AC537" s="48">
        <f t="shared" si="100"/>
        <v>0.32380861869474453</v>
      </c>
      <c r="AE537" s="48">
        <f t="shared" si="106"/>
        <v>0.99804182810888931</v>
      </c>
      <c r="AF537" s="48">
        <f t="shared" si="110"/>
        <v>0.32380861869474514</v>
      </c>
      <c r="AH537" s="48">
        <f t="shared" si="111"/>
        <v>6.106226635438361E-16</v>
      </c>
    </row>
    <row r="538" spans="4:34" ht="13.9" customHeight="1">
      <c r="D538" s="8"/>
      <c r="E538" s="9"/>
      <c r="F538" s="18"/>
      <c r="G538" s="18"/>
      <c r="H538" s="18"/>
      <c r="J538" s="40"/>
      <c r="K538" s="40"/>
      <c r="L538" s="40"/>
      <c r="M538" s="38"/>
      <c r="O538" s="12">
        <f t="shared" si="101"/>
        <v>43.75</v>
      </c>
      <c r="P538" s="13">
        <v>525</v>
      </c>
      <c r="Q538" s="21">
        <v>2.6154782180057401E-2</v>
      </c>
      <c r="R538" s="18">
        <f t="shared" si="102"/>
        <v>2.38202819061899E-2</v>
      </c>
      <c r="S538" s="21">
        <v>3.3167898815486874E-2</v>
      </c>
      <c r="T538" s="18">
        <f t="shared" si="103"/>
        <v>4.2139859432348326E-2</v>
      </c>
      <c r="U538" s="23">
        <v>3.5915358172623479E-2</v>
      </c>
      <c r="V538" s="23">
        <f t="shared" si="104"/>
        <v>4.2235679824843553E-2</v>
      </c>
      <c r="W538" s="22">
        <f t="shared" si="107"/>
        <v>3.4526437648678687E-3</v>
      </c>
      <c r="X538" s="23">
        <v>3.5364785520246578E-2</v>
      </c>
      <c r="Y538" s="23">
        <f t="shared" si="108"/>
        <v>4.2214985105043734E-2</v>
      </c>
      <c r="Z538" s="22">
        <f t="shared" si="109"/>
        <v>3.4509570279468438E-3</v>
      </c>
      <c r="AA538" s="33"/>
      <c r="AB538" s="50">
        <f t="shared" si="105"/>
        <v>525</v>
      </c>
      <c r="AC538" s="48">
        <f t="shared" si="100"/>
        <v>0.32317427836106366</v>
      </c>
      <c r="AE538" s="48">
        <f t="shared" si="106"/>
        <v>0.99804100231723647</v>
      </c>
      <c r="AF538" s="48">
        <f t="shared" si="110"/>
        <v>0.32317427836106327</v>
      </c>
      <c r="AH538" s="48">
        <f t="shared" si="111"/>
        <v>0</v>
      </c>
    </row>
    <row r="539" spans="4:34" ht="13.9" customHeight="1">
      <c r="D539" s="8"/>
      <c r="E539" s="9"/>
      <c r="F539" s="18"/>
      <c r="G539" s="18"/>
      <c r="H539" s="18"/>
      <c r="J539" s="40"/>
      <c r="K539" s="40"/>
      <c r="L539" s="40"/>
      <c r="M539" s="38"/>
      <c r="O539" s="12">
        <f t="shared" si="101"/>
        <v>43.833333333333336</v>
      </c>
      <c r="P539" s="13">
        <v>526</v>
      </c>
      <c r="Q539" s="21">
        <v>2.6150338920094995E-2</v>
      </c>
      <c r="R539" s="18">
        <f t="shared" si="102"/>
        <v>2.3830546301553346E-2</v>
      </c>
      <c r="S539" s="21">
        <v>3.318488227966343E-2</v>
      </c>
      <c r="T539" s="18">
        <f t="shared" si="103"/>
        <v>4.2149355342473882E-2</v>
      </c>
      <c r="U539" s="23">
        <v>3.5927337555502703E-2</v>
      </c>
      <c r="V539" s="23">
        <f t="shared" si="104"/>
        <v>4.2243654969482014E-2</v>
      </c>
      <c r="W539" s="22">
        <f t="shared" si="107"/>
        <v>3.4532904165993639E-3</v>
      </c>
      <c r="X539" s="23">
        <v>3.537776590168451E-2</v>
      </c>
      <c r="Y539" s="23">
        <f t="shared" si="108"/>
        <v>4.2223283713196169E-2</v>
      </c>
      <c r="Z539" s="22">
        <f t="shared" si="109"/>
        <v>3.45163001370552E-3</v>
      </c>
      <c r="AA539" s="33"/>
      <c r="AB539" s="50">
        <f t="shared" si="105"/>
        <v>526</v>
      </c>
      <c r="AC539" s="48">
        <f t="shared" si="100"/>
        <v>0.3225409125347079</v>
      </c>
      <c r="AE539" s="48">
        <f t="shared" si="106"/>
        <v>0.99804017253610744</v>
      </c>
      <c r="AF539" s="48">
        <f t="shared" si="110"/>
        <v>0.32254091253470762</v>
      </c>
      <c r="AH539" s="48">
        <f t="shared" si="111"/>
        <v>0</v>
      </c>
    </row>
    <row r="540" spans="4:34" ht="13.9" customHeight="1">
      <c r="D540" s="8"/>
      <c r="E540" s="9"/>
      <c r="F540" s="18"/>
      <c r="G540" s="18"/>
      <c r="H540" s="18"/>
      <c r="J540" s="40"/>
      <c r="K540" s="40"/>
      <c r="L540" s="40"/>
      <c r="M540" s="38"/>
      <c r="O540" s="12">
        <f t="shared" si="101"/>
        <v>43.916666666666664</v>
      </c>
      <c r="P540" s="13">
        <v>527</v>
      </c>
      <c r="Q540" s="21">
        <v>2.6145932062905164E-2</v>
      </c>
      <c r="R540" s="18">
        <f t="shared" si="102"/>
        <v>2.3840861222409027E-2</v>
      </c>
      <c r="S540" s="21">
        <v>3.3201819432239432E-2</v>
      </c>
      <c r="T540" s="18">
        <f t="shared" si="103"/>
        <v>4.2158745825932709E-2</v>
      </c>
      <c r="U540" s="23">
        <v>3.5939286655192415E-2</v>
      </c>
      <c r="V540" s="23">
        <f t="shared" si="104"/>
        <v>4.2251546454256328E-2</v>
      </c>
      <c r="W540" s="22">
        <f t="shared" si="107"/>
        <v>3.4539302796374738E-3</v>
      </c>
      <c r="X540" s="23">
        <v>3.5390712827236603E-2</v>
      </c>
      <c r="Y540" s="23">
        <f t="shared" si="108"/>
        <v>4.2231494119702617E-2</v>
      </c>
      <c r="Z540" s="22">
        <f t="shared" si="109"/>
        <v>3.452295840942643E-3</v>
      </c>
      <c r="AA540" s="33"/>
      <c r="AB540" s="50">
        <f t="shared" si="105"/>
        <v>527</v>
      </c>
      <c r="AC540" s="48">
        <f t="shared" si="100"/>
        <v>0.32190851905394308</v>
      </c>
      <c r="AE540" s="48">
        <f t="shared" si="106"/>
        <v>0.9980393387127412</v>
      </c>
      <c r="AF540" s="48">
        <f t="shared" si="110"/>
        <v>0.32190851905394369</v>
      </c>
      <c r="AH540" s="48">
        <f t="shared" si="111"/>
        <v>6.106226635438361E-16</v>
      </c>
    </row>
    <row r="541" spans="4:34" ht="13.9" customHeight="1">
      <c r="D541" s="8"/>
      <c r="E541" s="9"/>
      <c r="F541" s="18"/>
      <c r="G541" s="18"/>
      <c r="H541" s="18"/>
      <c r="J541" s="40"/>
      <c r="K541" s="40"/>
      <c r="L541" s="40"/>
      <c r="M541" s="38"/>
      <c r="O541" s="12">
        <f t="shared" si="101"/>
        <v>44</v>
      </c>
      <c r="P541" s="13">
        <v>528</v>
      </c>
      <c r="Q541" s="21">
        <v>2.6141561497007082E-2</v>
      </c>
      <c r="R541" s="18">
        <f t="shared" si="102"/>
        <v>2.3851226805482684E-2</v>
      </c>
      <c r="S541" s="21">
        <v>3.321871033753121E-2</v>
      </c>
      <c r="T541" s="18">
        <f t="shared" si="103"/>
        <v>4.2168032065455607E-2</v>
      </c>
      <c r="U541" s="23">
        <v>3.595120548589037E-2</v>
      </c>
      <c r="V541" s="23">
        <f t="shared" si="104"/>
        <v>4.2259355166145429E-2</v>
      </c>
      <c r="W541" s="22">
        <f t="shared" si="107"/>
        <v>3.454563426046775E-3</v>
      </c>
      <c r="X541" s="23">
        <v>3.5403626320582582E-2</v>
      </c>
      <c r="Y541" s="23">
        <f t="shared" si="108"/>
        <v>4.2239617272050944E-2</v>
      </c>
      <c r="Z541" s="22">
        <f t="shared" si="109"/>
        <v>3.4529545866612832E-3</v>
      </c>
      <c r="AA541" s="33"/>
      <c r="AB541" s="50">
        <f t="shared" si="105"/>
        <v>528</v>
      </c>
      <c r="AC541" s="48">
        <f t="shared" si="100"/>
        <v>0.32127709574944124</v>
      </c>
      <c r="AE541" s="48">
        <f t="shared" si="106"/>
        <v>0.99803850079408296</v>
      </c>
      <c r="AF541" s="48">
        <f t="shared" si="110"/>
        <v>0.32127709574944147</v>
      </c>
      <c r="AH541" s="48">
        <f t="shared" si="111"/>
        <v>0</v>
      </c>
    </row>
    <row r="542" spans="4:34" ht="13.9" customHeight="1">
      <c r="D542" s="8"/>
      <c r="E542" s="9"/>
      <c r="F542" s="18"/>
      <c r="G542" s="18"/>
      <c r="H542" s="18"/>
      <c r="J542" s="40"/>
      <c r="K542" s="40"/>
      <c r="L542" s="40"/>
      <c r="M542" s="38"/>
      <c r="O542" s="12">
        <f t="shared" si="101"/>
        <v>44.083333333333336</v>
      </c>
      <c r="P542" s="13">
        <v>529</v>
      </c>
      <c r="Q542" s="21">
        <v>2.6137227112021488E-2</v>
      </c>
      <c r="R542" s="18">
        <f t="shared" si="102"/>
        <v>2.386164162670501E-2</v>
      </c>
      <c r="S542" s="21">
        <v>3.3235555061584598E-2</v>
      </c>
      <c r="T542" s="18">
        <f t="shared" si="103"/>
        <v>4.2177215231656628E-2</v>
      </c>
      <c r="U542" s="23">
        <v>3.596309406335263E-2</v>
      </c>
      <c r="V542" s="23">
        <f t="shared" si="104"/>
        <v>4.2267081982531929E-2</v>
      </c>
      <c r="W542" s="22">
        <f t="shared" si="107"/>
        <v>3.455189927129787E-3</v>
      </c>
      <c r="X542" s="23">
        <v>3.5416506407001114E-2</v>
      </c>
      <c r="Y542" s="23">
        <f t="shared" si="108"/>
        <v>4.2247654107458787E-2</v>
      </c>
      <c r="Z542" s="22">
        <f t="shared" si="109"/>
        <v>3.4536063270336204E-3</v>
      </c>
      <c r="AA542" s="33"/>
      <c r="AB542" s="50">
        <f t="shared" si="105"/>
        <v>529</v>
      </c>
      <c r="AC542" s="48">
        <f t="shared" si="100"/>
        <v>0.32064664045792862</v>
      </c>
      <c r="AE542" s="48">
        <f t="shared" si="106"/>
        <v>0.99803765876916095</v>
      </c>
      <c r="AF542" s="48">
        <f t="shared" si="110"/>
        <v>0.32064664045792812</v>
      </c>
      <c r="AH542" s="48">
        <f t="shared" si="111"/>
        <v>-4.9960036108132044E-16</v>
      </c>
    </row>
    <row r="543" spans="4:34" ht="13.9" customHeight="1">
      <c r="D543" s="8"/>
      <c r="E543" s="9"/>
      <c r="F543" s="18"/>
      <c r="G543" s="18"/>
      <c r="H543" s="18"/>
      <c r="J543" s="40"/>
      <c r="K543" s="40"/>
      <c r="L543" s="40"/>
      <c r="M543" s="38"/>
      <c r="O543" s="12">
        <f t="shared" si="101"/>
        <v>44.166666666666664</v>
      </c>
      <c r="P543" s="13">
        <v>530</v>
      </c>
      <c r="Q543" s="21">
        <v>2.613292879570861E-2</v>
      </c>
      <c r="R543" s="18">
        <f t="shared" si="102"/>
        <v>2.3872105833073753E-2</v>
      </c>
      <c r="S543" s="21">
        <v>3.3252353672134971E-2</v>
      </c>
      <c r="T543" s="18">
        <f t="shared" si="103"/>
        <v>4.2186296480534624E-2</v>
      </c>
      <c r="U543" s="23">
        <v>3.5974952404860483E-2</v>
      </c>
      <c r="V543" s="23">
        <f t="shared" si="104"/>
        <v>4.2274727770743148E-2</v>
      </c>
      <c r="W543" s="22">
        <f t="shared" si="107"/>
        <v>3.455809853416314E-3</v>
      </c>
      <c r="X543" s="23">
        <v>3.542935311333606E-2</v>
      </c>
      <c r="Y543" s="23">
        <f t="shared" si="108"/>
        <v>4.2255605552287578E-2</v>
      </c>
      <c r="Z543" s="22">
        <f t="shared" si="109"/>
        <v>3.454251137404718E-3</v>
      </c>
      <c r="AA543" s="33"/>
      <c r="AB543" s="50">
        <f t="shared" si="105"/>
        <v>530</v>
      </c>
      <c r="AC543" s="48">
        <f t="shared" si="100"/>
        <v>0.32001715106284023</v>
      </c>
      <c r="AE543" s="48">
        <f t="shared" si="106"/>
        <v>0.99803681275378897</v>
      </c>
      <c r="AF543" s="48">
        <f t="shared" si="110"/>
        <v>0.32001715106284073</v>
      </c>
      <c r="AH543" s="48">
        <f t="shared" si="111"/>
        <v>4.9960036108132044E-16</v>
      </c>
    </row>
    <row r="544" spans="4:34" ht="13.9" customHeight="1">
      <c r="D544" s="8"/>
      <c r="E544" s="9"/>
      <c r="F544" s="18"/>
      <c r="G544" s="18"/>
      <c r="H544" s="18"/>
      <c r="J544" s="40"/>
      <c r="K544" s="40"/>
      <c r="L544" s="40"/>
      <c r="M544" s="38"/>
      <c r="O544" s="12">
        <f t="shared" si="101"/>
        <v>44.25</v>
      </c>
      <c r="P544" s="13">
        <v>531</v>
      </c>
      <c r="Q544" s="21">
        <v>2.6128666436950665E-2</v>
      </c>
      <c r="R544" s="18">
        <f t="shared" si="102"/>
        <v>2.3882620095961427E-2</v>
      </c>
      <c r="S544" s="21">
        <v>3.3269106238564827E-2</v>
      </c>
      <c r="T544" s="18">
        <f t="shared" si="103"/>
        <v>4.2195276955705019E-2</v>
      </c>
      <c r="U544" s="23">
        <v>3.5986780529188023E-2</v>
      </c>
      <c r="V544" s="23">
        <f t="shared" si="104"/>
        <v>4.2282293389421799E-2</v>
      </c>
      <c r="W544" s="22">
        <f t="shared" si="107"/>
        <v>3.4564232746256973E-3</v>
      </c>
      <c r="X544" s="23">
        <v>3.5442166467960945E-2</v>
      </c>
      <c r="Y544" s="23">
        <f t="shared" si="108"/>
        <v>4.2263472523876411E-2</v>
      </c>
      <c r="Z544" s="22">
        <f t="shared" si="109"/>
        <v>3.4548890922438957E-3</v>
      </c>
      <c r="AA544" s="33"/>
      <c r="AB544" s="50">
        <f t="shared" si="105"/>
        <v>531</v>
      </c>
      <c r="AC544" s="48">
        <f t="shared" si="100"/>
        <v>0.3193886254530845</v>
      </c>
      <c r="AE544" s="48">
        <f t="shared" si="106"/>
        <v>0.99803596273615858</v>
      </c>
      <c r="AF544" s="48">
        <f t="shared" si="110"/>
        <v>0.31938862545308494</v>
      </c>
      <c r="AH544" s="48">
        <f t="shared" si="111"/>
        <v>4.4408920985006262E-16</v>
      </c>
    </row>
    <row r="545" spans="4:34" ht="13.9" customHeight="1">
      <c r="D545" s="8"/>
      <c r="E545" s="9"/>
      <c r="F545" s="18"/>
      <c r="G545" s="18"/>
      <c r="H545" s="18"/>
      <c r="J545" s="40"/>
      <c r="K545" s="40"/>
      <c r="L545" s="40"/>
      <c r="M545" s="38"/>
      <c r="O545" s="12">
        <f t="shared" si="101"/>
        <v>44.333333333333336</v>
      </c>
      <c r="P545" s="13">
        <v>532</v>
      </c>
      <c r="Q545" s="21">
        <v>2.6124439926729748E-2</v>
      </c>
      <c r="R545" s="18">
        <f t="shared" si="102"/>
        <v>2.3893185091621527E-2</v>
      </c>
      <c r="S545" s="21">
        <v>3.3285812831864936E-2</v>
      </c>
      <c r="T545" s="18">
        <f t="shared" si="103"/>
        <v>4.2204157787139707E-2</v>
      </c>
      <c r="U545" s="23">
        <v>3.5998578456571284E-2</v>
      </c>
      <c r="V545" s="23">
        <f t="shared" si="104"/>
        <v>4.2289779687963769E-2</v>
      </c>
      <c r="W545" s="22">
        <f t="shared" si="107"/>
        <v>3.4570302597771718E-3</v>
      </c>
      <c r="X545" s="23">
        <v>3.5454946500748097E-2</v>
      </c>
      <c r="Y545" s="23">
        <f t="shared" si="108"/>
        <v>4.227125592800296E-2</v>
      </c>
      <c r="Z545" s="22">
        <f t="shared" si="109"/>
        <v>3.4555202652939432E-3</v>
      </c>
      <c r="AA545" s="33"/>
      <c r="AB545" s="50">
        <f t="shared" si="105"/>
        <v>532</v>
      </c>
      <c r="AC545" s="48">
        <f t="shared" si="100"/>
        <v>0.31876106150943412</v>
      </c>
      <c r="AE545" s="48">
        <f t="shared" si="106"/>
        <v>0.99803510866186773</v>
      </c>
      <c r="AF545" s="48">
        <f t="shared" si="110"/>
        <v>0.31876106150943423</v>
      </c>
      <c r="AH545" s="48">
        <f t="shared" si="111"/>
        <v>0</v>
      </c>
    </row>
    <row r="546" spans="4:34" ht="13.9" customHeight="1">
      <c r="D546" s="8"/>
      <c r="E546" s="9"/>
      <c r="F546" s="18"/>
      <c r="G546" s="18"/>
      <c r="H546" s="18"/>
      <c r="J546" s="40"/>
      <c r="K546" s="40"/>
      <c r="L546" s="40"/>
      <c r="M546" s="38"/>
      <c r="O546" s="12">
        <f t="shared" si="101"/>
        <v>44.416666666666664</v>
      </c>
      <c r="P546" s="13">
        <v>533</v>
      </c>
      <c r="Q546" s="21">
        <v>2.6120249158116948E-2</v>
      </c>
      <c r="R546" s="18">
        <f t="shared" si="102"/>
        <v>2.3903801498827759E-2</v>
      </c>
      <c r="S546" s="21">
        <v>3.3302473524594145E-2</v>
      </c>
      <c r="T546" s="18">
        <f t="shared" si="103"/>
        <v>4.2212940092318574E-2</v>
      </c>
      <c r="U546" s="23">
        <v>3.601034620867738E-2</v>
      </c>
      <c r="V546" s="23">
        <f t="shared" si="104"/>
        <v>4.2297187505563105E-2</v>
      </c>
      <c r="W546" s="22">
        <f t="shared" si="107"/>
        <v>3.4576308771450126E-3</v>
      </c>
      <c r="X546" s="23">
        <v>3.5467693243032894E-2</v>
      </c>
      <c r="Y546" s="23">
        <f t="shared" si="108"/>
        <v>4.227895666173187E-2</v>
      </c>
      <c r="Z546" s="22">
        <f t="shared" si="109"/>
        <v>3.4561447293659509E-3</v>
      </c>
      <c r="AA546" s="33"/>
      <c r="AB546" s="50">
        <f t="shared" si="105"/>
        <v>533</v>
      </c>
      <c r="AC546" s="48">
        <f t="shared" si="100"/>
        <v>0.31813445710453936</v>
      </c>
      <c r="AE546" s="48">
        <f t="shared" si="106"/>
        <v>0.99803425047612027</v>
      </c>
      <c r="AF546" s="48">
        <f t="shared" si="110"/>
        <v>0.31813445710454064</v>
      </c>
      <c r="AH546" s="48">
        <f t="shared" si="111"/>
        <v>1.27675647831893E-15</v>
      </c>
    </row>
    <row r="547" spans="4:34" ht="13.9" customHeight="1">
      <c r="D547" s="8"/>
      <c r="E547" s="9"/>
      <c r="F547" s="18"/>
      <c r="G547" s="18"/>
      <c r="H547" s="18"/>
      <c r="J547" s="40"/>
      <c r="K547" s="40"/>
      <c r="L547" s="40"/>
      <c r="M547" s="38"/>
      <c r="O547" s="12">
        <f t="shared" si="101"/>
        <v>44.5</v>
      </c>
      <c r="P547" s="13">
        <v>534</v>
      </c>
      <c r="Q547" s="21">
        <v>2.6116094026257031E-2</v>
      </c>
      <c r="R547" s="18">
        <f t="shared" si="102"/>
        <v>2.3914469486864931E-2</v>
      </c>
      <c r="S547" s="21">
        <v>3.3319088390841411E-2</v>
      </c>
      <c r="T547" s="18">
        <f t="shared" si="103"/>
        <v>4.2221624975402161E-2</v>
      </c>
      <c r="U547" s="23">
        <v>3.6022083808572525E-2</v>
      </c>
      <c r="V547" s="23">
        <f t="shared" si="104"/>
        <v>4.2304517673820818E-2</v>
      </c>
      <c r="W547" s="22">
        <f t="shared" si="107"/>
        <v>3.4582251941821518E-3</v>
      </c>
      <c r="X547" s="23">
        <v>3.5480406727584013E-2</v>
      </c>
      <c r="Y547" s="23">
        <f t="shared" si="108"/>
        <v>4.228657561206739E-2</v>
      </c>
      <c r="Z547" s="22">
        <f t="shared" si="109"/>
        <v>3.4567625565684601E-3</v>
      </c>
      <c r="AA547" s="33"/>
      <c r="AB547" s="50">
        <f t="shared" si="105"/>
        <v>534</v>
      </c>
      <c r="AC547" s="48">
        <f t="shared" si="100"/>
        <v>0.31750881010300797</v>
      </c>
      <c r="AE547" s="48">
        <f t="shared" si="106"/>
        <v>0.9980333881239194</v>
      </c>
      <c r="AF547" s="48">
        <f t="shared" si="110"/>
        <v>0.31750881010300841</v>
      </c>
      <c r="AH547" s="48">
        <f t="shared" si="111"/>
        <v>4.4408920985006262E-16</v>
      </c>
    </row>
    <row r="548" spans="4:34" ht="13.9" customHeight="1">
      <c r="D548" s="8"/>
      <c r="E548" s="9"/>
      <c r="F548" s="18"/>
      <c r="G548" s="18"/>
      <c r="H548" s="18"/>
      <c r="J548" s="40"/>
      <c r="K548" s="40"/>
      <c r="L548" s="40"/>
      <c r="M548" s="38"/>
      <c r="O548" s="12">
        <f t="shared" si="101"/>
        <v>44.583333333333336</v>
      </c>
      <c r="P548" s="13">
        <v>535</v>
      </c>
      <c r="Q548" s="21">
        <v>2.6111974427395435E-2</v>
      </c>
      <c r="R548" s="18">
        <f t="shared" si="102"/>
        <v>2.3925187685921001E-2</v>
      </c>
      <c r="S548" s="21">
        <v>3.3335657506186944E-2</v>
      </c>
      <c r="T548" s="18">
        <f t="shared" si="103"/>
        <v>4.2230213528453353E-2</v>
      </c>
      <c r="U548" s="23">
        <v>3.6033791280694505E-2</v>
      </c>
      <c r="V548" s="23">
        <f t="shared" si="104"/>
        <v>4.2311771014041932E-2</v>
      </c>
      <c r="W548" s="22">
        <f t="shared" si="107"/>
        <v>3.4588132777289005E-3</v>
      </c>
      <c r="X548" s="23">
        <v>3.5493086988571232E-2</v>
      </c>
      <c r="Y548" s="23">
        <f t="shared" si="108"/>
        <v>4.2294113655903853E-2</v>
      </c>
      <c r="Z548" s="22">
        <f t="shared" si="109"/>
        <v>3.4573738181997715E-3</v>
      </c>
      <c r="AA548" s="33"/>
      <c r="AB548" s="50">
        <f t="shared" si="105"/>
        <v>535</v>
      </c>
      <c r="AC548" s="48">
        <f t="shared" si="100"/>
        <v>0.31688411837467101</v>
      </c>
      <c r="AE548" s="48">
        <f t="shared" si="106"/>
        <v>0.99803252159165479</v>
      </c>
      <c r="AF548" s="48">
        <f t="shared" si="110"/>
        <v>0.31688411837467134</v>
      </c>
      <c r="AH548" s="48">
        <f t="shared" si="111"/>
        <v>0</v>
      </c>
    </row>
    <row r="549" spans="4:34" ht="13.9" customHeight="1">
      <c r="D549" s="8"/>
      <c r="E549" s="9"/>
      <c r="F549" s="18"/>
      <c r="G549" s="18"/>
      <c r="H549" s="18"/>
      <c r="J549" s="40"/>
      <c r="K549" s="40"/>
      <c r="L549" s="40"/>
      <c r="M549" s="38"/>
      <c r="O549" s="12">
        <f t="shared" si="101"/>
        <v>44.666666666666664</v>
      </c>
      <c r="P549" s="13">
        <v>536</v>
      </c>
      <c r="Q549" s="21">
        <v>2.6107890255989696E-2</v>
      </c>
      <c r="R549" s="18">
        <f t="shared" si="102"/>
        <v>2.3935956275105141E-2</v>
      </c>
      <c r="S549" s="21">
        <v>3.3352180947666232E-2</v>
      </c>
      <c r="T549" s="18">
        <f t="shared" si="103"/>
        <v>4.2238706830600492E-2</v>
      </c>
      <c r="U549" s="23">
        <v>3.6045468650821144E-2</v>
      </c>
      <c r="V549" s="23">
        <f t="shared" si="104"/>
        <v>4.2318948339665319E-2</v>
      </c>
      <c r="W549" s="22">
        <f t="shared" si="107"/>
        <v>3.4593951937966771E-3</v>
      </c>
      <c r="X549" s="23">
        <v>3.55057340615339E-2</v>
      </c>
      <c r="Y549" s="23">
        <f t="shared" si="108"/>
        <v>4.2301571660815718E-2</v>
      </c>
      <c r="Z549" s="22">
        <f t="shared" si="109"/>
        <v>3.4579785847435041E-3</v>
      </c>
      <c r="AA549" s="33"/>
      <c r="AB549" s="50">
        <f t="shared" si="105"/>
        <v>536</v>
      </c>
      <c r="AC549" s="48">
        <f t="shared" si="100"/>
        <v>0.31626037983421523</v>
      </c>
      <c r="AE549" s="48">
        <f t="shared" si="106"/>
        <v>0.99803165099073254</v>
      </c>
      <c r="AF549" s="48">
        <f t="shared" si="110"/>
        <v>0.31626037983421595</v>
      </c>
      <c r="AH549" s="48">
        <f t="shared" si="111"/>
        <v>7.2164496600635175E-16</v>
      </c>
    </row>
    <row r="550" spans="4:34" ht="13.9" customHeight="1">
      <c r="D550" s="8"/>
      <c r="E550" s="9"/>
      <c r="F550" s="18"/>
      <c r="G550" s="18"/>
      <c r="H550" s="18"/>
      <c r="J550" s="40"/>
      <c r="K550" s="40"/>
      <c r="L550" s="40"/>
      <c r="M550" s="38"/>
      <c r="O550" s="12">
        <f t="shared" si="101"/>
        <v>44.75</v>
      </c>
      <c r="P550" s="13">
        <v>537</v>
      </c>
      <c r="Q550" s="21">
        <v>2.6103841407616901E-2</v>
      </c>
      <c r="R550" s="18">
        <f t="shared" si="102"/>
        <v>2.394677595095529E-2</v>
      </c>
      <c r="S550" s="21">
        <v>3.3368658793732298E-2</v>
      </c>
      <c r="T550" s="18">
        <f t="shared" si="103"/>
        <v>4.2247105949118291E-2</v>
      </c>
      <c r="U550" s="23">
        <v>3.6057115946042773E-2</v>
      </c>
      <c r="V550" s="23">
        <f t="shared" si="104"/>
        <v>4.2326050454929875E-2</v>
      </c>
      <c r="W550" s="22">
        <f t="shared" si="107"/>
        <v>3.459971007762741E-3</v>
      </c>
      <c r="X550" s="23">
        <v>3.551834798335074E-2</v>
      </c>
      <c r="Y550" s="23">
        <f t="shared" si="108"/>
        <v>4.2308950485035357E-2</v>
      </c>
      <c r="Z550" s="22">
        <f t="shared" si="109"/>
        <v>3.4585769259323218E-3</v>
      </c>
      <c r="AA550" s="33"/>
      <c r="AB550" s="50">
        <f t="shared" si="105"/>
        <v>537</v>
      </c>
      <c r="AC550" s="48">
        <f t="shared" si="100"/>
        <v>0.3156375924010078</v>
      </c>
      <c r="AE550" s="48">
        <f t="shared" si="106"/>
        <v>0.99803077630674286</v>
      </c>
      <c r="AF550" s="48">
        <f t="shared" si="110"/>
        <v>0.31563759240100792</v>
      </c>
      <c r="AH550" s="48">
        <f t="shared" si="111"/>
        <v>0</v>
      </c>
    </row>
    <row r="551" spans="4:34" ht="13.9" customHeight="1">
      <c r="D551" s="8"/>
      <c r="E551" s="9"/>
      <c r="F551" s="18"/>
      <c r="G551" s="18"/>
      <c r="H551" s="18"/>
      <c r="J551" s="40"/>
      <c r="K551" s="40"/>
      <c r="L551" s="40"/>
      <c r="M551" s="38"/>
      <c r="O551" s="12">
        <f t="shared" si="101"/>
        <v>44.833333333333336</v>
      </c>
      <c r="P551" s="13">
        <v>538</v>
      </c>
      <c r="Q551" s="21">
        <v>2.6099827779927365E-2</v>
      </c>
      <c r="R551" s="18">
        <f t="shared" si="102"/>
        <v>2.3957647413990868E-2</v>
      </c>
      <c r="S551" s="21">
        <v>3.3385091124220612E-2</v>
      </c>
      <c r="T551" s="18">
        <f t="shared" si="103"/>
        <v>4.2255411938767473E-2</v>
      </c>
      <c r="U551" s="23">
        <v>3.6068733194733582E-2</v>
      </c>
      <c r="V551" s="23">
        <f t="shared" si="104"/>
        <v>4.2333078154975778E-2</v>
      </c>
      <c r="W551" s="22">
        <f t="shared" si="107"/>
        <v>3.4605407842640545E-3</v>
      </c>
      <c r="X551" s="23">
        <v>3.5530928792210315E-2</v>
      </c>
      <c r="Y551" s="23">
        <f t="shared" si="108"/>
        <v>4.2316250977135983E-2</v>
      </c>
      <c r="Z551" s="22">
        <f t="shared" si="109"/>
        <v>3.4591689107463797E-3</v>
      </c>
      <c r="AA551" s="33"/>
      <c r="AB551" s="50">
        <f t="shared" si="105"/>
        <v>538</v>
      </c>
      <c r="AC551" s="48">
        <f t="shared" si="100"/>
        <v>0.31501575398583725</v>
      </c>
      <c r="AE551" s="48">
        <f t="shared" si="106"/>
        <v>0.99802989748325011</v>
      </c>
      <c r="AF551" s="48">
        <f t="shared" si="110"/>
        <v>0.31501575398583781</v>
      </c>
      <c r="AH551" s="48">
        <f t="shared" si="111"/>
        <v>5.5511151231257827E-16</v>
      </c>
    </row>
    <row r="552" spans="4:34" ht="13.9" customHeight="1">
      <c r="D552" s="8"/>
      <c r="E552" s="9"/>
      <c r="F552" s="18"/>
      <c r="G552" s="18"/>
      <c r="H552" s="18"/>
      <c r="J552" s="40"/>
      <c r="K552" s="40"/>
      <c r="L552" s="40"/>
      <c r="M552" s="38"/>
      <c r="O552" s="12">
        <f t="shared" si="101"/>
        <v>44.916666666666664</v>
      </c>
      <c r="P552" s="13">
        <v>539</v>
      </c>
      <c r="Q552" s="21">
        <v>2.6095849272632199E-2</v>
      </c>
      <c r="R552" s="18">
        <f t="shared" si="102"/>
        <v>2.396857136900632E-2</v>
      </c>
      <c r="S552" s="21">
        <v>3.3401478020314235E-2</v>
      </c>
      <c r="T552" s="18">
        <f t="shared" si="103"/>
        <v>4.2263625842084762E-2</v>
      </c>
      <c r="U552" s="23">
        <v>3.6080320426522983E-2</v>
      </c>
      <c r="V552" s="23">
        <f t="shared" si="104"/>
        <v>4.234003222742011E-2</v>
      </c>
      <c r="W552" s="22">
        <f t="shared" si="107"/>
        <v>3.4611045872037227E-3</v>
      </c>
      <c r="X552" s="23">
        <v>3.5543476527581053E-2</v>
      </c>
      <c r="Y552" s="23">
        <f t="shared" si="108"/>
        <v>4.2323473976606074E-2</v>
      </c>
      <c r="Z552" s="22">
        <f t="shared" si="109"/>
        <v>3.4597546073877883E-3</v>
      </c>
      <c r="AA552" s="33"/>
      <c r="AB552" s="50">
        <f t="shared" si="105"/>
        <v>539</v>
      </c>
      <c r="AC552" s="48">
        <f t="shared" si="100"/>
        <v>0.31439486249096082</v>
      </c>
      <c r="AE552" s="48">
        <f t="shared" si="106"/>
        <v>0.99802901446349779</v>
      </c>
      <c r="AF552" s="48">
        <f t="shared" si="110"/>
        <v>0.31439486249096138</v>
      </c>
      <c r="AH552" s="48">
        <f t="shared" si="111"/>
        <v>5.5511151231257827E-16</v>
      </c>
    </row>
    <row r="553" spans="4:34" ht="13.9" customHeight="1">
      <c r="D553" s="8"/>
      <c r="E553" s="9"/>
      <c r="F553" s="18"/>
      <c r="G553" s="18"/>
      <c r="H553" s="18"/>
      <c r="J553" s="40"/>
      <c r="K553" s="40"/>
      <c r="L553" s="40"/>
      <c r="M553" s="38"/>
      <c r="O553" s="12">
        <f t="shared" si="101"/>
        <v>45</v>
      </c>
      <c r="P553" s="13">
        <v>540</v>
      </c>
      <c r="Q553" s="21">
        <v>2.6091905787492431E-2</v>
      </c>
      <c r="R553" s="18">
        <f t="shared" si="102"/>
        <v>2.3979548016842767E-2</v>
      </c>
      <c r="S553" s="21">
        <v>3.3417819564507845E-2</v>
      </c>
      <c r="T553" s="18">
        <f t="shared" si="103"/>
        <v>4.227174869025685E-2</v>
      </c>
      <c r="U553" s="23">
        <v>3.6091877672269623E-2</v>
      </c>
      <c r="V553" s="23">
        <f t="shared" si="104"/>
        <v>4.2346913450687307E-2</v>
      </c>
      <c r="W553" s="22">
        <f t="shared" si="107"/>
        <v>3.461662479879335E-3</v>
      </c>
      <c r="X553" s="23">
        <v>3.5555991230182826E-2</v>
      </c>
      <c r="Y553" s="23">
        <f t="shared" si="108"/>
        <v>4.2330620313890455E-2</v>
      </c>
      <c r="Z553" s="22">
        <f t="shared" si="109"/>
        <v>3.4603340833265772E-3</v>
      </c>
      <c r="AA553" s="33"/>
      <c r="AB553" s="50">
        <f t="shared" si="105"/>
        <v>540</v>
      </c>
      <c r="AC553" s="48">
        <f t="shared" si="100"/>
        <v>0.31377491581013278</v>
      </c>
      <c r="AE553" s="48">
        <f t="shared" si="106"/>
        <v>0.99802812719038614</v>
      </c>
      <c r="AF553" s="48">
        <f t="shared" si="110"/>
        <v>0.31377491581013317</v>
      </c>
      <c r="AH553" s="48">
        <f t="shared" si="111"/>
        <v>0</v>
      </c>
    </row>
    <row r="554" spans="4:34" ht="13.9" customHeight="1">
      <c r="D554" s="8"/>
      <c r="E554" s="9"/>
      <c r="F554" s="18"/>
      <c r="G554" s="18"/>
      <c r="H554" s="18"/>
      <c r="J554" s="40"/>
      <c r="K554" s="40"/>
      <c r="L554" s="40"/>
      <c r="M554" s="38"/>
      <c r="O554" s="12">
        <f t="shared" si="101"/>
        <v>45.083333333333336</v>
      </c>
      <c r="P554" s="13">
        <v>541</v>
      </c>
      <c r="Q554" s="21">
        <v>2.6087997227366433E-2</v>
      </c>
      <c r="R554" s="18">
        <f t="shared" si="102"/>
        <v>2.3990576042768774E-2</v>
      </c>
      <c r="S554" s="21">
        <v>3.343411584057554E-2</v>
      </c>
      <c r="T554" s="18">
        <f t="shared" si="103"/>
        <v>4.2279781502362113E-2</v>
      </c>
      <c r="U554" s="23">
        <v>3.6103404964033636E-2</v>
      </c>
      <c r="V554" s="23">
        <f t="shared" si="104"/>
        <v>4.235372259471859E-2</v>
      </c>
      <c r="W554" s="22">
        <f t="shared" si="107"/>
        <v>3.4622145248479619E-3</v>
      </c>
      <c r="X554" s="23">
        <v>3.5568472941958529E-2</v>
      </c>
      <c r="Y554" s="23">
        <f t="shared" si="108"/>
        <v>4.2337690810045014E-2</v>
      </c>
      <c r="Z554" s="22">
        <f t="shared" si="109"/>
        <v>3.4609074053040256E-3</v>
      </c>
      <c r="AA554" s="33"/>
      <c r="AB554" s="50">
        <f t="shared" si="105"/>
        <v>541</v>
      </c>
      <c r="AC554" s="48">
        <f t="shared" si="100"/>
        <v>0.31315591184159247</v>
      </c>
      <c r="AE554" s="48">
        <f t="shared" si="106"/>
        <v>0.99802723564774998</v>
      </c>
      <c r="AF554" s="48">
        <f t="shared" si="110"/>
        <v>0.31315591184159269</v>
      </c>
      <c r="AH554" s="48">
        <f t="shared" si="111"/>
        <v>0</v>
      </c>
    </row>
    <row r="555" spans="4:34" ht="13.9" customHeight="1">
      <c r="D555" s="8"/>
      <c r="E555" s="9"/>
      <c r="F555" s="18"/>
      <c r="G555" s="18"/>
      <c r="H555" s="18"/>
      <c r="J555" s="40"/>
      <c r="K555" s="40"/>
      <c r="L555" s="40"/>
      <c r="M555" s="38"/>
      <c r="O555" s="12">
        <f t="shared" si="101"/>
        <v>45.166666666666664</v>
      </c>
      <c r="P555" s="13">
        <v>542</v>
      </c>
      <c r="Q555" s="21">
        <v>2.6084123493397726E-2</v>
      </c>
      <c r="R555" s="18">
        <f t="shared" si="102"/>
        <v>2.4001655657644783E-2</v>
      </c>
      <c r="S555" s="21">
        <v>3.3450366933536646E-2</v>
      </c>
      <c r="T555" s="18">
        <f t="shared" si="103"/>
        <v>4.2287725285664157E-2</v>
      </c>
      <c r="U555" s="23">
        <v>3.611490233504977E-2</v>
      </c>
      <c r="V555" s="23">
        <f t="shared" si="104"/>
        <v>4.2360460421349888E-2</v>
      </c>
      <c r="W555" s="22">
        <f t="shared" si="107"/>
        <v>3.462760783983887E-3</v>
      </c>
      <c r="X555" s="23">
        <v>3.5580921706046098E-2</v>
      </c>
      <c r="Y555" s="23">
        <f t="shared" si="108"/>
        <v>4.2344686277270283E-2</v>
      </c>
      <c r="Z555" s="22">
        <f t="shared" si="109"/>
        <v>3.461474639306017E-3</v>
      </c>
      <c r="AA555" s="33"/>
      <c r="AB555" s="50">
        <f t="shared" si="105"/>
        <v>542</v>
      </c>
      <c r="AC555" s="48">
        <f t="shared" si="100"/>
        <v>0.31253784852662742</v>
      </c>
      <c r="AE555" s="48">
        <f t="shared" si="106"/>
        <v>0.99802633994252121</v>
      </c>
      <c r="AF555" s="48">
        <f t="shared" si="110"/>
        <v>0.31253784852662758</v>
      </c>
      <c r="AH555" s="48">
        <f t="shared" si="111"/>
        <v>0</v>
      </c>
    </row>
    <row r="556" spans="4:34" ht="13.9" customHeight="1">
      <c r="D556" s="8"/>
      <c r="E556" s="9"/>
      <c r="F556" s="18"/>
      <c r="G556" s="18"/>
      <c r="H556" s="18"/>
      <c r="J556" s="40"/>
      <c r="K556" s="40"/>
      <c r="L556" s="40"/>
      <c r="M556" s="38"/>
      <c r="O556" s="12">
        <f t="shared" si="101"/>
        <v>45.25</v>
      </c>
      <c r="P556" s="13">
        <v>543</v>
      </c>
      <c r="Q556" s="21">
        <v>2.6080284487846273E-2</v>
      </c>
      <c r="R556" s="18">
        <f t="shared" si="102"/>
        <v>2.401278758415426E-2</v>
      </c>
      <c r="S556" s="21">
        <v>3.3466572929623073E-2</v>
      </c>
      <c r="T556" s="18">
        <f t="shared" si="103"/>
        <v>4.2295581036661645E-2</v>
      </c>
      <c r="U556" s="23">
        <v>3.6126369819702298E-2</v>
      </c>
      <c r="V556" s="23">
        <f t="shared" si="104"/>
        <v>4.2367127684645345E-2</v>
      </c>
      <c r="W556" s="22">
        <f t="shared" si="107"/>
        <v>3.4633013185081385E-3</v>
      </c>
      <c r="X556" s="23">
        <v>3.559333756675076E-2</v>
      </c>
      <c r="Y556" s="23">
        <f t="shared" si="108"/>
        <v>4.2351607519230727E-2</v>
      </c>
      <c r="Z556" s="22">
        <f t="shared" si="109"/>
        <v>3.4620358506043392E-3</v>
      </c>
      <c r="AA556" s="33"/>
      <c r="AB556" s="50">
        <f t="shared" si="105"/>
        <v>543</v>
      </c>
      <c r="AC556" s="48">
        <f t="shared" si="100"/>
        <v>0.31192072381047942</v>
      </c>
      <c r="AE556" s="48">
        <f t="shared" si="106"/>
        <v>0.99802544005771976</v>
      </c>
      <c r="AF556" s="48">
        <f t="shared" si="110"/>
        <v>0.31192072381048047</v>
      </c>
      <c r="AH556" s="48">
        <f t="shared" si="111"/>
        <v>1.0547118733938987E-15</v>
      </c>
    </row>
    <row r="557" spans="4:34" ht="13.9" customHeight="1">
      <c r="D557" s="8"/>
      <c r="E557" s="9"/>
      <c r="F557" s="18"/>
      <c r="G557" s="18"/>
      <c r="H557" s="18"/>
      <c r="J557" s="40"/>
      <c r="K557" s="40"/>
      <c r="L557" s="40"/>
      <c r="M557" s="38"/>
      <c r="O557" s="12">
        <f t="shared" si="101"/>
        <v>45.333333333333336</v>
      </c>
      <c r="P557" s="13">
        <v>544</v>
      </c>
      <c r="Q557" s="21">
        <v>2.6076480115020617E-2</v>
      </c>
      <c r="R557" s="18">
        <f t="shared" si="102"/>
        <v>2.4023972547561057E-2</v>
      </c>
      <c r="S557" s="21">
        <v>3.3482733916248231E-2</v>
      </c>
      <c r="T557" s="18">
        <f t="shared" si="103"/>
        <v>4.2303349739495344E-2</v>
      </c>
      <c r="U557" s="23">
        <v>3.613780745349926E-2</v>
      </c>
      <c r="V557" s="23">
        <f t="shared" si="104"/>
        <v>4.2373725129912554E-2</v>
      </c>
      <c r="W557" s="22">
        <f t="shared" si="107"/>
        <v>3.4638361890158009E-3</v>
      </c>
      <c r="X557" s="23">
        <v>3.5605720569519272E-2</v>
      </c>
      <c r="Y557" s="23">
        <f t="shared" si="108"/>
        <v>4.2358455330399281E-2</v>
      </c>
      <c r="Z557" s="22">
        <f t="shared" si="109"/>
        <v>3.4625911037835522E-3</v>
      </c>
      <c r="AA557" s="33"/>
      <c r="AB557" s="50">
        <f t="shared" si="105"/>
        <v>544</v>
      </c>
      <c r="AC557" s="48">
        <f t="shared" si="100"/>
        <v>0.31130453562940053</v>
      </c>
      <c r="AE557" s="48">
        <f t="shared" si="106"/>
        <v>0.99802453593479723</v>
      </c>
      <c r="AF557" s="48">
        <f t="shared" si="110"/>
        <v>0.3113045356294008</v>
      </c>
      <c r="AH557" s="48">
        <f t="shared" si="111"/>
        <v>0</v>
      </c>
    </row>
    <row r="558" spans="4:34" ht="13.9" customHeight="1">
      <c r="D558" s="8"/>
      <c r="E558" s="9"/>
      <c r="F558" s="18"/>
      <c r="G558" s="18"/>
      <c r="H558" s="18"/>
      <c r="J558" s="40"/>
      <c r="K558" s="40"/>
      <c r="L558" s="40"/>
      <c r="M558" s="38"/>
      <c r="O558" s="12">
        <f t="shared" si="101"/>
        <v>45.416666666666664</v>
      </c>
      <c r="P558" s="13">
        <v>545</v>
      </c>
      <c r="Q558" s="21">
        <v>2.6072710281264344E-2</v>
      </c>
      <c r="R558" s="18">
        <f t="shared" si="102"/>
        <v>2.4035211278714996E-2</v>
      </c>
      <c r="S558" s="21">
        <v>3.3498849981974166E-2</v>
      </c>
      <c r="T558" s="18">
        <f t="shared" si="103"/>
        <v>4.2311032368148371E-2</v>
      </c>
      <c r="U558" s="23">
        <v>3.6149215273047375E-2</v>
      </c>
      <c r="V558" s="23">
        <f t="shared" si="104"/>
        <v>4.238025349470731E-2</v>
      </c>
      <c r="W558" s="22">
        <f t="shared" si="107"/>
        <v>3.4643654553971892E-3</v>
      </c>
      <c r="X558" s="23">
        <v>3.561807076091239E-2</v>
      </c>
      <c r="Y558" s="23">
        <f t="shared" si="108"/>
        <v>4.2365230496809625E-2</v>
      </c>
      <c r="Z558" s="22">
        <f t="shared" si="109"/>
        <v>3.4631404626881412E-3</v>
      </c>
      <c r="AA558" s="33"/>
      <c r="AB558" s="50">
        <f t="shared" si="105"/>
        <v>545</v>
      </c>
      <c r="AC558" s="48">
        <f t="shared" si="100"/>
        <v>0.31068928191072698</v>
      </c>
      <c r="AE558" s="48">
        <f t="shared" si="106"/>
        <v>0.99802362751499996</v>
      </c>
      <c r="AF558" s="48">
        <f t="shared" si="110"/>
        <v>0.31068928191072714</v>
      </c>
      <c r="AH558" s="48">
        <f t="shared" si="111"/>
        <v>0</v>
      </c>
    </row>
    <row r="559" spans="4:34" ht="13.9" customHeight="1">
      <c r="D559" s="8"/>
      <c r="E559" s="9"/>
      <c r="F559" s="18"/>
      <c r="G559" s="18"/>
      <c r="H559" s="18"/>
      <c r="J559" s="40"/>
      <c r="K559" s="40"/>
      <c r="L559" s="40"/>
      <c r="M559" s="38"/>
      <c r="O559" s="12">
        <f t="shared" si="101"/>
        <v>45.5</v>
      </c>
      <c r="P559" s="13">
        <v>546</v>
      </c>
      <c r="Q559" s="21">
        <v>2.6068974894946972E-2</v>
      </c>
      <c r="R559" s="18">
        <f t="shared" si="102"/>
        <v>2.4046504011332681E-2</v>
      </c>
      <c r="S559" s="21">
        <v>3.351492121648203E-2</v>
      </c>
      <c r="T559" s="18">
        <f t="shared" si="103"/>
        <v>4.2318629884516845E-2</v>
      </c>
      <c r="U559" s="23">
        <v>3.6160593316026945E-2</v>
      </c>
      <c r="V559" s="23">
        <f t="shared" si="104"/>
        <v>4.2386713508870688E-2</v>
      </c>
      <c r="W559" s="22">
        <f t="shared" si="107"/>
        <v>3.4648891769180068E-3</v>
      </c>
      <c r="X559" s="23">
        <v>3.5630388188579554E-2</v>
      </c>
      <c r="Y559" s="23">
        <f t="shared" si="108"/>
        <v>4.2371933795940953E-2</v>
      </c>
      <c r="Z559" s="22">
        <f t="shared" si="109"/>
        <v>3.4636839904829131E-3</v>
      </c>
      <c r="AA559" s="33"/>
      <c r="AB559" s="50">
        <f t="shared" si="105"/>
        <v>546</v>
      </c>
      <c r="AC559" s="48">
        <f t="shared" si="100"/>
        <v>0.31007496057289263</v>
      </c>
      <c r="AE559" s="48">
        <f t="shared" si="106"/>
        <v>0.99802271473912285</v>
      </c>
      <c r="AF559" s="48">
        <f t="shared" si="110"/>
        <v>0.31007496057289258</v>
      </c>
      <c r="AH559" s="48">
        <f t="shared" si="111"/>
        <v>0</v>
      </c>
    </row>
    <row r="560" spans="4:34" ht="13.9" customHeight="1">
      <c r="D560" s="8"/>
      <c r="E560" s="9"/>
      <c r="F560" s="18"/>
      <c r="G560" s="18"/>
      <c r="H560" s="18"/>
      <c r="J560" s="40"/>
      <c r="K560" s="40"/>
      <c r="L560" s="40"/>
      <c r="M560" s="38"/>
      <c r="O560" s="12">
        <f t="shared" si="101"/>
        <v>45.583333333333336</v>
      </c>
      <c r="P560" s="13">
        <v>547</v>
      </c>
      <c r="Q560" s="21">
        <v>2.6065273865535143E-2</v>
      </c>
      <c r="R560" s="18">
        <f t="shared" si="102"/>
        <v>2.4057849484648841E-2</v>
      </c>
      <c r="S560" s="21">
        <v>3.3530947710540771E-2</v>
      </c>
      <c r="T560" s="18">
        <f t="shared" si="103"/>
        <v>4.2326143240348113E-2</v>
      </c>
      <c r="U560" s="23">
        <v>3.6171941621168546E-2</v>
      </c>
      <c r="V560" s="23">
        <f t="shared" si="104"/>
        <v>4.2393105894008132E-2</v>
      </c>
      <c r="W560" s="22">
        <f t="shared" si="107"/>
        <v>3.4654074122231204E-3</v>
      </c>
      <c r="X560" s="23">
        <v>3.564267290123313E-2</v>
      </c>
      <c r="Y560" s="23">
        <f t="shared" si="108"/>
        <v>4.2378565996916473E-2</v>
      </c>
      <c r="Z560" s="22">
        <f t="shared" si="109"/>
        <v>3.4642217496432259E-3</v>
      </c>
      <c r="AA560" s="33"/>
      <c r="AB560" s="50">
        <f t="shared" si="105"/>
        <v>547</v>
      </c>
      <c r="AC560" s="48">
        <f t="shared" si="100"/>
        <v>0.30946156953809151</v>
      </c>
      <c r="AE560" s="48">
        <f t="shared" si="106"/>
        <v>0.99802179758834042</v>
      </c>
      <c r="AF560" s="48">
        <f t="shared" si="110"/>
        <v>0.30946156953809201</v>
      </c>
      <c r="AH560" s="48">
        <f t="shared" si="111"/>
        <v>4.9960036108132044E-16</v>
      </c>
    </row>
    <row r="561" spans="4:34" ht="13.9" customHeight="1">
      <c r="D561" s="8"/>
      <c r="E561" s="9"/>
      <c r="F561" s="18"/>
      <c r="G561" s="18"/>
      <c r="H561" s="18"/>
      <c r="J561" s="40"/>
      <c r="K561" s="40"/>
      <c r="L561" s="40"/>
      <c r="M561" s="38"/>
      <c r="O561" s="12">
        <f t="shared" si="101"/>
        <v>45.666666666666664</v>
      </c>
      <c r="P561" s="13">
        <v>548</v>
      </c>
      <c r="Q561" s="21">
        <v>2.6061607100849704E-2</v>
      </c>
      <c r="R561" s="18">
        <f t="shared" si="102"/>
        <v>2.4069247942958949E-2</v>
      </c>
      <c r="S561" s="21">
        <v>3.3546929555978489E-2</v>
      </c>
      <c r="T561" s="18">
        <f t="shared" si="103"/>
        <v>4.233357337621424E-2</v>
      </c>
      <c r="U561" s="23">
        <v>3.6183260228228598E-2</v>
      </c>
      <c r="V561" s="23">
        <f t="shared" si="104"/>
        <v>4.2399431364345208E-2</v>
      </c>
      <c r="W561" s="22">
        <f t="shared" si="107"/>
        <v>3.4659202192939276E-3</v>
      </c>
      <c r="X561" s="23">
        <v>3.5654924948623989E-2</v>
      </c>
      <c r="Y561" s="23">
        <f t="shared" si="108"/>
        <v>4.2385127860008032E-2</v>
      </c>
      <c r="Z561" s="22">
        <f t="shared" si="109"/>
        <v>3.464753801972531E-3</v>
      </c>
      <c r="AA561" s="33"/>
      <c r="AB561" s="50">
        <f t="shared" si="105"/>
        <v>548</v>
      </c>
      <c r="AC561" s="48">
        <f t="shared" si="100"/>
        <v>0.30884910676986488</v>
      </c>
      <c r="AE561" s="48">
        <f t="shared" si="106"/>
        <v>0.99802087616520208</v>
      </c>
      <c r="AF561" s="48">
        <f t="shared" si="110"/>
        <v>0.30884910676986521</v>
      </c>
      <c r="AH561" s="48">
        <f t="shared" si="111"/>
        <v>0</v>
      </c>
    </row>
    <row r="562" spans="4:34" ht="13.9" customHeight="1">
      <c r="D562" s="8"/>
      <c r="E562" s="9"/>
      <c r="F562" s="18"/>
      <c r="G562" s="18"/>
      <c r="H562" s="18"/>
      <c r="J562" s="40"/>
      <c r="K562" s="40"/>
      <c r="L562" s="40"/>
      <c r="M562" s="38"/>
      <c r="O562" s="12">
        <f t="shared" si="101"/>
        <v>45.75</v>
      </c>
      <c r="P562" s="13">
        <v>549</v>
      </c>
      <c r="Q562" s="21">
        <v>2.6057974509827941E-2</v>
      </c>
      <c r="R562" s="18">
        <f t="shared" si="102"/>
        <v>2.4080700134237354E-2</v>
      </c>
      <c r="S562" s="21">
        <v>3.3562866845652684E-2</v>
      </c>
      <c r="T562" s="18">
        <f t="shared" si="103"/>
        <v>4.2340921221879046E-2</v>
      </c>
      <c r="U562" s="23">
        <v>3.6194549177966273E-2</v>
      </c>
      <c r="V562" s="23">
        <f t="shared" si="104"/>
        <v>4.2405690626143411E-2</v>
      </c>
      <c r="W562" s="22">
        <f t="shared" si="107"/>
        <v>3.4664276555178564E-3</v>
      </c>
      <c r="X562" s="23">
        <v>3.5667144381515747E-2</v>
      </c>
      <c r="Y562" s="23">
        <f t="shared" si="108"/>
        <v>4.2391620137814501E-2</v>
      </c>
      <c r="Z562" s="22">
        <f t="shared" si="109"/>
        <v>3.4652802085606282E-3</v>
      </c>
      <c r="AA562" s="33"/>
      <c r="AB562" s="50">
        <f t="shared" si="105"/>
        <v>549</v>
      </c>
      <c r="AC562" s="48">
        <f t="shared" si="100"/>
        <v>0.30823757023499443</v>
      </c>
      <c r="AE562" s="48">
        <f t="shared" si="106"/>
        <v>0.99801995045002156</v>
      </c>
      <c r="AF562" s="48">
        <f t="shared" si="110"/>
        <v>0.30823757023499432</v>
      </c>
      <c r="AH562" s="48">
        <f t="shared" si="111"/>
        <v>0</v>
      </c>
    </row>
    <row r="563" spans="4:34" ht="13.9" customHeight="1">
      <c r="D563" s="8"/>
      <c r="E563" s="9"/>
      <c r="F563" s="18"/>
      <c r="G563" s="18"/>
      <c r="H563" s="18"/>
      <c r="J563" s="40"/>
      <c r="K563" s="40"/>
      <c r="L563" s="40"/>
      <c r="M563" s="38"/>
      <c r="O563" s="12">
        <f t="shared" si="101"/>
        <v>45.833333333333336</v>
      </c>
      <c r="P563" s="13">
        <v>550</v>
      </c>
      <c r="Q563" s="21">
        <v>2.6054376003430857E-2</v>
      </c>
      <c r="R563" s="18">
        <f t="shared" si="102"/>
        <v>2.4092206810823136E-2</v>
      </c>
      <c r="S563" s="21">
        <v>3.3578759673421388E-2</v>
      </c>
      <c r="T563" s="18">
        <f t="shared" si="103"/>
        <v>4.2348187696855666E-2</v>
      </c>
      <c r="U563" s="23">
        <v>3.6205808512120408E-2</v>
      </c>
      <c r="V563" s="23">
        <f t="shared" si="104"/>
        <v>4.2411884378124931E-2</v>
      </c>
      <c r="W563" s="22">
        <f t="shared" si="107"/>
        <v>3.4669297776412922E-3</v>
      </c>
      <c r="X563" s="23">
        <v>3.5679331251662116E-2</v>
      </c>
      <c r="Y563" s="23">
        <f t="shared" si="108"/>
        <v>4.2398043574395583E-2</v>
      </c>
      <c r="Z563" s="22">
        <f t="shared" si="109"/>
        <v>3.4658010298800335E-3</v>
      </c>
      <c r="AA563" s="33"/>
      <c r="AB563" s="50">
        <f t="shared" si="105"/>
        <v>550</v>
      </c>
      <c r="AC563" s="48">
        <f t="shared" si="100"/>
        <v>0.30762695789092154</v>
      </c>
      <c r="AE563" s="48">
        <f t="shared" si="106"/>
        <v>0.99801902038220958</v>
      </c>
      <c r="AF563" s="48">
        <f t="shared" si="110"/>
        <v>0.30762695789092154</v>
      </c>
      <c r="AH563" s="48">
        <f t="shared" si="111"/>
        <v>0</v>
      </c>
    </row>
    <row r="564" spans="4:34" ht="13.9" customHeight="1">
      <c r="D564" s="8"/>
      <c r="E564" s="9"/>
      <c r="F564" s="18"/>
      <c r="G564" s="18"/>
      <c r="H564" s="18"/>
      <c r="J564" s="40"/>
      <c r="K564" s="40"/>
      <c r="L564" s="40"/>
      <c r="M564" s="38"/>
      <c r="O564" s="12">
        <f t="shared" si="101"/>
        <v>45.916666666666664</v>
      </c>
      <c r="P564" s="13">
        <v>551</v>
      </c>
      <c r="Q564" s="21">
        <v>2.6050811494632509E-2</v>
      </c>
      <c r="R564" s="18">
        <f t="shared" si="102"/>
        <v>2.4103768729020869E-2</v>
      </c>
      <c r="S564" s="21">
        <v>3.3594608134115855E-2</v>
      </c>
      <c r="T564" s="18">
        <f t="shared" si="103"/>
        <v>4.235537370988407E-2</v>
      </c>
      <c r="U564" s="23">
        <v>3.6217038273386848E-2</v>
      </c>
      <c r="V564" s="23">
        <f t="shared" si="104"/>
        <v>4.2418013311743774E-2</v>
      </c>
      <c r="W564" s="22">
        <f t="shared" si="107"/>
        <v>3.4674266418031063E-3</v>
      </c>
      <c r="X564" s="23">
        <v>3.5691485611781815E-2</v>
      </c>
      <c r="Y564" s="23">
        <f t="shared" si="108"/>
        <v>4.240439890587222E-2</v>
      </c>
      <c r="Z564" s="22">
        <f t="shared" si="109"/>
        <v>3.4663163257153684E-3</v>
      </c>
      <c r="AA564" s="33"/>
      <c r="AB564" s="50">
        <f t="shared" si="105"/>
        <v>551</v>
      </c>
      <c r="AC564" s="48">
        <f t="shared" si="100"/>
        <v>0.30701726768579085</v>
      </c>
      <c r="AE564" s="48">
        <f t="shared" si="106"/>
        <v>0.9980180859008253</v>
      </c>
      <c r="AF564" s="48">
        <f t="shared" si="110"/>
        <v>0.3070172676857913</v>
      </c>
      <c r="AH564" s="48">
        <f t="shared" si="111"/>
        <v>4.4408920985006262E-16</v>
      </c>
    </row>
    <row r="565" spans="4:34" ht="13.9" customHeight="1">
      <c r="D565" s="8"/>
      <c r="E565" s="9"/>
      <c r="F565" s="18"/>
      <c r="G565" s="18"/>
      <c r="H565" s="18"/>
      <c r="J565" s="40"/>
      <c r="K565" s="40"/>
      <c r="L565" s="40"/>
      <c r="M565" s="38"/>
      <c r="O565" s="12">
        <f t="shared" si="101"/>
        <v>46</v>
      </c>
      <c r="P565" s="13">
        <v>552</v>
      </c>
      <c r="Q565" s="21">
        <v>2.6047280898408909E-2</v>
      </c>
      <c r="R565" s="18">
        <f t="shared" si="102"/>
        <v>2.4115386155861618E-2</v>
      </c>
      <c r="S565" s="21">
        <v>3.3610412323512584E-2</v>
      </c>
      <c r="T565" s="18">
        <f t="shared" si="103"/>
        <v>4.2362480159687799E-2</v>
      </c>
      <c r="U565" s="23">
        <v>3.6228238505396693E-2</v>
      </c>
      <c r="V565" s="23">
        <f t="shared" si="104"/>
        <v>4.2424078111029218E-2</v>
      </c>
      <c r="W565" s="22">
        <f t="shared" si="107"/>
        <v>3.4679183035577488E-3</v>
      </c>
      <c r="X565" s="23">
        <v>3.5703607515536584E-2</v>
      </c>
      <c r="Y565" s="23">
        <f t="shared" si="108"/>
        <v>4.241068686037508E-2</v>
      </c>
      <c r="Z565" s="22">
        <f t="shared" si="109"/>
        <v>3.4668261552126545E-3</v>
      </c>
      <c r="AA565" s="33"/>
      <c r="AB565" s="50">
        <f t="shared" si="105"/>
        <v>552</v>
      </c>
      <c r="AC565" s="48">
        <f t="shared" si="100"/>
        <v>0.3064084975585028</v>
      </c>
      <c r="AE565" s="48">
        <f t="shared" si="106"/>
        <v>0.99801714694461063</v>
      </c>
      <c r="AF565" s="48">
        <f t="shared" si="110"/>
        <v>0.30640849755850325</v>
      </c>
      <c r="AH565" s="48">
        <f t="shared" si="111"/>
        <v>4.4408920985006262E-16</v>
      </c>
    </row>
    <row r="566" spans="4:34" ht="13.9" customHeight="1">
      <c r="D566" s="8"/>
      <c r="E566" s="9"/>
      <c r="F566" s="18"/>
      <c r="G566" s="18"/>
      <c r="H566" s="18"/>
      <c r="J566" s="40"/>
      <c r="K566" s="40"/>
      <c r="L566" s="40"/>
      <c r="M566" s="38"/>
      <c r="O566" s="12">
        <f t="shared" si="101"/>
        <v>46.083333333333336</v>
      </c>
      <c r="P566" s="13">
        <v>553</v>
      </c>
      <c r="Q566" s="21">
        <v>2.6043784130833414E-2</v>
      </c>
      <c r="R566" s="18">
        <f t="shared" si="102"/>
        <v>2.4127057885570569E-2</v>
      </c>
      <c r="S566" s="21">
        <v>3.3626172338306448E-2</v>
      </c>
      <c r="T566" s="18">
        <f t="shared" si="103"/>
        <v>4.2369507934560069E-2</v>
      </c>
      <c r="U566" s="23">
        <v>3.6239409252694754E-2</v>
      </c>
      <c r="V566" s="23">
        <f t="shared" si="104"/>
        <v>4.2430079452265623E-2</v>
      </c>
      <c r="W566" s="22">
        <f t="shared" si="107"/>
        <v>3.4684048178612592E-3</v>
      </c>
      <c r="X566" s="23">
        <v>3.5715697017507431E-2</v>
      </c>
      <c r="Y566" s="23">
        <f t="shared" si="108"/>
        <v>4.2416908157961064E-2</v>
      </c>
      <c r="Z566" s="22">
        <f t="shared" si="109"/>
        <v>3.4673305768739837E-3</v>
      </c>
      <c r="AA566" s="33"/>
      <c r="AB566" s="50">
        <f t="shared" si="105"/>
        <v>553</v>
      </c>
      <c r="AC566" s="48">
        <f t="shared" si="100"/>
        <v>0.3058006454510393</v>
      </c>
      <c r="AE566" s="48">
        <f t="shared" si="106"/>
        <v>0.99801620349204412</v>
      </c>
      <c r="AF566" s="48">
        <f t="shared" si="110"/>
        <v>0.30580064545103869</v>
      </c>
      <c r="AH566" s="48">
        <f t="shared" si="111"/>
        <v>-6.106226635438361E-16</v>
      </c>
    </row>
    <row r="567" spans="4:34" ht="13.9" customHeight="1">
      <c r="D567" s="8"/>
      <c r="E567" s="9"/>
      <c r="F567" s="18"/>
      <c r="G567" s="18"/>
      <c r="H567" s="18"/>
      <c r="J567" s="40"/>
      <c r="K567" s="40"/>
      <c r="L567" s="40"/>
      <c r="M567" s="38"/>
      <c r="O567" s="12">
        <f t="shared" si="101"/>
        <v>46.166666666666664</v>
      </c>
      <c r="P567" s="13">
        <v>554</v>
      </c>
      <c r="Q567" s="21">
        <v>2.6040321106403752E-2</v>
      </c>
      <c r="R567" s="18">
        <f t="shared" si="102"/>
        <v>2.4138784195720353E-2</v>
      </c>
      <c r="S567" s="21">
        <v>3.3641888276084275E-2</v>
      </c>
      <c r="T567" s="18">
        <f t="shared" si="103"/>
        <v>4.2376457912906229E-2</v>
      </c>
      <c r="U567" s="23">
        <v>3.6250550560717132E-2</v>
      </c>
      <c r="V567" s="23">
        <f t="shared" si="104"/>
        <v>4.2436018005030496E-2</v>
      </c>
      <c r="W567" s="22">
        <f t="shared" si="107"/>
        <v>3.4688862390470643E-3</v>
      </c>
      <c r="X567" s="23">
        <v>3.5727754173172421E-2</v>
      </c>
      <c r="Y567" s="23">
        <f t="shared" si="108"/>
        <v>4.2423063510945047E-2</v>
      </c>
      <c r="Z567" s="22">
        <f t="shared" si="109"/>
        <v>3.4678296485515236E-3</v>
      </c>
      <c r="AA567" s="33"/>
      <c r="AB567" s="50">
        <f t="shared" si="105"/>
        <v>554</v>
      </c>
      <c r="AC567" s="48">
        <f t="shared" si="100"/>
        <v>0.30519370934506473</v>
      </c>
      <c r="AE567" s="48">
        <f t="shared" si="106"/>
        <v>0.99801525564121119</v>
      </c>
      <c r="AF567" s="48">
        <f t="shared" si="110"/>
        <v>0.30519370934506573</v>
      </c>
      <c r="AH567" s="48">
        <f t="shared" si="111"/>
        <v>9.9920072216264089E-16</v>
      </c>
    </row>
    <row r="568" spans="4:34" ht="13.9" customHeight="1">
      <c r="D568" s="8"/>
      <c r="E568" s="9"/>
      <c r="F568" s="18"/>
      <c r="G568" s="18"/>
      <c r="H568" s="18"/>
      <c r="J568" s="40"/>
      <c r="K568" s="40"/>
      <c r="L568" s="40"/>
      <c r="M568" s="38"/>
      <c r="O568" s="12">
        <f t="shared" si="101"/>
        <v>46.25</v>
      </c>
      <c r="P568" s="13">
        <v>555</v>
      </c>
      <c r="Q568" s="21">
        <v>2.6036891740732981E-2</v>
      </c>
      <c r="R568" s="18">
        <f t="shared" si="102"/>
        <v>2.4150565861091433E-2</v>
      </c>
      <c r="S568" s="21">
        <v>3.3657560235298645E-2</v>
      </c>
      <c r="T568" s="18">
        <f t="shared" si="103"/>
        <v>4.2383330962817878E-2</v>
      </c>
      <c r="U568" s="23">
        <v>3.6261662475771228E-2</v>
      </c>
      <c r="V568" s="23">
        <f t="shared" si="104"/>
        <v>4.2441894431204608E-2</v>
      </c>
      <c r="W568" s="22">
        <f t="shared" si="107"/>
        <v>3.4693626209074679E-3</v>
      </c>
      <c r="X568" s="23">
        <v>3.5739779038884478E-2</v>
      </c>
      <c r="Y568" s="23">
        <f t="shared" si="108"/>
        <v>4.2429153623999571E-2</v>
      </c>
      <c r="Z568" s="22">
        <f t="shared" si="109"/>
        <v>3.4683234274750507E-3</v>
      </c>
      <c r="AA568" s="33"/>
      <c r="AB568" s="50">
        <f t="shared" si="105"/>
        <v>555</v>
      </c>
      <c r="AC568" s="48">
        <f t="shared" si="100"/>
        <v>0.30458768722483909</v>
      </c>
      <c r="AE568" s="48">
        <f t="shared" si="106"/>
        <v>0.99801430336973374</v>
      </c>
      <c r="AF568" s="48">
        <f t="shared" si="110"/>
        <v>0.30458768722484075</v>
      </c>
      <c r="AH568" s="48">
        <f t="shared" si="111"/>
        <v>1.6653345369377348E-15</v>
      </c>
    </row>
    <row r="569" spans="4:34" ht="13.9" customHeight="1">
      <c r="D569" s="8"/>
      <c r="E569" s="9"/>
      <c r="F569" s="18"/>
      <c r="G569" s="18"/>
      <c r="H569" s="18"/>
      <c r="J569" s="40"/>
      <c r="K569" s="40"/>
      <c r="L569" s="40"/>
      <c r="M569" s="38"/>
      <c r="O569" s="12">
        <f t="shared" si="101"/>
        <v>46.333333333333336</v>
      </c>
      <c r="P569" s="13">
        <v>556</v>
      </c>
      <c r="Q569" s="21">
        <v>2.6033495951436114E-2</v>
      </c>
      <c r="R569" s="18">
        <f t="shared" si="102"/>
        <v>2.4162403660487275E-2</v>
      </c>
      <c r="S569" s="21">
        <v>3.3673188315242575E-2</v>
      </c>
      <c r="T569" s="18">
        <f t="shared" si="103"/>
        <v>4.2390127943135125E-2</v>
      </c>
      <c r="U569" s="23">
        <v>3.6272745045014654E-2</v>
      </c>
      <c r="V569" s="23">
        <f t="shared" si="104"/>
        <v>4.2447709386068233E-2</v>
      </c>
      <c r="W569" s="22">
        <f t="shared" si="107"/>
        <v>3.469834016616602E-3</v>
      </c>
      <c r="X569" s="23">
        <v>3.5751771671850063E-2</v>
      </c>
      <c r="Y569" s="23">
        <f t="shared" si="108"/>
        <v>4.2435179194224348E-2</v>
      </c>
      <c r="Z569" s="22">
        <f t="shared" si="109"/>
        <v>3.4688119702577236E-3</v>
      </c>
      <c r="AA569" s="33"/>
      <c r="AB569" s="50">
        <f t="shared" si="105"/>
        <v>556</v>
      </c>
      <c r="AC569" s="48">
        <f t="shared" si="100"/>
        <v>0.30398257706494314</v>
      </c>
      <c r="AE569" s="48">
        <f t="shared" si="106"/>
        <v>0.99801334661485896</v>
      </c>
      <c r="AF569" s="48">
        <f t="shared" si="110"/>
        <v>0.30398257706494325</v>
      </c>
      <c r="AH569" s="48">
        <f t="shared" si="111"/>
        <v>0</v>
      </c>
    </row>
    <row r="570" spans="4:34" ht="13.9" customHeight="1">
      <c r="D570" s="8"/>
      <c r="E570" s="9"/>
      <c r="F570" s="18"/>
      <c r="G570" s="18"/>
      <c r="H570" s="18"/>
      <c r="J570" s="40"/>
      <c r="K570" s="40"/>
      <c r="L570" s="40"/>
      <c r="M570" s="38"/>
      <c r="O570" s="12">
        <f t="shared" si="101"/>
        <v>46.416666666666664</v>
      </c>
      <c r="P570" s="13">
        <v>557</v>
      </c>
      <c r="Q570" s="21">
        <v>2.6030133658119459E-2</v>
      </c>
      <c r="R570" s="18">
        <f t="shared" si="102"/>
        <v>2.4174298377348302E-2</v>
      </c>
      <c r="S570" s="21">
        <v>3.3688772616024432E-2</v>
      </c>
      <c r="T570" s="18">
        <f t="shared" si="103"/>
        <v>4.2396849702085904E-2</v>
      </c>
      <c r="U570" s="23">
        <v>3.6283798316435023E-2</v>
      </c>
      <c r="V570" s="23">
        <f t="shared" si="104"/>
        <v>4.2453463517684753E-2</v>
      </c>
      <c r="W570" s="22">
        <f t="shared" si="107"/>
        <v>3.4703004788168013E-3</v>
      </c>
      <c r="X570" s="23">
        <v>3.5763732130108083E-2</v>
      </c>
      <c r="Y570" s="23">
        <f t="shared" si="108"/>
        <v>4.2441140910776776E-2</v>
      </c>
      <c r="Z570" s="22">
        <f t="shared" si="109"/>
        <v>3.4692953329045206E-3</v>
      </c>
      <c r="AA570" s="33"/>
      <c r="AB570" s="50">
        <f t="shared" si="105"/>
        <v>557</v>
      </c>
      <c r="AC570" s="48">
        <f t="shared" si="100"/>
        <v>0.30337837683033225</v>
      </c>
      <c r="AE570" s="48">
        <f t="shared" si="106"/>
        <v>0.99801238531351188</v>
      </c>
      <c r="AF570" s="48">
        <f t="shared" si="110"/>
        <v>0.30337837683033247</v>
      </c>
      <c r="AH570" s="48">
        <f t="shared" si="111"/>
        <v>0</v>
      </c>
    </row>
    <row r="571" spans="4:34" ht="13.9" customHeight="1">
      <c r="D571" s="8"/>
      <c r="E571" s="9"/>
      <c r="F571" s="18"/>
      <c r="G571" s="18"/>
      <c r="H571" s="18"/>
      <c r="J571" s="40"/>
      <c r="K571" s="40"/>
      <c r="L571" s="40"/>
      <c r="M571" s="38"/>
      <c r="O571" s="12">
        <f t="shared" si="101"/>
        <v>46.5</v>
      </c>
      <c r="P571" s="13">
        <v>558</v>
      </c>
      <c r="Q571" s="21">
        <v>2.6026804782370183E-2</v>
      </c>
      <c r="R571" s="18">
        <f t="shared" si="102"/>
        <v>2.4186250312870472E-2</v>
      </c>
      <c r="S571" s="21">
        <v>3.370431323854306E-2</v>
      </c>
      <c r="T571" s="18">
        <f t="shared" si="103"/>
        <v>4.2403497079253727E-2</v>
      </c>
      <c r="U571" s="23">
        <v>3.6294822338830413E-2</v>
      </c>
      <c r="V571" s="23">
        <f t="shared" si="104"/>
        <v>4.2459157466803177E-2</v>
      </c>
      <c r="W571" s="22">
        <f t="shared" si="107"/>
        <v>3.470762059568866E-3</v>
      </c>
      <c r="X571" s="23">
        <v>3.5775660472508131E-2</v>
      </c>
      <c r="Y571" s="23">
        <f t="shared" si="108"/>
        <v>4.244703945554984E-2</v>
      </c>
      <c r="Z571" s="22">
        <f t="shared" si="109"/>
        <v>3.4697735707800437E-3</v>
      </c>
      <c r="AA571" s="33"/>
      <c r="AB571" s="50">
        <f t="shared" si="105"/>
        <v>558</v>
      </c>
      <c r="AC571" s="48">
        <f t="shared" si="100"/>
        <v>0.30277508447638923</v>
      </c>
      <c r="AE571" s="48">
        <f t="shared" si="106"/>
        <v>0.99801141940224414</v>
      </c>
      <c r="AF571" s="48">
        <f t="shared" si="110"/>
        <v>0.30277508447638901</v>
      </c>
      <c r="AH571" s="48">
        <f t="shared" si="111"/>
        <v>0</v>
      </c>
    </row>
    <row r="572" spans="4:34" ht="13.9" customHeight="1">
      <c r="D572" s="8"/>
      <c r="E572" s="9"/>
      <c r="F572" s="18"/>
      <c r="G572" s="18"/>
      <c r="H572" s="18"/>
      <c r="J572" s="40"/>
      <c r="K572" s="40"/>
      <c r="L572" s="40"/>
      <c r="M572" s="38"/>
      <c r="O572" s="12">
        <f t="shared" si="101"/>
        <v>46.583333333333336</v>
      </c>
      <c r="P572" s="13">
        <v>559</v>
      </c>
      <c r="Q572" s="21">
        <v>2.6023509246875021E-2</v>
      </c>
      <c r="R572" s="18">
        <f t="shared" si="102"/>
        <v>2.4198258315810683E-2</v>
      </c>
      <c r="S572" s="21">
        <v>3.3719810284464247E-2</v>
      </c>
      <c r="T572" s="18">
        <f t="shared" si="103"/>
        <v>4.2410070904175479E-2</v>
      </c>
      <c r="U572" s="23">
        <v>3.6305817161788934E-2</v>
      </c>
      <c r="V572" s="23">
        <f t="shared" si="104"/>
        <v>4.2464791868126905E-2</v>
      </c>
      <c r="W572" s="22">
        <f t="shared" si="107"/>
        <v>3.4712188103462882E-3</v>
      </c>
      <c r="X572" s="23">
        <v>3.5787556758690497E-2</v>
      </c>
      <c r="Y572" s="23">
        <f t="shared" si="108"/>
        <v>4.2452875503494747E-2</v>
      </c>
      <c r="Z572" s="22">
        <f t="shared" si="109"/>
        <v>3.4702467386649172E-3</v>
      </c>
      <c r="AA572" s="33"/>
      <c r="AB572" s="50">
        <f t="shared" si="105"/>
        <v>559</v>
      </c>
      <c r="AC572" s="48">
        <f t="shared" si="100"/>
        <v>0.30217269796092755</v>
      </c>
      <c r="AE572" s="48">
        <f t="shared" si="106"/>
        <v>0.99801044885677204</v>
      </c>
      <c r="AF572" s="48">
        <f t="shared" si="110"/>
        <v>0.30217269796092805</v>
      </c>
      <c r="AH572" s="48">
        <f t="shared" si="111"/>
        <v>4.9960036108132044E-16</v>
      </c>
    </row>
    <row r="573" spans="4:34" ht="13.9" customHeight="1">
      <c r="D573" s="8"/>
      <c r="E573" s="9"/>
      <c r="F573" s="18"/>
      <c r="G573" s="18"/>
      <c r="H573" s="18"/>
      <c r="J573" s="40"/>
      <c r="K573" s="40"/>
      <c r="L573" s="40"/>
      <c r="M573" s="38"/>
      <c r="O573" s="12">
        <f t="shared" si="101"/>
        <v>46.666666666666664</v>
      </c>
      <c r="P573" s="13">
        <v>560</v>
      </c>
      <c r="Q573" s="21">
        <v>2.6020246972811467E-2</v>
      </c>
      <c r="R573" s="18">
        <f t="shared" si="102"/>
        <v>2.4210322697758357E-2</v>
      </c>
      <c r="S573" s="21">
        <v>3.3735263856197184E-2</v>
      </c>
      <c r="T573" s="18">
        <f t="shared" si="103"/>
        <v>4.2416571996920061E-2</v>
      </c>
      <c r="U573" s="23">
        <v>3.6316782835670525E-2</v>
      </c>
      <c r="V573" s="23">
        <f t="shared" si="104"/>
        <v>4.2470367349126237E-2</v>
      </c>
      <c r="W573" s="22">
        <f t="shared" si="107"/>
        <v>3.4716707821347281E-3</v>
      </c>
      <c r="X573" s="23">
        <v>3.5799421049066638E-2</v>
      </c>
      <c r="Y573" s="23">
        <f t="shared" si="108"/>
        <v>4.2458649721532238E-2</v>
      </c>
      <c r="Z573" s="22">
        <f t="shared" si="109"/>
        <v>3.4707148907806573E-3</v>
      </c>
      <c r="AA573" s="33"/>
      <c r="AB573" s="50">
        <f t="shared" si="105"/>
        <v>560</v>
      </c>
      <c r="AC573" s="48">
        <f t="shared" si="100"/>
        <v>0.30157121527987563</v>
      </c>
      <c r="AE573" s="48">
        <f t="shared" si="106"/>
        <v>0.99800947377075522</v>
      </c>
      <c r="AF573" s="48">
        <f t="shared" si="110"/>
        <v>0.30157121527987518</v>
      </c>
      <c r="AH573" s="48">
        <f t="shared" si="111"/>
        <v>-4.4408920985006262E-16</v>
      </c>
    </row>
    <row r="574" spans="4:34" ht="13.9" customHeight="1">
      <c r="D574" s="8"/>
      <c r="E574" s="9"/>
      <c r="F574" s="18"/>
      <c r="G574" s="18"/>
      <c r="H574" s="18"/>
      <c r="J574" s="40"/>
      <c r="K574" s="40"/>
      <c r="L574" s="40"/>
      <c r="M574" s="38"/>
      <c r="O574" s="12">
        <f t="shared" si="101"/>
        <v>46.75</v>
      </c>
      <c r="P574" s="13">
        <v>561</v>
      </c>
      <c r="Q574" s="21">
        <v>2.6017017882474347E-2</v>
      </c>
      <c r="R574" s="18">
        <f t="shared" si="102"/>
        <v>2.4222444261412512E-2</v>
      </c>
      <c r="S574" s="21">
        <v>3.3750674056870489E-2</v>
      </c>
      <c r="T574" s="18">
        <f t="shared" si="103"/>
        <v>4.2423001168389707E-2</v>
      </c>
      <c r="U574" s="23">
        <v>3.6327719411587855E-2</v>
      </c>
      <c r="V574" s="23">
        <f t="shared" si="104"/>
        <v>4.2475884530017494E-2</v>
      </c>
      <c r="W574" s="22">
        <f t="shared" si="107"/>
        <v>3.472118025338311E-3</v>
      </c>
      <c r="X574" s="23">
        <v>3.5811253404798515E-2</v>
      </c>
      <c r="Y574" s="23">
        <f t="shared" si="108"/>
        <v>4.2464362769460973E-2</v>
      </c>
      <c r="Z574" s="22">
        <f t="shared" si="109"/>
        <v>3.4711780807026305E-3</v>
      </c>
      <c r="AA574" s="33"/>
      <c r="AB574" s="50">
        <f t="shared" si="105"/>
        <v>561</v>
      </c>
      <c r="AC574" s="48">
        <f t="shared" si="100"/>
        <v>0.30097063443112421</v>
      </c>
      <c r="AE574" s="48">
        <f t="shared" si="106"/>
        <v>0.99800849411906523</v>
      </c>
      <c r="AF574" s="48">
        <f t="shared" si="110"/>
        <v>0.30097063443112465</v>
      </c>
      <c r="AH574" s="48">
        <f t="shared" si="111"/>
        <v>4.4408920985006262E-16</v>
      </c>
    </row>
    <row r="575" spans="4:34" ht="13.9" customHeight="1">
      <c r="D575" s="8"/>
      <c r="E575" s="9"/>
      <c r="F575" s="18"/>
      <c r="G575" s="18"/>
      <c r="H575" s="18"/>
      <c r="J575" s="40"/>
      <c r="K575" s="40"/>
      <c r="L575" s="40"/>
      <c r="M575" s="38"/>
      <c r="O575" s="12">
        <f t="shared" si="101"/>
        <v>46.833333333333336</v>
      </c>
      <c r="P575" s="13">
        <v>562</v>
      </c>
      <c r="Q575" s="21">
        <v>2.6013821900140233E-2</v>
      </c>
      <c r="R575" s="18">
        <f t="shared" si="102"/>
        <v>2.4234623813196965E-2</v>
      </c>
      <c r="S575" s="21">
        <v>3.3766040990309776E-2</v>
      </c>
      <c r="T575" s="18">
        <f t="shared" si="103"/>
        <v>4.2429359220748308E-2</v>
      </c>
      <c r="U575" s="23">
        <v>3.6338626941386787E-2</v>
      </c>
      <c r="V575" s="23">
        <f t="shared" si="104"/>
        <v>4.2481344025259382E-2</v>
      </c>
      <c r="W575" s="22">
        <f t="shared" si="107"/>
        <v>3.4725605897778511E-3</v>
      </c>
      <c r="X575" s="23">
        <v>3.5823053887778622E-2</v>
      </c>
      <c r="Y575" s="23">
        <f t="shared" si="108"/>
        <v>4.2470015300423158E-2</v>
      </c>
      <c r="Z575" s="22">
        <f t="shared" si="109"/>
        <v>3.4716363614328838E-3</v>
      </c>
      <c r="AA575" s="33"/>
      <c r="AB575" s="50">
        <f t="shared" si="105"/>
        <v>562</v>
      </c>
      <c r="AC575" s="48">
        <f t="shared" si="100"/>
        <v>0.30037095340257763</v>
      </c>
      <c r="AE575" s="48">
        <f t="shared" si="106"/>
        <v>0.9980075098366975</v>
      </c>
      <c r="AF575" s="48">
        <f t="shared" si="110"/>
        <v>0.30037095340257775</v>
      </c>
      <c r="AH575" s="48">
        <f t="shared" si="111"/>
        <v>0</v>
      </c>
    </row>
    <row r="576" spans="4:34" ht="13.9" customHeight="1">
      <c r="D576" s="8"/>
      <c r="E576" s="9"/>
      <c r="F576" s="18"/>
      <c r="G576" s="18"/>
      <c r="H576" s="18"/>
      <c r="J576" s="40"/>
      <c r="K576" s="40"/>
      <c r="L576" s="40"/>
      <c r="M576" s="38"/>
      <c r="O576" s="12">
        <f t="shared" si="101"/>
        <v>46.916666666666664</v>
      </c>
      <c r="P576" s="13">
        <v>563</v>
      </c>
      <c r="Q576" s="21">
        <v>2.6010658952057231E-2</v>
      </c>
      <c r="R576" s="18">
        <f t="shared" si="102"/>
        <v>2.4246862163876948E-2</v>
      </c>
      <c r="S576" s="21">
        <v>3.3781364761016341E-2</v>
      </c>
      <c r="T576" s="18">
        <f t="shared" si="103"/>
        <v>4.2435646945933936E-2</v>
      </c>
      <c r="U576" s="23">
        <v>3.6349505477629274E-2</v>
      </c>
      <c r="V576" s="23">
        <f t="shared" si="104"/>
        <v>4.2486746442655043E-2</v>
      </c>
      <c r="W576" s="22">
        <f t="shared" si="107"/>
        <v>3.4729985248098671E-3</v>
      </c>
      <c r="X576" s="23">
        <v>3.5834822560612656E-2</v>
      </c>
      <c r="Y576" s="23">
        <f t="shared" si="108"/>
        <v>4.2475607959959749E-2</v>
      </c>
      <c r="Z576" s="22">
        <f t="shared" si="109"/>
        <v>3.4720897854378929E-3</v>
      </c>
      <c r="AA576" s="33"/>
      <c r="AB576" s="50">
        <f t="shared" si="105"/>
        <v>563</v>
      </c>
      <c r="AC576" s="48">
        <f t="shared" si="100"/>
        <v>0.2997721701722118</v>
      </c>
      <c r="AE576" s="48">
        <f t="shared" si="106"/>
        <v>0.99800652085834929</v>
      </c>
      <c r="AF576" s="48">
        <f t="shared" si="110"/>
        <v>0.29977217017221197</v>
      </c>
      <c r="AH576" s="48">
        <f t="shared" si="111"/>
        <v>0</v>
      </c>
    </row>
    <row r="577" spans="4:34" ht="13.9" customHeight="1">
      <c r="D577" s="8"/>
      <c r="E577" s="9"/>
      <c r="F577" s="18"/>
      <c r="G577" s="18"/>
      <c r="H577" s="18"/>
      <c r="J577" s="40"/>
      <c r="K577" s="40"/>
      <c r="L577" s="40"/>
      <c r="M577" s="38"/>
      <c r="O577" s="12">
        <f t="shared" si="101"/>
        <v>47</v>
      </c>
      <c r="P577" s="13">
        <v>564</v>
      </c>
      <c r="Q577" s="21">
        <v>2.6007528966434545E-2</v>
      </c>
      <c r="R577" s="18">
        <f t="shared" si="102"/>
        <v>2.4259159649408835E-2</v>
      </c>
      <c r="S577" s="21">
        <v>3.3796645474143183E-2</v>
      </c>
      <c r="T577" s="18">
        <f t="shared" si="103"/>
        <v>4.2441865128651335E-2</v>
      </c>
      <c r="U577" s="23">
        <v>3.6360355073575601E-2</v>
      </c>
      <c r="V577" s="23">
        <f t="shared" si="104"/>
        <v>4.2492092382887092E-2</v>
      </c>
      <c r="W577" s="22">
        <f t="shared" si="107"/>
        <v>3.4734318792561947E-3</v>
      </c>
      <c r="X577" s="23">
        <v>3.5846559486599316E-2</v>
      </c>
      <c r="Y577" s="23">
        <f t="shared" si="108"/>
        <v>4.2481141387364252E-2</v>
      </c>
      <c r="Z577" s="22">
        <f t="shared" si="109"/>
        <v>3.4725384045726226E-3</v>
      </c>
      <c r="AA577" s="33"/>
      <c r="AB577" s="50">
        <f t="shared" si="105"/>
        <v>564</v>
      </c>
      <c r="AC577" s="48">
        <f t="shared" si="100"/>
        <v>0.29917428270813562</v>
      </c>
      <c r="AE577" s="48">
        <f t="shared" si="106"/>
        <v>0.99800552711836954</v>
      </c>
      <c r="AF577" s="48">
        <f t="shared" si="110"/>
        <v>0.29917428270813601</v>
      </c>
      <c r="AH577" s="48">
        <f t="shared" si="111"/>
        <v>0</v>
      </c>
    </row>
    <row r="578" spans="4:34" ht="13.9" customHeight="1">
      <c r="D578" s="8"/>
      <c r="E578" s="9"/>
      <c r="F578" s="18"/>
      <c r="G578" s="18"/>
      <c r="H578" s="18"/>
      <c r="J578" s="40"/>
      <c r="K578" s="40"/>
      <c r="L578" s="40"/>
      <c r="M578" s="38"/>
      <c r="O578" s="12">
        <f t="shared" si="101"/>
        <v>47.083333333333336</v>
      </c>
      <c r="P578" s="13">
        <v>565</v>
      </c>
      <c r="Q578" s="21">
        <v>2.6004431872583611E-2</v>
      </c>
      <c r="R578" s="18">
        <f t="shared" si="102"/>
        <v>2.4271515174083991E-2</v>
      </c>
      <c r="S578" s="21">
        <v>3.3811883235476348E-2</v>
      </c>
      <c r="T578" s="18">
        <f t="shared" si="103"/>
        <v>4.2448014542968648E-2</v>
      </c>
      <c r="U578" s="23">
        <v>3.6371175783165954E-2</v>
      </c>
      <c r="V578" s="23">
        <f t="shared" si="104"/>
        <v>4.2497382440833231E-2</v>
      </c>
      <c r="W578" s="22">
        <f t="shared" si="107"/>
        <v>3.4738607013651279E-3</v>
      </c>
      <c r="X578" s="23">
        <v>3.5858264729713207E-2</v>
      </c>
      <c r="Y578" s="23">
        <f t="shared" si="108"/>
        <v>4.2486616213957218E-2</v>
      </c>
      <c r="Z578" s="22">
        <f t="shared" si="109"/>
        <v>3.4729822701886626E-3</v>
      </c>
      <c r="AA578" s="33"/>
      <c r="AB578" s="50">
        <f t="shared" si="105"/>
        <v>565</v>
      </c>
      <c r="AC578" s="48">
        <f t="shared" si="100"/>
        <v>0.29857728898028346</v>
      </c>
      <c r="AE578" s="48">
        <f t="shared" si="106"/>
        <v>0.99800452858966437</v>
      </c>
      <c r="AF578" s="48">
        <f t="shared" si="110"/>
        <v>0.29857728898028424</v>
      </c>
      <c r="AH578" s="48">
        <f t="shared" si="111"/>
        <v>7.7715611723760958E-16</v>
      </c>
    </row>
    <row r="579" spans="4:34" ht="13.9" customHeight="1">
      <c r="D579" s="8"/>
      <c r="E579" s="9"/>
      <c r="F579" s="18"/>
      <c r="G579" s="18"/>
      <c r="H579" s="18"/>
      <c r="J579" s="40"/>
      <c r="K579" s="40"/>
      <c r="L579" s="40"/>
      <c r="M579" s="38"/>
      <c r="O579" s="12">
        <f t="shared" si="101"/>
        <v>47.166666666666664</v>
      </c>
      <c r="P579" s="13">
        <v>566</v>
      </c>
      <c r="Q579" s="21">
        <v>2.6001367598374125E-2</v>
      </c>
      <c r="R579" s="18">
        <f t="shared" si="102"/>
        <v>2.4283929084647937E-2</v>
      </c>
      <c r="S579" s="21">
        <v>3.382707815141095E-2</v>
      </c>
      <c r="T579" s="18">
        <f t="shared" si="103"/>
        <v>4.2454095955092752E-2</v>
      </c>
      <c r="U579" s="23">
        <v>3.6381967661003545E-2</v>
      </c>
      <c r="V579" s="23">
        <f t="shared" si="104"/>
        <v>4.2502617204417614E-2</v>
      </c>
      <c r="W579" s="22">
        <f t="shared" si="107"/>
        <v>3.4742850389184454E-3</v>
      </c>
      <c r="X579" s="23">
        <v>3.5869938354585074E-2</v>
      </c>
      <c r="Y579" s="23">
        <f t="shared" si="108"/>
        <v>4.249203306496474E-2</v>
      </c>
      <c r="Z579" s="22">
        <f t="shared" si="109"/>
        <v>3.4734214329965596E-3</v>
      </c>
      <c r="AA579" s="33"/>
      <c r="AB579" s="50">
        <f t="shared" si="105"/>
        <v>566</v>
      </c>
      <c r="AC579" s="48">
        <f t="shared" si="100"/>
        <v>0.29798118699516901</v>
      </c>
      <c r="AE579" s="48">
        <f t="shared" si="106"/>
        <v>0.99800352536138859</v>
      </c>
      <c r="AF579" s="48">
        <f t="shared" si="110"/>
        <v>0.29798118699516973</v>
      </c>
      <c r="AH579" s="48">
        <f t="shared" si="111"/>
        <v>7.2164496600635175E-16</v>
      </c>
    </row>
    <row r="580" spans="4:34" ht="13.9" customHeight="1">
      <c r="D580" s="8"/>
      <c r="E580" s="9"/>
      <c r="F580" s="18"/>
      <c r="G580" s="18"/>
      <c r="H580" s="18"/>
      <c r="J580" s="40"/>
      <c r="K580" s="40"/>
      <c r="L580" s="40"/>
      <c r="M580" s="38"/>
      <c r="O580" s="12">
        <f t="shared" si="101"/>
        <v>47.25</v>
      </c>
      <c r="P580" s="13">
        <v>567</v>
      </c>
      <c r="Q580" s="21">
        <v>2.5998336072795558E-2</v>
      </c>
      <c r="R580" s="18">
        <f t="shared" si="102"/>
        <v>2.4296402211680279E-2</v>
      </c>
      <c r="S580" s="21">
        <v>3.3842230328932299E-2</v>
      </c>
      <c r="T580" s="18">
        <f t="shared" si="103"/>
        <v>4.2460110122989114E-2</v>
      </c>
      <c r="U580" s="23">
        <v>3.6392730762337289E-2</v>
      </c>
      <c r="V580" s="23">
        <f t="shared" si="104"/>
        <v>4.2507797256483348E-2</v>
      </c>
      <c r="W580" s="22">
        <f t="shared" si="107"/>
        <v>3.4747049391379292E-3</v>
      </c>
      <c r="X580" s="23">
        <v>3.5881580426485149E-2</v>
      </c>
      <c r="Y580" s="23">
        <f t="shared" si="108"/>
        <v>4.2497392558656699E-2</v>
      </c>
      <c r="Z580" s="22">
        <f t="shared" si="109"/>
        <v>3.4738559432168081E-3</v>
      </c>
      <c r="AA580" s="33"/>
      <c r="AB580" s="50">
        <f t="shared" si="105"/>
        <v>567</v>
      </c>
      <c r="AC580" s="48">
        <f t="shared" si="100"/>
        <v>0.29738597476068018</v>
      </c>
      <c r="AE580" s="48">
        <f t="shared" si="106"/>
        <v>0.99800251740557233</v>
      </c>
      <c r="AF580" s="48">
        <f t="shared" si="110"/>
        <v>0.29738597476067996</v>
      </c>
      <c r="AH580" s="48">
        <f t="shared" si="111"/>
        <v>0</v>
      </c>
    </row>
    <row r="581" spans="4:34" ht="13.9" customHeight="1">
      <c r="D581" s="8"/>
      <c r="E581" s="9"/>
      <c r="F581" s="18"/>
      <c r="G581" s="18"/>
      <c r="H581" s="18"/>
      <c r="J581" s="40"/>
      <c r="K581" s="40"/>
      <c r="L581" s="40"/>
      <c r="M581" s="38"/>
      <c r="O581" s="12">
        <f t="shared" si="101"/>
        <v>47.333333333333336</v>
      </c>
      <c r="P581" s="13">
        <v>568</v>
      </c>
      <c r="Q581" s="21">
        <v>2.5995337226800475E-2</v>
      </c>
      <c r="R581" s="18">
        <f t="shared" si="102"/>
        <v>2.430893538996326E-2</v>
      </c>
      <c r="S581" s="21">
        <v>3.3857339875595693E-2</v>
      </c>
      <c r="T581" s="18">
        <f t="shared" si="103"/>
        <v>4.2466057794894763E-2</v>
      </c>
      <c r="U581" s="23">
        <v>3.6403465143046931E-2</v>
      </c>
      <c r="V581" s="23">
        <f t="shared" si="104"/>
        <v>4.251292317203359E-2</v>
      </c>
      <c r="W581" s="22">
        <f t="shared" si="107"/>
        <v>3.4751204488365772E-3</v>
      </c>
      <c r="X581" s="23">
        <v>3.5893191011305836E-2</v>
      </c>
      <c r="Y581" s="23">
        <f t="shared" si="108"/>
        <v>4.2502695306621652E-2</v>
      </c>
      <c r="Z581" s="22">
        <f t="shared" si="109"/>
        <v>3.47428585050924E-3</v>
      </c>
      <c r="AA581" s="33"/>
      <c r="AB581" s="50">
        <f t="shared" si="105"/>
        <v>568</v>
      </c>
      <c r="AC581" s="48">
        <f t="shared" si="100"/>
        <v>0.29679165027444188</v>
      </c>
      <c r="AE581" s="48">
        <f t="shared" si="106"/>
        <v>0.99800150465496396</v>
      </c>
      <c r="AF581" s="48">
        <f t="shared" si="110"/>
        <v>0.29679165027444171</v>
      </c>
      <c r="AH581" s="48">
        <f t="shared" si="111"/>
        <v>0</v>
      </c>
    </row>
    <row r="582" spans="4:34" ht="13.9" customHeight="1">
      <c r="D582" s="8"/>
      <c r="E582" s="9"/>
      <c r="F582" s="18"/>
      <c r="G582" s="18"/>
      <c r="H582" s="18"/>
      <c r="J582" s="40"/>
      <c r="K582" s="40"/>
      <c r="L582" s="40"/>
      <c r="M582" s="38"/>
      <c r="O582" s="12">
        <f t="shared" si="101"/>
        <v>47.416666666666664</v>
      </c>
      <c r="P582" s="13">
        <v>569</v>
      </c>
      <c r="Q582" s="21">
        <v>2.5992370993294323E-2</v>
      </c>
      <c r="R582" s="18">
        <f t="shared" si="102"/>
        <v>2.4321529459520264E-2</v>
      </c>
      <c r="S582" s="21">
        <v>3.3872406899505325E-2</v>
      </c>
      <c r="T582" s="18">
        <f t="shared" si="103"/>
        <v>4.2471939711737905E-2</v>
      </c>
      <c r="U582" s="23">
        <v>3.6414170859623729E-2</v>
      </c>
      <c r="V582" s="23">
        <f t="shared" si="104"/>
        <v>4.2517995520931162E-2</v>
      </c>
      <c r="W582" s="22">
        <f t="shared" si="107"/>
        <v>3.4755316141970027E-3</v>
      </c>
      <c r="X582" s="23">
        <v>3.5904770175543943E-2</v>
      </c>
      <c r="Y582" s="23">
        <f t="shared" si="108"/>
        <v>4.2507941913946246E-2</v>
      </c>
      <c r="Z582" s="22">
        <f t="shared" si="109"/>
        <v>3.4747112039967831E-3</v>
      </c>
      <c r="AA582" s="33"/>
      <c r="AB582" s="50">
        <f t="shared" si="105"/>
        <v>569</v>
      </c>
      <c r="AC582" s="48">
        <f t="shared" si="100"/>
        <v>0.29619821152388326</v>
      </c>
      <c r="AE582" s="48">
        <f t="shared" si="106"/>
        <v>0.99800048704197464</v>
      </c>
      <c r="AF582" s="48">
        <f t="shared" si="110"/>
        <v>0.29619821152388426</v>
      </c>
      <c r="AH582" s="48">
        <f t="shared" si="111"/>
        <v>9.9920072216264089E-16</v>
      </c>
    </row>
    <row r="583" spans="4:34" ht="13.9" customHeight="1">
      <c r="D583" s="8"/>
      <c r="E583" s="9"/>
      <c r="F583" s="18"/>
      <c r="G583" s="18"/>
      <c r="H583" s="18"/>
      <c r="J583" s="40"/>
      <c r="K583" s="40"/>
      <c r="L583" s="40"/>
      <c r="M583" s="38"/>
      <c r="O583" s="12">
        <f t="shared" si="101"/>
        <v>47.5</v>
      </c>
      <c r="P583" s="13">
        <v>570</v>
      </c>
      <c r="Q583" s="21">
        <v>2.5989437307127217E-2</v>
      </c>
      <c r="R583" s="18">
        <f t="shared" si="102"/>
        <v>2.4334184791753977E-2</v>
      </c>
      <c r="S583" s="21">
        <v>3.3887431509296295E-2</v>
      </c>
      <c r="T583" s="18">
        <f t="shared" si="103"/>
        <v>4.2477756605083794E-2</v>
      </c>
      <c r="U583" s="23">
        <v>3.6424847969156682E-2</v>
      </c>
      <c r="V583" s="23">
        <f t="shared" si="104"/>
        <v>4.2523014866716835E-2</v>
      </c>
      <c r="W583" s="22">
        <f t="shared" si="107"/>
        <v>3.475938480988372E-3</v>
      </c>
      <c r="X583" s="23">
        <v>3.5916317986284474E-2</v>
      </c>
      <c r="Y583" s="23">
        <f t="shared" si="108"/>
        <v>4.2513132978686974E-2</v>
      </c>
      <c r="Z583" s="22">
        <f t="shared" si="109"/>
        <v>3.4751320522794504E-3</v>
      </c>
      <c r="AA583" s="33"/>
      <c r="AB583" s="50">
        <f t="shared" si="105"/>
        <v>570</v>
      </c>
      <c r="AC583" s="48">
        <f t="shared" si="100"/>
        <v>0.29560565648627868</v>
      </c>
      <c r="AE583" s="48">
        <f t="shared" si="106"/>
        <v>0.99799946449859522</v>
      </c>
      <c r="AF583" s="48">
        <f t="shared" si="110"/>
        <v>0.29560565648627812</v>
      </c>
      <c r="AH583" s="48">
        <f t="shared" si="111"/>
        <v>-5.5511151231257827E-16</v>
      </c>
    </row>
    <row r="584" spans="4:34" ht="13.9" customHeight="1">
      <c r="D584" s="8"/>
      <c r="E584" s="9"/>
      <c r="F584" s="18"/>
      <c r="G584" s="18"/>
      <c r="H584" s="18"/>
      <c r="J584" s="40"/>
      <c r="K584" s="40"/>
      <c r="L584" s="40"/>
      <c r="M584" s="38"/>
      <c r="O584" s="12">
        <f t="shared" si="101"/>
        <v>47.583333333333336</v>
      </c>
      <c r="P584" s="13">
        <v>571</v>
      </c>
      <c r="Q584" s="21">
        <v>2.598653610425572E-2</v>
      </c>
      <c r="R584" s="18">
        <f t="shared" si="102"/>
        <v>2.4346900346537304E-2</v>
      </c>
      <c r="S584" s="21">
        <v>3.3902413814113741E-2</v>
      </c>
      <c r="T584" s="18">
        <f t="shared" si="103"/>
        <v>4.2483509199374048E-2</v>
      </c>
      <c r="U584" s="23">
        <v>3.6435496529315436E-2</v>
      </c>
      <c r="V584" s="23">
        <f t="shared" si="104"/>
        <v>4.2527981767433554E-2</v>
      </c>
      <c r="W584" s="22">
        <f t="shared" si="107"/>
        <v>3.476341094470925E-3</v>
      </c>
      <c r="X584" s="23">
        <v>3.5927834511183532E-2</v>
      </c>
      <c r="Y584" s="23">
        <f t="shared" si="108"/>
        <v>4.2518269093517302E-2</v>
      </c>
      <c r="Z584" s="22">
        <f t="shared" si="109"/>
        <v>3.475548443390819E-3</v>
      </c>
      <c r="AA584" s="33"/>
      <c r="AB584" s="50">
        <f t="shared" si="105"/>
        <v>571</v>
      </c>
      <c r="AC584" s="48">
        <f t="shared" si="100"/>
        <v>0.29501398314014765</v>
      </c>
      <c r="AE584" s="48">
        <f t="shared" si="106"/>
        <v>0.99799843699486823</v>
      </c>
      <c r="AF584" s="48">
        <f t="shared" si="110"/>
        <v>0.29501398314014748</v>
      </c>
      <c r="AH584" s="48">
        <f t="shared" si="111"/>
        <v>0</v>
      </c>
    </row>
    <row r="585" spans="4:34" ht="13.9" customHeight="1">
      <c r="D585" s="8"/>
      <c r="E585" s="9"/>
      <c r="F585" s="18"/>
      <c r="G585" s="18"/>
      <c r="H585" s="18"/>
      <c r="J585" s="40"/>
      <c r="K585" s="40"/>
      <c r="L585" s="40"/>
      <c r="M585" s="38"/>
      <c r="O585" s="12">
        <f t="shared" si="101"/>
        <v>47.666666666666664</v>
      </c>
      <c r="P585" s="13">
        <v>572</v>
      </c>
      <c r="Q585" s="21">
        <v>2.5983667319260384E-2</v>
      </c>
      <c r="R585" s="18">
        <f t="shared" si="102"/>
        <v>2.4359676506566785E-2</v>
      </c>
      <c r="S585" s="21">
        <v>3.3917353923596405E-2</v>
      </c>
      <c r="T585" s="18">
        <f t="shared" si="103"/>
        <v>4.2489198209737067E-2</v>
      </c>
      <c r="U585" s="23">
        <v>3.644611659833652E-2</v>
      </c>
      <c r="V585" s="23">
        <f t="shared" si="104"/>
        <v>4.2532896774405859E-2</v>
      </c>
      <c r="W585" s="22">
        <f t="shared" si="107"/>
        <v>3.4767394994623668E-3</v>
      </c>
      <c r="X585" s="23">
        <v>3.5939319818453219E-2</v>
      </c>
      <c r="Y585" s="23">
        <f t="shared" si="108"/>
        <v>4.2523350843574947E-2</v>
      </c>
      <c r="Z585" s="22">
        <f t="shared" si="109"/>
        <v>3.4759604249321452E-3</v>
      </c>
      <c r="AA585" s="33"/>
      <c r="AB585" s="50">
        <f t="shared" si="105"/>
        <v>572</v>
      </c>
      <c r="AC585" s="48">
        <f t="shared" si="100"/>
        <v>0.2944231894991296</v>
      </c>
      <c r="AE585" s="48">
        <f t="shared" si="106"/>
        <v>0.99799740461544062</v>
      </c>
      <c r="AF585" s="48">
        <f t="shared" si="110"/>
        <v>0.29442318949913054</v>
      </c>
      <c r="AH585" s="48">
        <f t="shared" si="111"/>
        <v>9.4368957093138306E-16</v>
      </c>
    </row>
    <row r="586" spans="4:34" ht="13.9" customHeight="1">
      <c r="D586" s="8"/>
      <c r="E586" s="9"/>
      <c r="F586" s="18"/>
      <c r="G586" s="18"/>
      <c r="H586" s="18"/>
      <c r="J586" s="40"/>
      <c r="K586" s="40"/>
      <c r="L586" s="40"/>
      <c r="M586" s="38"/>
      <c r="O586" s="12">
        <f t="shared" si="101"/>
        <v>47.75</v>
      </c>
      <c r="P586" s="13">
        <v>573</v>
      </c>
      <c r="Q586" s="21">
        <v>2.5980830887845308E-2</v>
      </c>
      <c r="R586" s="18">
        <f t="shared" si="102"/>
        <v>2.4372514131771883E-2</v>
      </c>
      <c r="S586" s="21">
        <v>3.3932251947855763E-2</v>
      </c>
      <c r="T586" s="18">
        <f t="shared" si="103"/>
        <v>4.2494824343858761E-2</v>
      </c>
      <c r="U586" s="23">
        <v>3.6456708235006019E-2</v>
      </c>
      <c r="V586" s="23">
        <f t="shared" si="104"/>
        <v>4.2537760433165817E-2</v>
      </c>
      <c r="W586" s="22">
        <f t="shared" si="107"/>
        <v>3.4771337402406122E-3</v>
      </c>
      <c r="X586" s="23">
        <v>3.5950773976844541E-2</v>
      </c>
      <c r="Y586" s="23">
        <f t="shared" si="108"/>
        <v>4.2528378807991318E-2</v>
      </c>
      <c r="Z586" s="22">
        <f t="shared" si="109"/>
        <v>3.4763680438982814E-3</v>
      </c>
      <c r="AA586" s="33"/>
      <c r="AB586" s="50">
        <f t="shared" si="105"/>
        <v>573</v>
      </c>
      <c r="AC586" s="48">
        <f t="shared" si="100"/>
        <v>0.29383327357767841</v>
      </c>
      <c r="AE586" s="48">
        <f t="shared" si="106"/>
        <v>0.99799636732943864</v>
      </c>
      <c r="AF586" s="48">
        <f t="shared" si="110"/>
        <v>0.29383327357767919</v>
      </c>
      <c r="AH586" s="48">
        <f t="shared" si="111"/>
        <v>7.7715611723760958E-16</v>
      </c>
    </row>
    <row r="587" spans="4:34" ht="13.9" customHeight="1">
      <c r="D587" s="8"/>
      <c r="E587" s="9"/>
      <c r="F587" s="18"/>
      <c r="G587" s="18"/>
      <c r="H587" s="18"/>
      <c r="J587" s="40"/>
      <c r="K587" s="40"/>
      <c r="L587" s="40"/>
      <c r="M587" s="38"/>
      <c r="O587" s="12">
        <f t="shared" si="101"/>
        <v>47.833333333333336</v>
      </c>
      <c r="P587" s="13">
        <v>574</v>
      </c>
      <c r="Q587" s="21">
        <v>2.5978026747661254E-2</v>
      </c>
      <c r="R587" s="18">
        <f t="shared" si="102"/>
        <v>2.4385414086399049E-2</v>
      </c>
      <c r="S587" s="21">
        <v>3.3947107997459591E-2</v>
      </c>
      <c r="T587" s="18">
        <f t="shared" si="103"/>
        <v>4.2500388301485614E-2</v>
      </c>
      <c r="U587" s="23">
        <v>3.6467271498645593E-2</v>
      </c>
      <c r="V587" s="23">
        <f t="shared" si="104"/>
        <v>4.2542573283789409E-2</v>
      </c>
      <c r="W587" s="22">
        <f t="shared" si="107"/>
        <v>3.477523860617282E-3</v>
      </c>
      <c r="X587" s="23">
        <v>3.5962197055631862E-2</v>
      </c>
      <c r="Y587" s="23">
        <f t="shared" si="108"/>
        <v>4.2533353559874421E-2</v>
      </c>
      <c r="Z587" s="22">
        <f t="shared" si="109"/>
        <v>3.4767713468004668E-3</v>
      </c>
      <c r="AA587" s="33"/>
      <c r="AB587" s="50">
        <f t="shared" si="105"/>
        <v>574</v>
      </c>
      <c r="AC587" s="48">
        <f t="shared" si="100"/>
        <v>0.29324423337972849</v>
      </c>
      <c r="AE587" s="48">
        <f t="shared" si="106"/>
        <v>0.99799532506724631</v>
      </c>
      <c r="AF587" s="48">
        <f t="shared" si="110"/>
        <v>0.29324423337972905</v>
      </c>
      <c r="AH587" s="48">
        <f t="shared" si="111"/>
        <v>5.5511151231257827E-16</v>
      </c>
    </row>
    <row r="588" spans="4:34" ht="13.9" customHeight="1">
      <c r="D588" s="8"/>
      <c r="E588" s="9"/>
      <c r="F588" s="18"/>
      <c r="G588" s="18"/>
      <c r="H588" s="18"/>
      <c r="J588" s="40"/>
      <c r="K588" s="40"/>
      <c r="L588" s="40"/>
      <c r="M588" s="38"/>
      <c r="O588" s="12">
        <f t="shared" si="101"/>
        <v>47.916666666666664</v>
      </c>
      <c r="P588" s="13">
        <v>575</v>
      </c>
      <c r="Q588" s="21">
        <v>2.597525483829588E-2</v>
      </c>
      <c r="R588" s="18">
        <f t="shared" si="102"/>
        <v>2.4398377240635316E-2</v>
      </c>
      <c r="S588" s="21">
        <v>3.3961922183413984E-2</v>
      </c>
      <c r="T588" s="18">
        <f t="shared" si="103"/>
        <v>4.2505890774347854E-2</v>
      </c>
      <c r="U588" s="23">
        <v>3.6477806449097816E-2</v>
      </c>
      <c r="V588" s="23">
        <f t="shared" si="104"/>
        <v>4.2547335861001123E-2</v>
      </c>
      <c r="W588" s="22">
        <f t="shared" si="107"/>
        <v>3.4779099039650152E-3</v>
      </c>
      <c r="X588" s="23">
        <v>3.5973589124598249E-2</v>
      </c>
      <c r="Y588" s="23">
        <f t="shared" si="108"/>
        <v>4.2538275666387015E-2</v>
      </c>
      <c r="Z588" s="22">
        <f t="shared" si="109"/>
        <v>3.4771703796663278E-3</v>
      </c>
      <c r="AA588" s="33"/>
      <c r="AB588" s="50">
        <f t="shared" si="105"/>
        <v>575</v>
      </c>
      <c r="AC588" s="48">
        <f t="shared" si="100"/>
        <v>0.29265606689876522</v>
      </c>
      <c r="AE588" s="48">
        <f t="shared" si="106"/>
        <v>0.99799427775890059</v>
      </c>
      <c r="AF588" s="48">
        <f t="shared" si="110"/>
        <v>0.29265606689876517</v>
      </c>
      <c r="AH588" s="48">
        <f t="shared" si="111"/>
        <v>0</v>
      </c>
    </row>
    <row r="589" spans="4:34" ht="13.9" customHeight="1">
      <c r="D589" s="8"/>
      <c r="E589" s="9"/>
      <c r="F589" s="18"/>
      <c r="G589" s="18"/>
      <c r="H589" s="18"/>
      <c r="J589" s="40"/>
      <c r="K589" s="40"/>
      <c r="L589" s="40"/>
      <c r="M589" s="38"/>
      <c r="O589" s="12">
        <f t="shared" si="101"/>
        <v>48</v>
      </c>
      <c r="P589" s="13">
        <v>576</v>
      </c>
      <c r="Q589" s="21">
        <v>2.5972515101267302E-2</v>
      </c>
      <c r="R589" s="18">
        <f t="shared" si="102"/>
        <v>2.441140400205466E-2</v>
      </c>
      <c r="S589" s="21">
        <v>3.3976694617145808E-2</v>
      </c>
      <c r="T589" s="18">
        <f t="shared" si="103"/>
        <v>4.2511332445945405E-2</v>
      </c>
      <c r="U589" s="23">
        <v>3.6488313146712414E-2</v>
      </c>
      <c r="V589" s="23">
        <f t="shared" si="104"/>
        <v>4.2552048692487077E-2</v>
      </c>
      <c r="W589" s="22">
        <f t="shared" si="107"/>
        <v>3.4782919132263501E-3</v>
      </c>
      <c r="X589" s="23">
        <v>3.5984950254020376E-2</v>
      </c>
      <c r="Y589" s="23">
        <f t="shared" si="108"/>
        <v>4.2543145687681028E-2</v>
      </c>
      <c r="Z589" s="22">
        <f t="shared" si="109"/>
        <v>3.4775651880443181E-3</v>
      </c>
      <c r="AA589" s="33"/>
      <c r="AB589" s="50">
        <f t="shared" si="105"/>
        <v>576</v>
      </c>
      <c r="AC589" s="48">
        <f t="shared" ref="AC589:AC652" si="112">1/(1+Q589)^(P589/12)</f>
        <v>0.29206877211785032</v>
      </c>
      <c r="AE589" s="48">
        <f t="shared" si="106"/>
        <v>0.99799322533396273</v>
      </c>
      <c r="AF589" s="48">
        <f t="shared" si="110"/>
        <v>0.29206877211785059</v>
      </c>
      <c r="AH589" s="48">
        <f t="shared" si="111"/>
        <v>0</v>
      </c>
    </row>
    <row r="590" spans="4:34" ht="13.9" customHeight="1">
      <c r="D590" s="8"/>
      <c r="E590" s="9"/>
      <c r="F590" s="18"/>
      <c r="G590" s="18"/>
      <c r="H590" s="18"/>
      <c r="J590" s="40"/>
      <c r="K590" s="40"/>
      <c r="L590" s="40"/>
      <c r="M590" s="38"/>
      <c r="O590" s="12">
        <f t="shared" ref="O590:O653" si="113">P590/12</f>
        <v>48.083333333333336</v>
      </c>
      <c r="P590" s="13">
        <v>577</v>
      </c>
      <c r="Q590" s="21">
        <v>2.5969807479203855E-2</v>
      </c>
      <c r="R590" s="18">
        <f t="shared" ref="R590:R653" si="114">(1+Q591)^P591/(1+Q590)^P590-1</f>
        <v>2.4424493386979274E-2</v>
      </c>
      <c r="S590" s="21">
        <v>3.3991425410485387E-2</v>
      </c>
      <c r="T590" s="18">
        <f t="shared" ref="T590:T653" si="115">(1+S591)^P591/(1+S590)^P590-1</f>
        <v>4.2516713993012267E-2</v>
      </c>
      <c r="U590" s="23">
        <v>3.6498791652330054E-2</v>
      </c>
      <c r="V590" s="23">
        <f t="shared" ref="V590:V653" si="116">(1+U591)^P591/(1+U590)^P590-1</f>
        <v>4.2556712301752952E-2</v>
      </c>
      <c r="W590" s="22">
        <f t="shared" si="107"/>
        <v>3.4786699307776114E-3</v>
      </c>
      <c r="X590" s="23">
        <v>3.5996280514652979E-2</v>
      </c>
      <c r="Y590" s="23">
        <f t="shared" si="108"/>
        <v>4.2547964179139752E-2</v>
      </c>
      <c r="Z590" s="22">
        <f t="shared" si="109"/>
        <v>3.4779558169195646E-3</v>
      </c>
      <c r="AA590" s="33"/>
      <c r="AB590" s="50">
        <f t="shared" ref="AB590:AB653" si="117">+P590</f>
        <v>577</v>
      </c>
      <c r="AC590" s="48">
        <f t="shared" si="112"/>
        <v>0.29148234702076486</v>
      </c>
      <c r="AE590" s="48">
        <f t="shared" ref="AE590:AE653" si="118">1/(1+R589)^(1/12)</f>
        <v>0.99799216775955402</v>
      </c>
      <c r="AF590" s="48">
        <f t="shared" si="110"/>
        <v>0.29148234702076492</v>
      </c>
      <c r="AH590" s="48">
        <f t="shared" si="111"/>
        <v>0</v>
      </c>
    </row>
    <row r="591" spans="4:34" ht="13.9" customHeight="1">
      <c r="D591" s="8"/>
      <c r="E591" s="9"/>
      <c r="F591" s="18"/>
      <c r="G591" s="18"/>
      <c r="H591" s="18"/>
      <c r="J591" s="40"/>
      <c r="K591" s="40"/>
      <c r="L591" s="40"/>
      <c r="M591" s="38"/>
      <c r="O591" s="12">
        <f t="shared" si="113"/>
        <v>48.166666666666664</v>
      </c>
      <c r="P591" s="13">
        <v>578</v>
      </c>
      <c r="Q591" s="21">
        <v>2.5967131913424479E-2</v>
      </c>
      <c r="R591" s="18">
        <f t="shared" si="114"/>
        <v>2.4437645815176934E-2</v>
      </c>
      <c r="S591" s="21">
        <v>3.4006114675650734E-2</v>
      </c>
      <c r="T591" s="18">
        <f t="shared" si="115"/>
        <v>4.2522036083929127E-2</v>
      </c>
      <c r="U591" s="23">
        <v>3.6509242027271016E-2</v>
      </c>
      <c r="V591" s="23">
        <f t="shared" si="116"/>
        <v>4.2561327205631994E-2</v>
      </c>
      <c r="W591" s="22">
        <f t="shared" ref="W591:W654" si="119">(1+V590)^(1/12)-1</f>
        <v>3.4790439986585042E-3</v>
      </c>
      <c r="X591" s="23">
        <v>3.6007579977715531E-2</v>
      </c>
      <c r="Y591" s="23">
        <f t="shared" ref="Y591:Y654" si="120">(1+X592)^P592/(1+X591)^P591-1</f>
        <v>4.2552731688596523E-2</v>
      </c>
      <c r="Z591" s="22">
        <f t="shared" ref="Z591:Z654" si="121">(1+Y590)^(1/12)-1</f>
        <v>3.4783423108930567E-3</v>
      </c>
      <c r="AA591" s="33"/>
      <c r="AB591" s="50">
        <f t="shared" si="117"/>
        <v>578</v>
      </c>
      <c r="AC591" s="48">
        <f t="shared" si="112"/>
        <v>0.29089678962498505</v>
      </c>
      <c r="AE591" s="48">
        <f t="shared" si="118"/>
        <v>0.99799110511574596</v>
      </c>
      <c r="AF591" s="48">
        <f t="shared" ref="AF591:AF654" si="122">+AF590*AE591</f>
        <v>0.29089678962498455</v>
      </c>
      <c r="AH591" s="48">
        <f t="shared" ref="AH591:AH654" si="123">+AF591-AC591</f>
        <v>-4.9960036108132044E-16</v>
      </c>
    </row>
    <row r="592" spans="4:34" ht="13.9" customHeight="1">
      <c r="D592" s="8"/>
      <c r="E592" s="9"/>
      <c r="F592" s="18"/>
      <c r="G592" s="18"/>
      <c r="H592" s="18"/>
      <c r="J592" s="40"/>
      <c r="K592" s="40"/>
      <c r="L592" s="40"/>
      <c r="M592" s="38"/>
      <c r="O592" s="12">
        <f t="shared" si="113"/>
        <v>48.25</v>
      </c>
      <c r="P592" s="13">
        <v>579</v>
      </c>
      <c r="Q592" s="21">
        <v>2.5964488346377212E-2</v>
      </c>
      <c r="R592" s="18">
        <f t="shared" si="114"/>
        <v>2.4450862176752741E-2</v>
      </c>
      <c r="S592" s="21">
        <v>3.4020762525230452E-2</v>
      </c>
      <c r="T592" s="18">
        <f t="shared" si="115"/>
        <v>4.2527299379531591E-2</v>
      </c>
      <c r="U592" s="23">
        <v>3.6519664333319213E-2</v>
      </c>
      <c r="V592" s="23">
        <f t="shared" si="116"/>
        <v>4.256589391632204E-2</v>
      </c>
      <c r="W592" s="22">
        <f t="shared" si="119"/>
        <v>3.4794141583729399E-3</v>
      </c>
      <c r="X592" s="23">
        <v>3.6018848714876261E-2</v>
      </c>
      <c r="Y592" s="23">
        <f t="shared" si="120"/>
        <v>4.2557448759763306E-2</v>
      </c>
      <c r="Z592" s="22">
        <f t="shared" si="121"/>
        <v>3.4787247139593802E-3</v>
      </c>
      <c r="AA592" s="33"/>
      <c r="AB592" s="50">
        <f t="shared" si="117"/>
        <v>579</v>
      </c>
      <c r="AC592" s="48">
        <f t="shared" si="112"/>
        <v>0.29031209794826485</v>
      </c>
      <c r="AE592" s="48">
        <f t="shared" si="118"/>
        <v>0.99799003736867165</v>
      </c>
      <c r="AF592" s="48">
        <f t="shared" si="122"/>
        <v>0.29031209794826496</v>
      </c>
      <c r="AH592" s="48">
        <f t="shared" si="123"/>
        <v>0</v>
      </c>
    </row>
    <row r="593" spans="4:34" ht="13.9" customHeight="1">
      <c r="D593" s="8"/>
      <c r="E593" s="9"/>
      <c r="F593" s="18"/>
      <c r="G593" s="18"/>
      <c r="H593" s="18"/>
      <c r="J593" s="40"/>
      <c r="K593" s="40"/>
      <c r="L593" s="40"/>
      <c r="M593" s="38"/>
      <c r="O593" s="12">
        <f t="shared" si="113"/>
        <v>48.333333333333336</v>
      </c>
      <c r="P593" s="13">
        <v>580</v>
      </c>
      <c r="Q593" s="21">
        <v>2.5961876722441435E-2</v>
      </c>
      <c r="R593" s="18">
        <f t="shared" si="114"/>
        <v>2.446414336750391E-2</v>
      </c>
      <c r="S593" s="21">
        <v>3.4035369072167754E-2</v>
      </c>
      <c r="T593" s="18">
        <f t="shared" si="115"/>
        <v>4.2532504533869586E-2</v>
      </c>
      <c r="U593" s="23">
        <v>3.6530058632710638E-2</v>
      </c>
      <c r="V593" s="23">
        <f t="shared" si="116"/>
        <v>4.2570412940213354E-2</v>
      </c>
      <c r="W593" s="22">
        <f t="shared" si="119"/>
        <v>3.4797804510511288E-3</v>
      </c>
      <c r="X593" s="23">
        <v>3.6030086798240601E-2</v>
      </c>
      <c r="Y593" s="23">
        <f t="shared" si="120"/>
        <v>4.2562115928691302E-2</v>
      </c>
      <c r="Z593" s="22">
        <f t="shared" si="121"/>
        <v>3.4791030697809422E-3</v>
      </c>
      <c r="AA593" s="33"/>
      <c r="AB593" s="50">
        <f t="shared" si="117"/>
        <v>580</v>
      </c>
      <c r="AC593" s="48">
        <f t="shared" si="112"/>
        <v>0.28972826999761697</v>
      </c>
      <c r="AE593" s="48">
        <f t="shared" si="118"/>
        <v>0.99798896444628449</v>
      </c>
      <c r="AF593" s="48">
        <f t="shared" si="122"/>
        <v>0.28972826999761725</v>
      </c>
      <c r="AH593" s="48">
        <f t="shared" si="123"/>
        <v>0</v>
      </c>
    </row>
    <row r="594" spans="4:34" ht="13.9" customHeight="1">
      <c r="D594" s="8"/>
      <c r="E594" s="9"/>
      <c r="F594" s="18"/>
      <c r="G594" s="18"/>
      <c r="H594" s="18"/>
      <c r="J594" s="40"/>
      <c r="K594" s="40"/>
      <c r="L594" s="40"/>
      <c r="M594" s="38"/>
      <c r="O594" s="12">
        <f t="shared" si="113"/>
        <v>48.416666666666664</v>
      </c>
      <c r="P594" s="13">
        <v>581</v>
      </c>
      <c r="Q594" s="21">
        <v>2.595929698792121E-2</v>
      </c>
      <c r="R594" s="18">
        <f t="shared" si="114"/>
        <v>2.4477490287166059E-2</v>
      </c>
      <c r="S594" s="21">
        <v>3.4049934429745132E-2</v>
      </c>
      <c r="T594" s="18">
        <f t="shared" si="115"/>
        <v>4.2537652192651043E-2</v>
      </c>
      <c r="U594" s="23">
        <v>3.6540424988118936E-2</v>
      </c>
      <c r="V594" s="23">
        <f t="shared" si="116"/>
        <v>4.2574884777962341E-2</v>
      </c>
      <c r="W594" s="22">
        <f t="shared" si="119"/>
        <v>3.4801429173565435E-3</v>
      </c>
      <c r="X594" s="23">
        <v>3.6041294300334759E-2</v>
      </c>
      <c r="Y594" s="23">
        <f t="shared" si="120"/>
        <v>4.2566733726899564E-2</v>
      </c>
      <c r="Z594" s="22">
        <f t="shared" si="121"/>
        <v>3.4794774214041979E-3</v>
      </c>
      <c r="AA594" s="33"/>
      <c r="AB594" s="50">
        <f t="shared" si="117"/>
        <v>581</v>
      </c>
      <c r="AC594" s="48">
        <f t="shared" si="112"/>
        <v>0.28914530376934822</v>
      </c>
      <c r="AE594" s="48">
        <f t="shared" si="118"/>
        <v>0.99798788627608137</v>
      </c>
      <c r="AF594" s="48">
        <f t="shared" si="122"/>
        <v>0.28914530376934783</v>
      </c>
      <c r="AH594" s="48">
        <f t="shared" si="123"/>
        <v>0</v>
      </c>
    </row>
    <row r="595" spans="4:34" ht="13.9" customHeight="1">
      <c r="D595" s="8"/>
      <c r="E595" s="9"/>
      <c r="F595" s="18"/>
      <c r="G595" s="18"/>
      <c r="H595" s="18"/>
      <c r="J595" s="40"/>
      <c r="K595" s="40"/>
      <c r="L595" s="40"/>
      <c r="M595" s="38"/>
      <c r="O595" s="12">
        <f t="shared" si="113"/>
        <v>48.5</v>
      </c>
      <c r="P595" s="13">
        <v>582</v>
      </c>
      <c r="Q595" s="21">
        <v>2.5956749091035514E-2</v>
      </c>
      <c r="R595" s="18">
        <f t="shared" si="114"/>
        <v>2.4490903382422102E-2</v>
      </c>
      <c r="S595" s="21">
        <v>3.4064458711568379E-2</v>
      </c>
      <c r="T595" s="18">
        <f t="shared" si="115"/>
        <v>4.2542742995532512E-2</v>
      </c>
      <c r="U595" s="23">
        <v>3.6550763462642966E-2</v>
      </c>
      <c r="V595" s="23">
        <f t="shared" si="116"/>
        <v>4.2579309925504738E-2</v>
      </c>
      <c r="W595" s="22">
        <f t="shared" si="119"/>
        <v>3.480501597491914E-3</v>
      </c>
      <c r="X595" s="23">
        <v>3.6052471294093946E-2</v>
      </c>
      <c r="Y595" s="23">
        <f t="shared" si="120"/>
        <v>4.2571302679982548E-2</v>
      </c>
      <c r="Z595" s="22">
        <f t="shared" si="121"/>
        <v>3.4798478115114495E-3</v>
      </c>
      <c r="AA595" s="33"/>
      <c r="AB595" s="50">
        <f t="shared" si="117"/>
        <v>582</v>
      </c>
      <c r="AC595" s="48">
        <f t="shared" si="112"/>
        <v>0.28856319724913893</v>
      </c>
      <c r="AE595" s="48">
        <f t="shared" si="118"/>
        <v>0.99798680278524465</v>
      </c>
      <c r="AF595" s="48">
        <f t="shared" si="122"/>
        <v>0.28856319724913981</v>
      </c>
      <c r="AH595" s="48">
        <f t="shared" si="123"/>
        <v>8.8817841970012523E-16</v>
      </c>
    </row>
    <row r="596" spans="4:34" ht="13.9" customHeight="1">
      <c r="D596" s="8"/>
      <c r="E596" s="9"/>
      <c r="F596" s="18"/>
      <c r="G596" s="18"/>
      <c r="H596" s="18"/>
      <c r="J596" s="40"/>
      <c r="K596" s="40"/>
      <c r="L596" s="40"/>
      <c r="M596" s="38"/>
      <c r="O596" s="12">
        <f t="shared" si="113"/>
        <v>48.583333333333336</v>
      </c>
      <c r="P596" s="13">
        <v>583</v>
      </c>
      <c r="Q596" s="21">
        <v>2.5954232981122871E-2</v>
      </c>
      <c r="R596" s="18">
        <f t="shared" si="114"/>
        <v>2.4504381725880542E-2</v>
      </c>
      <c r="S596" s="21">
        <v>3.4078942031552373E-2</v>
      </c>
      <c r="T596" s="18">
        <f t="shared" si="115"/>
        <v>4.2547777573755052E-2</v>
      </c>
      <c r="U596" s="23">
        <v>3.6561074119794146E-2</v>
      </c>
      <c r="V596" s="23">
        <f t="shared" si="116"/>
        <v>4.2583688873151448E-2</v>
      </c>
      <c r="W596" s="22">
        <f t="shared" si="119"/>
        <v>3.4808565312798301E-3</v>
      </c>
      <c r="X596" s="23">
        <v>3.6063617852849283E-2</v>
      </c>
      <c r="Y596" s="23">
        <f t="shared" si="120"/>
        <v>4.2575823307262839E-2</v>
      </c>
      <c r="Z596" s="22">
        <f t="shared" si="121"/>
        <v>3.4802142823078253E-3</v>
      </c>
      <c r="AA596" s="33"/>
      <c r="AB596" s="50">
        <f t="shared" si="117"/>
        <v>583</v>
      </c>
      <c r="AC596" s="48">
        <f t="shared" si="112"/>
        <v>0.28798194842283903</v>
      </c>
      <c r="AE596" s="48">
        <f t="shared" si="118"/>
        <v>0.99798571393773894</v>
      </c>
      <c r="AF596" s="48">
        <f t="shared" si="122"/>
        <v>0.28798194842283936</v>
      </c>
      <c r="AH596" s="48">
        <f t="shared" si="123"/>
        <v>0</v>
      </c>
    </row>
    <row r="597" spans="4:34" ht="13.9" customHeight="1">
      <c r="D597" s="8"/>
      <c r="E597" s="9"/>
      <c r="F597" s="18"/>
      <c r="G597" s="18"/>
      <c r="H597" s="18"/>
      <c r="J597" s="40"/>
      <c r="K597" s="40"/>
      <c r="L597" s="40"/>
      <c r="M597" s="38"/>
      <c r="O597" s="12">
        <f t="shared" si="113"/>
        <v>48.666666666666664</v>
      </c>
      <c r="P597" s="13">
        <v>584</v>
      </c>
      <c r="Q597" s="21">
        <v>2.5951748606276359E-2</v>
      </c>
      <c r="R597" s="18">
        <f t="shared" si="114"/>
        <v>2.4517925775854099E-2</v>
      </c>
      <c r="S597" s="21">
        <v>3.4093384503905089E-2</v>
      </c>
      <c r="T597" s="18">
        <f t="shared" si="115"/>
        <v>4.2552756552381998E-2</v>
      </c>
      <c r="U597" s="23">
        <v>3.6571357023483575E-2</v>
      </c>
      <c r="V597" s="23">
        <f t="shared" si="116"/>
        <v>4.2588022106015977E-2</v>
      </c>
      <c r="W597" s="22">
        <f t="shared" si="119"/>
        <v>3.4812077580907985E-3</v>
      </c>
      <c r="X597" s="23">
        <v>3.6074734050313362E-2</v>
      </c>
      <c r="Y597" s="23">
        <f t="shared" si="120"/>
        <v>4.2580296123509775E-2</v>
      </c>
      <c r="Z597" s="22">
        <f t="shared" si="121"/>
        <v>3.4805768754948563E-3</v>
      </c>
      <c r="AA597" s="33"/>
      <c r="AB597" s="50">
        <f t="shared" si="117"/>
        <v>584</v>
      </c>
      <c r="AC597" s="48">
        <f t="shared" si="112"/>
        <v>0.28740155530864331</v>
      </c>
      <c r="AE597" s="48">
        <f t="shared" si="118"/>
        <v>0.99798461980907482</v>
      </c>
      <c r="AF597" s="48">
        <f t="shared" si="122"/>
        <v>0.28740155530864392</v>
      </c>
      <c r="AH597" s="48">
        <f t="shared" si="123"/>
        <v>6.106226635438361E-16</v>
      </c>
    </row>
    <row r="598" spans="4:34" ht="13.9" customHeight="1">
      <c r="D598" s="8"/>
      <c r="E598" s="9"/>
      <c r="F598" s="18"/>
      <c r="G598" s="18"/>
      <c r="H598" s="18"/>
      <c r="J598" s="40"/>
      <c r="K598" s="40"/>
      <c r="L598" s="40"/>
      <c r="M598" s="38"/>
      <c r="O598" s="12">
        <f t="shared" si="113"/>
        <v>48.75</v>
      </c>
      <c r="P598" s="13">
        <v>585</v>
      </c>
      <c r="Q598" s="21">
        <v>2.5949295915725701E-2</v>
      </c>
      <c r="R598" s="18">
        <f t="shared" si="114"/>
        <v>2.453153645369599E-2</v>
      </c>
      <c r="S598" s="21">
        <v>3.410778624311428E-2</v>
      </c>
      <c r="T598" s="18">
        <f t="shared" si="115"/>
        <v>4.2557680548886756E-2</v>
      </c>
      <c r="U598" s="23">
        <v>3.6581612238010264E-2</v>
      </c>
      <c r="V598" s="23">
        <f t="shared" si="116"/>
        <v>4.2592310104289544E-2</v>
      </c>
      <c r="W598" s="22">
        <f t="shared" si="119"/>
        <v>3.4815553168776603E-3</v>
      </c>
      <c r="X598" s="23">
        <v>3.6085819960569365E-2</v>
      </c>
      <c r="Y598" s="23">
        <f t="shared" si="120"/>
        <v>4.2584721636667489E-2</v>
      </c>
      <c r="Z598" s="22">
        <f t="shared" si="121"/>
        <v>3.4809356324074781E-3</v>
      </c>
      <c r="AA598" s="33"/>
      <c r="AB598" s="50">
        <f t="shared" si="117"/>
        <v>585</v>
      </c>
      <c r="AC598" s="48">
        <f t="shared" si="112"/>
        <v>0.28682201592451284</v>
      </c>
      <c r="AE598" s="48">
        <f t="shared" si="118"/>
        <v>0.99798352036227445</v>
      </c>
      <c r="AF598" s="48">
        <f t="shared" si="122"/>
        <v>0.2868220159245134</v>
      </c>
      <c r="AH598" s="48">
        <f t="shared" si="123"/>
        <v>5.5511151231257827E-16</v>
      </c>
    </row>
    <row r="599" spans="4:34" ht="13.9" customHeight="1">
      <c r="D599" s="8"/>
      <c r="E599" s="9"/>
      <c r="F599" s="18"/>
      <c r="G599" s="18"/>
      <c r="H599" s="18"/>
      <c r="J599" s="40"/>
      <c r="K599" s="40"/>
      <c r="L599" s="40"/>
      <c r="M599" s="38"/>
      <c r="O599" s="12">
        <f t="shared" si="113"/>
        <v>48.833333333333336</v>
      </c>
      <c r="P599" s="13">
        <v>586</v>
      </c>
      <c r="Q599" s="21">
        <v>2.5946874860619085E-2</v>
      </c>
      <c r="R599" s="18">
        <f t="shared" si="114"/>
        <v>2.4545214687581085E-2</v>
      </c>
      <c r="S599" s="21">
        <v>3.4122147363932154E-2</v>
      </c>
      <c r="T599" s="18">
        <f t="shared" si="115"/>
        <v>4.2562550174093161E-2</v>
      </c>
      <c r="U599" s="23">
        <v>3.6591839828048922E-2</v>
      </c>
      <c r="V599" s="23">
        <f t="shared" si="116"/>
        <v>4.2596553342704402E-2</v>
      </c>
      <c r="W599" s="22">
        <f t="shared" si="119"/>
        <v>3.4818992461971288E-3</v>
      </c>
      <c r="X599" s="23">
        <v>3.6096875658056859E-2</v>
      </c>
      <c r="Y599" s="23">
        <f t="shared" si="120"/>
        <v>4.2589100350431508E-2</v>
      </c>
      <c r="Z599" s="22">
        <f t="shared" si="121"/>
        <v>3.4812905938319538E-3</v>
      </c>
      <c r="AA599" s="33"/>
      <c r="AB599" s="50">
        <f t="shared" si="117"/>
        <v>586</v>
      </c>
      <c r="AC599" s="48">
        <f t="shared" si="112"/>
        <v>0.28624332827745858</v>
      </c>
      <c r="AE599" s="48">
        <f t="shared" si="118"/>
        <v>0.99798241552277689</v>
      </c>
      <c r="AF599" s="48">
        <f t="shared" si="122"/>
        <v>0.28624332827745824</v>
      </c>
      <c r="AH599" s="48">
        <f t="shared" si="123"/>
        <v>0</v>
      </c>
    </row>
    <row r="600" spans="4:34" ht="13.9" customHeight="1">
      <c r="D600" s="8"/>
      <c r="E600" s="9"/>
      <c r="F600" s="18"/>
      <c r="G600" s="18"/>
      <c r="H600" s="18"/>
      <c r="J600" s="40"/>
      <c r="K600" s="40"/>
      <c r="L600" s="40"/>
      <c r="M600" s="38"/>
      <c r="O600" s="12">
        <f t="shared" si="113"/>
        <v>48.916666666666664</v>
      </c>
      <c r="P600" s="13">
        <v>587</v>
      </c>
      <c r="Q600" s="21">
        <v>2.5944485394018502E-2</v>
      </c>
      <c r="R600" s="18">
        <f t="shared" si="114"/>
        <v>2.4558961409858027E-2</v>
      </c>
      <c r="S600" s="21">
        <v>3.4136467981362273E-2</v>
      </c>
      <c r="T600" s="18">
        <f t="shared" si="115"/>
        <v>4.2567366031912579E-2</v>
      </c>
      <c r="U600" s="23">
        <v>3.6602039858637747E-2</v>
      </c>
      <c r="V600" s="23">
        <f t="shared" si="116"/>
        <v>4.2600752291432675E-2</v>
      </c>
      <c r="W600" s="22">
        <f t="shared" si="119"/>
        <v>3.4822395841667131E-3</v>
      </c>
      <c r="X600" s="23">
        <v>3.6107901217560467E-2</v>
      </c>
      <c r="Y600" s="23">
        <f t="shared" si="120"/>
        <v>4.2593432762130679E-2</v>
      </c>
      <c r="Z600" s="22">
        <f t="shared" si="121"/>
        <v>3.4816418002128202E-3</v>
      </c>
      <c r="AA600" s="33"/>
      <c r="AB600" s="50">
        <f t="shared" si="117"/>
        <v>587</v>
      </c>
      <c r="AC600" s="48">
        <f t="shared" si="112"/>
        <v>0.28566549036355793</v>
      </c>
      <c r="AE600" s="48">
        <f t="shared" si="118"/>
        <v>0.99798130521547312</v>
      </c>
      <c r="AF600" s="48">
        <f t="shared" si="122"/>
        <v>0.28566549036355893</v>
      </c>
      <c r="AH600" s="48">
        <f t="shared" si="123"/>
        <v>9.9920072216264089E-16</v>
      </c>
    </row>
    <row r="601" spans="4:34" ht="13.9" customHeight="1">
      <c r="D601" s="8"/>
      <c r="E601" s="9"/>
      <c r="F601" s="18"/>
      <c r="G601" s="18"/>
      <c r="H601" s="18"/>
      <c r="J601" s="40"/>
      <c r="K601" s="40"/>
      <c r="L601" s="40"/>
      <c r="M601" s="38"/>
      <c r="O601" s="12">
        <f t="shared" si="113"/>
        <v>49</v>
      </c>
      <c r="P601" s="13">
        <v>588</v>
      </c>
      <c r="Q601" s="21">
        <v>2.5942127470889753E-2</v>
      </c>
      <c r="R601" s="18">
        <f t="shared" si="114"/>
        <v>2.4572777105260402E-2</v>
      </c>
      <c r="S601" s="21">
        <v>3.4150748210645343E-2</v>
      </c>
      <c r="T601" s="18">
        <f t="shared" si="115"/>
        <v>4.2572128719216007E-2</v>
      </c>
      <c r="U601" s="23">
        <v>3.6612212395167765E-2</v>
      </c>
      <c r="V601" s="23">
        <f t="shared" si="116"/>
        <v>4.2604907415004778E-2</v>
      </c>
      <c r="W601" s="22">
        <f t="shared" si="119"/>
        <v>3.4825763685379929E-3</v>
      </c>
      <c r="X601" s="23">
        <v>3.6118896714197435E-2</v>
      </c>
      <c r="Y601" s="23">
        <f t="shared" si="120"/>
        <v>4.2597719364608766E-2</v>
      </c>
      <c r="Z601" s="22">
        <f t="shared" si="121"/>
        <v>3.481989291482579E-3</v>
      </c>
      <c r="AA601" s="33"/>
      <c r="AB601" s="50">
        <f t="shared" si="117"/>
        <v>588</v>
      </c>
      <c r="AC601" s="48">
        <f t="shared" si="112"/>
        <v>0.28508850016804693</v>
      </c>
      <c r="AE601" s="48">
        <f t="shared" si="118"/>
        <v>0.99798018936491983</v>
      </c>
      <c r="AF601" s="48">
        <f t="shared" si="122"/>
        <v>0.28508850016804721</v>
      </c>
      <c r="AH601" s="48">
        <f t="shared" si="123"/>
        <v>0</v>
      </c>
    </row>
    <row r="602" spans="4:34" ht="13.9" customHeight="1">
      <c r="D602" s="8"/>
      <c r="E602" s="9"/>
      <c r="F602" s="18"/>
      <c r="G602" s="18"/>
      <c r="H602" s="18"/>
      <c r="J602" s="40"/>
      <c r="K602" s="40"/>
      <c r="L602" s="40"/>
      <c r="M602" s="38"/>
      <c r="O602" s="12">
        <f t="shared" si="113"/>
        <v>49.083333333333336</v>
      </c>
      <c r="P602" s="13">
        <v>589</v>
      </c>
      <c r="Q602" s="21">
        <v>2.5939801047326183E-2</v>
      </c>
      <c r="R602" s="18">
        <f t="shared" si="114"/>
        <v>2.4586660905033364E-2</v>
      </c>
      <c r="S602" s="21">
        <v>3.4164988167245891E-2</v>
      </c>
      <c r="T602" s="18">
        <f t="shared" si="115"/>
        <v>4.2576838826759111E-2</v>
      </c>
      <c r="U602" s="23">
        <v>3.6622357503370173E-2</v>
      </c>
      <c r="V602" s="23">
        <f t="shared" si="116"/>
        <v>4.2609019173642793E-2</v>
      </c>
      <c r="W602" s="22">
        <f t="shared" si="119"/>
        <v>3.4829096366084666E-3</v>
      </c>
      <c r="X602" s="23">
        <v>3.6129862223406306E-2</v>
      </c>
      <c r="Y602" s="23">
        <f t="shared" si="120"/>
        <v>4.260196064441768E-2</v>
      </c>
      <c r="Z602" s="22">
        <f t="shared" si="121"/>
        <v>3.4823331072133534E-3</v>
      </c>
      <c r="AA602" s="33"/>
      <c r="AB602" s="50">
        <f t="shared" si="117"/>
        <v>589</v>
      </c>
      <c r="AC602" s="48">
        <f t="shared" si="112"/>
        <v>0.28451235567584371</v>
      </c>
      <c r="AE602" s="48">
        <f t="shared" si="118"/>
        <v>0.99797906793201341</v>
      </c>
      <c r="AF602" s="48">
        <f t="shared" si="122"/>
        <v>0.28451235567584338</v>
      </c>
      <c r="AH602" s="48">
        <f t="shared" si="123"/>
        <v>0</v>
      </c>
    </row>
    <row r="603" spans="4:34" ht="13.9" customHeight="1">
      <c r="D603" s="8"/>
      <c r="E603" s="9"/>
      <c r="F603" s="18"/>
      <c r="G603" s="18"/>
      <c r="H603" s="18"/>
      <c r="J603" s="40"/>
      <c r="K603" s="40"/>
      <c r="L603" s="40"/>
      <c r="M603" s="38"/>
      <c r="O603" s="12">
        <f t="shared" si="113"/>
        <v>49.166666666666664</v>
      </c>
      <c r="P603" s="13">
        <v>590</v>
      </c>
      <c r="Q603" s="21">
        <v>2.5937506078241412E-2</v>
      </c>
      <c r="R603" s="18">
        <f t="shared" si="114"/>
        <v>2.4600613306815289E-2</v>
      </c>
      <c r="S603" s="21">
        <v>3.4179187966839608E-2</v>
      </c>
      <c r="T603" s="18">
        <f t="shared" si="115"/>
        <v>4.2581496937810215E-2</v>
      </c>
      <c r="U603" s="23">
        <v>3.6632475249306351E-2</v>
      </c>
      <c r="V603" s="23">
        <f t="shared" si="116"/>
        <v>4.2613088022407153E-2</v>
      </c>
      <c r="W603" s="22">
        <f t="shared" si="119"/>
        <v>3.4832394253292431E-3</v>
      </c>
      <c r="X603" s="23">
        <v>3.6140797820934489E-2</v>
      </c>
      <c r="Y603" s="23">
        <f t="shared" si="120"/>
        <v>4.2606157083967089E-2</v>
      </c>
      <c r="Z603" s="22">
        <f t="shared" si="121"/>
        <v>3.4826732864714494E-3</v>
      </c>
      <c r="AA603" s="33"/>
      <c r="AB603" s="50">
        <f t="shared" si="117"/>
        <v>590</v>
      </c>
      <c r="AC603" s="48">
        <f t="shared" si="112"/>
        <v>0.28393705490288468</v>
      </c>
      <c r="AE603" s="48">
        <f t="shared" si="118"/>
        <v>0.99797794098751458</v>
      </c>
      <c r="AF603" s="48">
        <f t="shared" si="122"/>
        <v>0.28393705490288557</v>
      </c>
      <c r="AH603" s="48">
        <f t="shared" si="123"/>
        <v>8.8817841970012523E-16</v>
      </c>
    </row>
    <row r="604" spans="4:34" ht="13.9" customHeight="1">
      <c r="D604" s="8"/>
      <c r="E604" s="9"/>
      <c r="F604" s="18"/>
      <c r="G604" s="18"/>
      <c r="H604" s="18"/>
      <c r="J604" s="40"/>
      <c r="K604" s="40"/>
      <c r="L604" s="40"/>
      <c r="M604" s="38"/>
      <c r="O604" s="12">
        <f t="shared" si="113"/>
        <v>49.25</v>
      </c>
      <c r="P604" s="13">
        <v>591</v>
      </c>
      <c r="Q604" s="21">
        <v>2.5935242519694146E-2</v>
      </c>
      <c r="R604" s="18">
        <f t="shared" si="114"/>
        <v>2.4614635265013618E-2</v>
      </c>
      <c r="S604" s="21">
        <v>3.4193347725299583E-2</v>
      </c>
      <c r="T604" s="18">
        <f t="shared" si="115"/>
        <v>4.2586103630008365E-2</v>
      </c>
      <c r="U604" s="23">
        <v>3.6642565699356089E-2</v>
      </c>
      <c r="V604" s="23">
        <f t="shared" si="116"/>
        <v>4.2617114411391599E-2</v>
      </c>
      <c r="W604" s="22">
        <f t="shared" si="119"/>
        <v>3.4835657712364299E-3</v>
      </c>
      <c r="X604" s="23">
        <v>3.6151703582827599E-2</v>
      </c>
      <c r="Y604" s="23">
        <f t="shared" si="120"/>
        <v>4.2610309159585746E-2</v>
      </c>
      <c r="Z604" s="22">
        <f t="shared" si="121"/>
        <v>3.4830098679894395E-3</v>
      </c>
      <c r="AA604" s="33"/>
      <c r="AB604" s="50">
        <f t="shared" si="117"/>
        <v>591</v>
      </c>
      <c r="AC604" s="48">
        <f t="shared" si="112"/>
        <v>0.283362595864393</v>
      </c>
      <c r="AE604" s="48">
        <f t="shared" si="118"/>
        <v>0.99797680849127446</v>
      </c>
      <c r="AF604" s="48">
        <f t="shared" si="122"/>
        <v>0.2833625958643935</v>
      </c>
      <c r="AH604" s="48">
        <f t="shared" si="123"/>
        <v>4.9960036108132044E-16</v>
      </c>
    </row>
    <row r="605" spans="4:34" ht="13.9" customHeight="1">
      <c r="D605" s="8"/>
      <c r="E605" s="9"/>
      <c r="F605" s="18"/>
      <c r="G605" s="18"/>
      <c r="H605" s="18"/>
      <c r="J605" s="40"/>
      <c r="K605" s="40"/>
      <c r="L605" s="40"/>
      <c r="M605" s="38"/>
      <c r="O605" s="12">
        <f t="shared" si="113"/>
        <v>49.333333333333336</v>
      </c>
      <c r="P605" s="13">
        <v>592</v>
      </c>
      <c r="Q605" s="21">
        <v>2.5933010329651784E-2</v>
      </c>
      <c r="R605" s="18">
        <f t="shared" si="114"/>
        <v>2.4628727741567324E-2</v>
      </c>
      <c r="S605" s="21">
        <v>3.4207467558684534E-2</v>
      </c>
      <c r="T605" s="18">
        <f t="shared" si="115"/>
        <v>4.2590659473919379E-2</v>
      </c>
      <c r="U605" s="23">
        <v>3.6652628920207153E-2</v>
      </c>
      <c r="V605" s="23">
        <f t="shared" si="116"/>
        <v>4.2621098786423506E-2</v>
      </c>
      <c r="W605" s="22">
        <f t="shared" si="119"/>
        <v>3.4838887104671201E-3</v>
      </c>
      <c r="X605" s="23">
        <v>3.6162579585417909E-2</v>
      </c>
      <c r="Y605" s="23">
        <f t="shared" si="120"/>
        <v>4.2614417342792033E-2</v>
      </c>
      <c r="Z605" s="22">
        <f t="shared" si="121"/>
        <v>3.4833428900120644E-3</v>
      </c>
      <c r="AA605" s="33"/>
      <c r="AB605" s="50">
        <f t="shared" si="117"/>
        <v>592</v>
      </c>
      <c r="AC605" s="48">
        <f t="shared" si="112"/>
        <v>0.28278897656443791</v>
      </c>
      <c r="AE605" s="48">
        <f t="shared" si="118"/>
        <v>0.99797567036607226</v>
      </c>
      <c r="AF605" s="48">
        <f t="shared" si="122"/>
        <v>0.28278897656443852</v>
      </c>
      <c r="AH605" s="48">
        <f t="shared" si="123"/>
        <v>6.106226635438361E-16</v>
      </c>
    </row>
    <row r="606" spans="4:34" ht="13.9" customHeight="1">
      <c r="D606" s="8"/>
      <c r="E606" s="9"/>
      <c r="F606" s="18"/>
      <c r="G606" s="18"/>
      <c r="H606" s="18"/>
      <c r="J606" s="40"/>
      <c r="K606" s="40"/>
      <c r="L606" s="40"/>
      <c r="M606" s="38"/>
      <c r="O606" s="12">
        <f t="shared" si="113"/>
        <v>49.416666666666664</v>
      </c>
      <c r="P606" s="13">
        <v>593</v>
      </c>
      <c r="Q606" s="21">
        <v>2.5930809467986204E-2</v>
      </c>
      <c r="R606" s="18">
        <f t="shared" si="114"/>
        <v>2.4642891701678993E-2</v>
      </c>
      <c r="S606" s="21">
        <v>3.4221547583226153E-2</v>
      </c>
      <c r="T606" s="18">
        <f t="shared" si="115"/>
        <v>4.25951650339087E-2</v>
      </c>
      <c r="U606" s="23">
        <v>3.666266497884485E-2</v>
      </c>
      <c r="V606" s="23">
        <f t="shared" si="116"/>
        <v>4.262504158774072E-2</v>
      </c>
      <c r="W606" s="22">
        <f t="shared" si="119"/>
        <v>3.4842082788153483E-3</v>
      </c>
      <c r="X606" s="23">
        <v>3.6173425905313028E-2</v>
      </c>
      <c r="Y606" s="23">
        <f t="shared" si="120"/>
        <v>4.261848210023178E-2</v>
      </c>
      <c r="Z606" s="22">
        <f t="shared" si="121"/>
        <v>3.4836723903965972E-3</v>
      </c>
      <c r="AA606" s="33"/>
      <c r="AB606" s="50">
        <f t="shared" si="117"/>
        <v>593</v>
      </c>
      <c r="AC606" s="48">
        <f t="shared" si="112"/>
        <v>0.28221619499595385</v>
      </c>
      <c r="AE606" s="48">
        <f t="shared" si="118"/>
        <v>0.99797452653408292</v>
      </c>
      <c r="AF606" s="48">
        <f t="shared" si="122"/>
        <v>0.28221619499595341</v>
      </c>
      <c r="AH606" s="48">
        <f t="shared" si="123"/>
        <v>-4.4408920985006262E-16</v>
      </c>
    </row>
    <row r="607" spans="4:34" ht="13.9" customHeight="1">
      <c r="D607" s="8"/>
      <c r="E607" s="9"/>
      <c r="F607" s="18"/>
      <c r="G607" s="18"/>
      <c r="H607" s="18"/>
      <c r="J607" s="40"/>
      <c r="K607" s="40"/>
      <c r="L607" s="40"/>
      <c r="M607" s="38"/>
      <c r="O607" s="12">
        <f t="shared" si="113"/>
        <v>49.5</v>
      </c>
      <c r="P607" s="13">
        <v>594</v>
      </c>
      <c r="Q607" s="21">
        <v>2.5928639896463768E-2</v>
      </c>
      <c r="R607" s="18">
        <f t="shared" si="114"/>
        <v>2.4657127671420476E-2</v>
      </c>
      <c r="S607" s="21">
        <v>3.4235587915316668E-2</v>
      </c>
      <c r="T607" s="18">
        <f t="shared" si="115"/>
        <v>4.2599620867908694E-2</v>
      </c>
      <c r="U607" s="23">
        <v>3.6672673942540701E-2</v>
      </c>
      <c r="V607" s="23">
        <f t="shared" si="116"/>
        <v>4.262894325199218E-2</v>
      </c>
      <c r="W607" s="22">
        <f t="shared" si="119"/>
        <v>3.4845245116255086E-3</v>
      </c>
      <c r="X607" s="23">
        <v>3.6184242619386131E-2</v>
      </c>
      <c r="Y607" s="23">
        <f t="shared" si="120"/>
        <v>4.2622503893658292E-2</v>
      </c>
      <c r="Z607" s="22">
        <f t="shared" si="121"/>
        <v>3.4839984066084018E-3</v>
      </c>
      <c r="AA607" s="33"/>
      <c r="AB607" s="50">
        <f t="shared" si="117"/>
        <v>594</v>
      </c>
      <c r="AC607" s="48">
        <f t="shared" si="112"/>
        <v>0.28164424914083996</v>
      </c>
      <c r="AE607" s="48">
        <f t="shared" si="118"/>
        <v>0.99797337691722143</v>
      </c>
      <c r="AF607" s="48">
        <f t="shared" si="122"/>
        <v>0.28164424914084069</v>
      </c>
      <c r="AH607" s="48">
        <f t="shared" si="123"/>
        <v>7.2164496600635175E-16</v>
      </c>
    </row>
    <row r="608" spans="4:34" ht="13.9" customHeight="1">
      <c r="D608" s="8"/>
      <c r="E608" s="9"/>
      <c r="F608" s="18"/>
      <c r="G608" s="18"/>
      <c r="H608" s="18"/>
      <c r="J608" s="40"/>
      <c r="K608" s="40"/>
      <c r="L608" s="40"/>
      <c r="M608" s="38"/>
      <c r="O608" s="12">
        <f t="shared" si="113"/>
        <v>49.583333333333336</v>
      </c>
      <c r="P608" s="13">
        <v>595</v>
      </c>
      <c r="Q608" s="21">
        <v>2.592650157798948E-2</v>
      </c>
      <c r="R608" s="18">
        <f t="shared" si="114"/>
        <v>2.4671434840666695E-2</v>
      </c>
      <c r="S608" s="21">
        <v>3.4249588671497522E-2</v>
      </c>
      <c r="T608" s="18">
        <f t="shared" si="115"/>
        <v>4.2604027527601396E-2</v>
      </c>
      <c r="U608" s="23">
        <v>3.6682655878843784E-2</v>
      </c>
      <c r="V608" s="23">
        <f t="shared" si="116"/>
        <v>4.2632804210265274E-2</v>
      </c>
      <c r="W608" s="22">
        <f t="shared" si="119"/>
        <v>3.484837443953781E-3</v>
      </c>
      <c r="X608" s="23">
        <v>3.6195029804764633E-2</v>
      </c>
      <c r="Y608" s="23">
        <f t="shared" si="120"/>
        <v>4.2626483178981989E-2</v>
      </c>
      <c r="Z608" s="22">
        <f t="shared" si="121"/>
        <v>3.4843209757202676E-3</v>
      </c>
      <c r="AA608" s="33"/>
      <c r="AB608" s="50">
        <f t="shared" si="117"/>
        <v>595</v>
      </c>
      <c r="AC608" s="48">
        <f t="shared" si="112"/>
        <v>0.28107313698019348</v>
      </c>
      <c r="AE608" s="48">
        <f t="shared" si="118"/>
        <v>0.99797222147305042</v>
      </c>
      <c r="AF608" s="48">
        <f t="shared" si="122"/>
        <v>0.28107313698019404</v>
      </c>
      <c r="AH608" s="48">
        <f t="shared" si="123"/>
        <v>5.5511151231257827E-16</v>
      </c>
    </row>
    <row r="609" spans="4:34" ht="13.9" customHeight="1">
      <c r="D609" s="8"/>
      <c r="E609" s="9"/>
      <c r="F609" s="18"/>
      <c r="G609" s="18"/>
      <c r="H609" s="18"/>
      <c r="J609" s="40"/>
      <c r="K609" s="40"/>
      <c r="L609" s="40"/>
      <c r="M609" s="38"/>
      <c r="O609" s="12">
        <f t="shared" si="113"/>
        <v>49.666666666666664</v>
      </c>
      <c r="P609" s="13">
        <v>596</v>
      </c>
      <c r="Q609" s="21">
        <v>2.5924394474353463E-2</v>
      </c>
      <c r="R609" s="18">
        <f t="shared" si="114"/>
        <v>2.4685813747405083E-2</v>
      </c>
      <c r="S609" s="21">
        <v>3.4263549968446938E-2</v>
      </c>
      <c r="T609" s="18">
        <f t="shared" si="115"/>
        <v>4.2608385558574158E-2</v>
      </c>
      <c r="U609" s="23">
        <v>3.6692610855569407E-2</v>
      </c>
      <c r="V609" s="23">
        <f t="shared" si="116"/>
        <v>4.2636624889698549E-2</v>
      </c>
      <c r="W609" s="22">
        <f t="shared" si="119"/>
        <v>3.485147110409148E-3</v>
      </c>
      <c r="X609" s="23">
        <v>3.6205787538819534E-2</v>
      </c>
      <c r="Y609" s="23">
        <f t="shared" si="120"/>
        <v>4.2630420408215075E-2</v>
      </c>
      <c r="Z609" s="22">
        <f t="shared" si="121"/>
        <v>3.4846401343349154E-3</v>
      </c>
      <c r="AA609" s="33"/>
      <c r="AB609" s="50">
        <f t="shared" si="117"/>
        <v>596</v>
      </c>
      <c r="AC609" s="48">
        <f t="shared" si="112"/>
        <v>0.28050285652486073</v>
      </c>
      <c r="AE609" s="48">
        <f t="shared" si="118"/>
        <v>0.99797106026758453</v>
      </c>
      <c r="AF609" s="48">
        <f t="shared" si="122"/>
        <v>0.28050285652486029</v>
      </c>
      <c r="AH609" s="48">
        <f t="shared" si="123"/>
        <v>-4.4408920985006262E-16</v>
      </c>
    </row>
    <row r="610" spans="4:34" ht="13.9" customHeight="1">
      <c r="D610" s="8"/>
      <c r="E610" s="9"/>
      <c r="F610" s="18"/>
      <c r="G610" s="18"/>
      <c r="H610" s="18"/>
      <c r="J610" s="40"/>
      <c r="K610" s="40"/>
      <c r="L610" s="40"/>
      <c r="M610" s="38"/>
      <c r="O610" s="12">
        <f t="shared" si="113"/>
        <v>49.75</v>
      </c>
      <c r="P610" s="13">
        <v>597</v>
      </c>
      <c r="Q610" s="21">
        <v>2.5922318548501133E-2</v>
      </c>
      <c r="R610" s="18">
        <f t="shared" si="114"/>
        <v>2.4700265381982334E-2</v>
      </c>
      <c r="S610" s="21">
        <v>3.4277471922969482E-2</v>
      </c>
      <c r="T610" s="18">
        <f t="shared" si="115"/>
        <v>4.2612695500315212E-2</v>
      </c>
      <c r="U610" s="23">
        <v>3.6702538940790008E-2</v>
      </c>
      <c r="V610" s="23">
        <f t="shared" si="116"/>
        <v>4.2640405712211171E-2</v>
      </c>
      <c r="W610" s="22">
        <f t="shared" si="119"/>
        <v>3.4854535452830682E-3</v>
      </c>
      <c r="X610" s="23">
        <v>3.6216515899156088E-2</v>
      </c>
      <c r="Y610" s="23">
        <f t="shared" si="120"/>
        <v>4.2634316028118624E-2</v>
      </c>
      <c r="Z610" s="22">
        <f t="shared" si="121"/>
        <v>3.484955918741317E-3</v>
      </c>
      <c r="AA610" s="33"/>
      <c r="AB610" s="50">
        <f t="shared" si="117"/>
        <v>597</v>
      </c>
      <c r="AC610" s="48">
        <f t="shared" si="112"/>
        <v>0.27993340578451614</v>
      </c>
      <c r="AE610" s="48">
        <f t="shared" si="118"/>
        <v>0.99796989325742214</v>
      </c>
      <c r="AF610" s="48">
        <f t="shared" si="122"/>
        <v>0.27993340578451681</v>
      </c>
      <c r="AH610" s="48">
        <f t="shared" si="123"/>
        <v>6.6613381477509392E-16</v>
      </c>
    </row>
    <row r="611" spans="4:34" ht="13.9" customHeight="1">
      <c r="D611" s="8"/>
      <c r="E611" s="9"/>
      <c r="F611" s="18"/>
      <c r="G611" s="18"/>
      <c r="H611" s="18"/>
      <c r="J611" s="40"/>
      <c r="K611" s="40"/>
      <c r="L611" s="40"/>
      <c r="M611" s="38"/>
      <c r="O611" s="12">
        <f t="shared" si="113"/>
        <v>49.833333333333336</v>
      </c>
      <c r="P611" s="13">
        <v>598</v>
      </c>
      <c r="Q611" s="21">
        <v>2.5920273765280166E-2</v>
      </c>
      <c r="R611" s="18">
        <f t="shared" si="114"/>
        <v>2.471479073966476E-2</v>
      </c>
      <c r="S611" s="21">
        <v>3.4291354651984296E-2</v>
      </c>
      <c r="T611" s="18">
        <f t="shared" si="115"/>
        <v>4.2616957886380868E-2</v>
      </c>
      <c r="U611" s="23">
        <v>3.6712440202824492E-2</v>
      </c>
      <c r="V611" s="23">
        <f t="shared" si="116"/>
        <v>4.2644147096426721E-2</v>
      </c>
      <c r="W611" s="22">
        <f t="shared" si="119"/>
        <v>3.4857567824480018E-3</v>
      </c>
      <c r="X611" s="23">
        <v>3.6227214963603149E-2</v>
      </c>
      <c r="Y611" s="23">
        <f t="shared" si="120"/>
        <v>4.2638170480656656E-2</v>
      </c>
      <c r="Z611" s="22">
        <f t="shared" si="121"/>
        <v>3.4852683648070037E-3</v>
      </c>
      <c r="AA611" s="33"/>
      <c r="AB611" s="50">
        <f t="shared" si="117"/>
        <v>598</v>
      </c>
      <c r="AC611" s="48">
        <f t="shared" si="112"/>
        <v>0.27936478275747673</v>
      </c>
      <c r="AE611" s="48">
        <f t="shared" si="118"/>
        <v>0.99796872036245221</v>
      </c>
      <c r="AF611" s="48">
        <f t="shared" si="122"/>
        <v>0.27936478275747734</v>
      </c>
      <c r="AH611" s="48">
        <f t="shared" si="123"/>
        <v>6.106226635438361E-16</v>
      </c>
    </row>
    <row r="612" spans="4:34" ht="13.9" customHeight="1">
      <c r="D612" s="8"/>
      <c r="E612" s="9"/>
      <c r="F612" s="18"/>
      <c r="G612" s="18"/>
      <c r="H612" s="18"/>
      <c r="J612" s="40"/>
      <c r="K612" s="40"/>
      <c r="L612" s="40"/>
      <c r="M612" s="38"/>
      <c r="O612" s="12">
        <f t="shared" si="113"/>
        <v>49.916666666666664</v>
      </c>
      <c r="P612" s="13">
        <v>599</v>
      </c>
      <c r="Q612" s="21">
        <v>2.5918260091433609E-2</v>
      </c>
      <c r="R612" s="18">
        <f t="shared" si="114"/>
        <v>2.4729390822732622E-2</v>
      </c>
      <c r="S612" s="21">
        <v>3.4305198272514659E-2</v>
      </c>
      <c r="T612" s="18">
        <f t="shared" si="115"/>
        <v>4.2621173243725163E-2</v>
      </c>
      <c r="U612" s="23">
        <v>3.6722314710230908E-2</v>
      </c>
      <c r="V612" s="23">
        <f t="shared" si="116"/>
        <v>4.2647849455045961E-2</v>
      </c>
      <c r="W612" s="22">
        <f t="shared" si="119"/>
        <v>3.4860568555103999E-3</v>
      </c>
      <c r="X612" s="23">
        <v>3.6237884810203624E-2</v>
      </c>
      <c r="Y612" s="23">
        <f t="shared" si="120"/>
        <v>4.2641984202979044E-2</v>
      </c>
      <c r="Z612" s="22">
        <f t="shared" si="121"/>
        <v>3.485577508013149E-3</v>
      </c>
      <c r="AA612" s="33"/>
      <c r="AB612" s="50">
        <f t="shared" si="117"/>
        <v>599</v>
      </c>
      <c r="AC612" s="48">
        <f t="shared" si="112"/>
        <v>0.27879698543076659</v>
      </c>
      <c r="AE612" s="48">
        <f t="shared" si="118"/>
        <v>0.99796754150217093</v>
      </c>
      <c r="AF612" s="48">
        <f t="shared" si="122"/>
        <v>0.27879698543076775</v>
      </c>
      <c r="AH612" s="48">
        <f t="shared" si="123"/>
        <v>1.1657341758564144E-15</v>
      </c>
    </row>
    <row r="613" spans="4:34" ht="13.9" customHeight="1">
      <c r="D613" s="8"/>
      <c r="E613" s="9"/>
      <c r="F613" s="18"/>
      <c r="G613" s="18"/>
      <c r="H613" s="18"/>
      <c r="J613" s="40"/>
      <c r="K613" s="40"/>
      <c r="L613" s="40"/>
      <c r="M613" s="38"/>
      <c r="O613" s="12">
        <f t="shared" si="113"/>
        <v>50</v>
      </c>
      <c r="P613" s="13">
        <v>600</v>
      </c>
      <c r="Q613" s="21">
        <v>2.5916277495594997E-2</v>
      </c>
      <c r="R613" s="18">
        <f t="shared" si="114"/>
        <v>2.4744032899551849E-2</v>
      </c>
      <c r="S613" s="21">
        <v>3.4319002901675999E-2</v>
      </c>
      <c r="T613" s="18">
        <f t="shared" si="115"/>
        <v>4.26253420942031E-2</v>
      </c>
      <c r="U613" s="23">
        <v>3.6732162531794232E-2</v>
      </c>
      <c r="V613" s="23">
        <f t="shared" si="116"/>
        <v>4.2651513197558666E-2</v>
      </c>
      <c r="W613" s="22">
        <f t="shared" si="119"/>
        <v>3.4863537976019821E-3</v>
      </c>
      <c r="X613" s="23">
        <v>3.6248525517204921E-2</v>
      </c>
      <c r="Y613" s="23">
        <f t="shared" si="120"/>
        <v>4.2645757627641556E-2</v>
      </c>
      <c r="Z613" s="22">
        <f t="shared" si="121"/>
        <v>3.4858833834550129E-3</v>
      </c>
      <c r="AA613" s="33"/>
      <c r="AB613" s="50">
        <f t="shared" si="117"/>
        <v>600</v>
      </c>
      <c r="AC613" s="48">
        <f t="shared" si="112"/>
        <v>0.27823001178015477</v>
      </c>
      <c r="AE613" s="48">
        <f t="shared" si="118"/>
        <v>0.99796635659551125</v>
      </c>
      <c r="AF613" s="48">
        <f t="shared" si="122"/>
        <v>0.27823001178015511</v>
      </c>
      <c r="AH613" s="48">
        <f t="shared" si="123"/>
        <v>0</v>
      </c>
    </row>
    <row r="614" spans="4:34" ht="13.9" customHeight="1">
      <c r="D614" s="8"/>
      <c r="E614" s="9"/>
      <c r="F614" s="18"/>
      <c r="G614" s="18"/>
      <c r="H614" s="18"/>
      <c r="J614" s="40"/>
      <c r="K614" s="40"/>
      <c r="L614" s="40"/>
      <c r="M614" s="38"/>
      <c r="O614" s="12">
        <f t="shared" si="113"/>
        <v>50.083333333333336</v>
      </c>
      <c r="P614" s="13">
        <v>601</v>
      </c>
      <c r="Q614" s="21">
        <v>2.5914325892079093E-2</v>
      </c>
      <c r="R614" s="18">
        <f t="shared" si="114"/>
        <v>2.4758583059488082E-2</v>
      </c>
      <c r="S614" s="21">
        <v>3.4332768656667012E-2</v>
      </c>
      <c r="T614" s="18">
        <f t="shared" si="115"/>
        <v>4.2629464953521934E-2</v>
      </c>
      <c r="U614" s="23">
        <v>3.674198373651949E-2</v>
      </c>
      <c r="V614" s="23">
        <f t="shared" si="116"/>
        <v>4.2655138728942443E-2</v>
      </c>
      <c r="W614" s="22">
        <f t="shared" si="119"/>
        <v>3.4866476415955638E-3</v>
      </c>
      <c r="X614" s="23">
        <v>3.6259137163049182E-2</v>
      </c>
      <c r="Y614" s="23">
        <f t="shared" si="120"/>
        <v>4.2649491182690458E-2</v>
      </c>
      <c r="Z614" s="22">
        <f t="shared" si="121"/>
        <v>3.486186025857485E-3</v>
      </c>
      <c r="AA614" s="33"/>
      <c r="AB614" s="50">
        <f t="shared" si="117"/>
        <v>601</v>
      </c>
      <c r="AC614" s="48">
        <f t="shared" si="112"/>
        <v>0.27766386053204567</v>
      </c>
      <c r="AE614" s="48">
        <f t="shared" si="118"/>
        <v>0.99796516829911053</v>
      </c>
      <c r="AF614" s="48">
        <f t="shared" si="122"/>
        <v>0.277663860532046</v>
      </c>
      <c r="AH614" s="48">
        <f t="shared" si="123"/>
        <v>0</v>
      </c>
    </row>
    <row r="615" spans="4:34" ht="13.9" customHeight="1">
      <c r="D615" s="8"/>
      <c r="E615" s="9"/>
      <c r="F615" s="18"/>
      <c r="G615" s="18"/>
      <c r="H615" s="18"/>
      <c r="J615" s="40"/>
      <c r="K615" s="40"/>
      <c r="L615" s="40"/>
      <c r="M615" s="38"/>
      <c r="O615" s="12">
        <f t="shared" si="113"/>
        <v>50.166666666666664</v>
      </c>
      <c r="P615" s="13">
        <v>602</v>
      </c>
      <c r="Q615" s="21">
        <v>2.591240497307612E-2</v>
      </c>
      <c r="R615" s="18">
        <f t="shared" si="114"/>
        <v>2.477300866372345E-2</v>
      </c>
      <c r="S615" s="21">
        <v>3.434649565475878E-2</v>
      </c>
      <c r="T615" s="18">
        <f t="shared" si="115"/>
        <v>4.2633542331205643E-2</v>
      </c>
      <c r="U615" s="23">
        <v>3.6751778393622425E-2</v>
      </c>
      <c r="V615" s="23">
        <f t="shared" si="116"/>
        <v>4.2658726449300799E-2</v>
      </c>
      <c r="W615" s="22">
        <f t="shared" si="119"/>
        <v>3.48693842000114E-3</v>
      </c>
      <c r="X615" s="23">
        <v>3.6269719826364399E-2</v>
      </c>
      <c r="Y615" s="23">
        <f t="shared" si="120"/>
        <v>4.2653185291398721E-2</v>
      </c>
      <c r="Z615" s="22">
        <f t="shared" si="121"/>
        <v>3.4864854695835223E-3</v>
      </c>
      <c r="AA615" s="33"/>
      <c r="AB615" s="50">
        <f t="shared" si="117"/>
        <v>602</v>
      </c>
      <c r="AC615" s="48">
        <f t="shared" si="112"/>
        <v>0.27709853343580643</v>
      </c>
      <c r="AE615" s="48">
        <f t="shared" si="118"/>
        <v>0.99796398748056259</v>
      </c>
      <c r="AF615" s="48">
        <f t="shared" si="122"/>
        <v>0.27709853343580743</v>
      </c>
      <c r="AH615" s="48">
        <f t="shared" si="123"/>
        <v>9.9920072216264089E-16</v>
      </c>
    </row>
    <row r="616" spans="4:34" ht="13.9" customHeight="1">
      <c r="D616" s="8"/>
      <c r="E616" s="9"/>
      <c r="F616" s="18"/>
      <c r="G616" s="18"/>
      <c r="H616" s="18"/>
      <c r="J616" s="40"/>
      <c r="K616" s="40"/>
      <c r="L616" s="40"/>
      <c r="M616" s="38"/>
      <c r="O616" s="12">
        <f t="shared" si="113"/>
        <v>50.25</v>
      </c>
      <c r="P616" s="13">
        <v>603</v>
      </c>
      <c r="Q616" s="21">
        <v>2.591051437864067E-2</v>
      </c>
      <c r="R616" s="18">
        <f t="shared" si="114"/>
        <v>2.478731080951535E-2</v>
      </c>
      <c r="S616" s="21">
        <v>3.436018401328389E-2</v>
      </c>
      <c r="T616" s="18">
        <f t="shared" si="115"/>
        <v>4.2637574731918759E-2</v>
      </c>
      <c r="U616" s="23">
        <v>3.6761546572519732E-2</v>
      </c>
      <c r="V616" s="23">
        <f t="shared" si="116"/>
        <v>4.2662276754865003E-2</v>
      </c>
      <c r="W616" s="22">
        <f t="shared" si="119"/>
        <v>3.4872261649376846E-3</v>
      </c>
      <c r="X616" s="23">
        <v>3.6280273585955314E-2</v>
      </c>
      <c r="Y616" s="23">
        <f t="shared" si="120"/>
        <v>4.2656840372442328E-2</v>
      </c>
      <c r="Z616" s="22">
        <f t="shared" si="121"/>
        <v>3.4867817486123887E-3</v>
      </c>
      <c r="AA616" s="33"/>
      <c r="AB616" s="50">
        <f t="shared" si="117"/>
        <v>603</v>
      </c>
      <c r="AC616" s="48">
        <f t="shared" si="112"/>
        <v>0.27653403295549578</v>
      </c>
      <c r="AE616" s="48">
        <f t="shared" si="118"/>
        <v>0.99796281678826548</v>
      </c>
      <c r="AF616" s="48">
        <f t="shared" si="122"/>
        <v>0.27653403295549572</v>
      </c>
      <c r="AH616" s="48">
        <f t="shared" si="123"/>
        <v>0</v>
      </c>
    </row>
    <row r="617" spans="4:34" ht="13.9" customHeight="1">
      <c r="D617" s="8"/>
      <c r="E617" s="9"/>
      <c r="F617" s="18"/>
      <c r="G617" s="18"/>
      <c r="H617" s="18"/>
      <c r="J617" s="40"/>
      <c r="K617" s="40"/>
      <c r="L617" s="40"/>
      <c r="M617" s="38"/>
      <c r="O617" s="12">
        <f t="shared" si="113"/>
        <v>50.333333333333336</v>
      </c>
      <c r="P617" s="13">
        <v>604</v>
      </c>
      <c r="Q617" s="21">
        <v>2.5908653753043076E-2</v>
      </c>
      <c r="R617" s="18">
        <f t="shared" si="114"/>
        <v>2.4801490585327546E-2</v>
      </c>
      <c r="S617" s="21">
        <v>3.4373833849627999E-2</v>
      </c>
      <c r="T617" s="18">
        <f t="shared" si="115"/>
        <v>4.2641562653642717E-2</v>
      </c>
      <c r="U617" s="23">
        <v>3.6771288342821062E-2</v>
      </c>
      <c r="V617" s="23">
        <f t="shared" si="116"/>
        <v>4.2665790038020956E-2</v>
      </c>
      <c r="W617" s="22">
        <f t="shared" si="119"/>
        <v>3.4875109082124212E-3</v>
      </c>
      <c r="X617" s="23">
        <v>3.6290798520794088E-2</v>
      </c>
      <c r="Y617" s="23">
        <f t="shared" si="120"/>
        <v>4.2660456840180716E-2</v>
      </c>
      <c r="Z617" s="22">
        <f t="shared" si="121"/>
        <v>3.4870748965538656E-3</v>
      </c>
      <c r="AA617" s="33"/>
      <c r="AB617" s="50">
        <f t="shared" si="117"/>
        <v>604</v>
      </c>
      <c r="AC617" s="48">
        <f t="shared" si="112"/>
        <v>0.27597036150532511</v>
      </c>
      <c r="AE617" s="48">
        <f t="shared" si="118"/>
        <v>0.99796165613271204</v>
      </c>
      <c r="AF617" s="48">
        <f t="shared" si="122"/>
        <v>0.2759703615053245</v>
      </c>
      <c r="AH617" s="48">
        <f t="shared" si="123"/>
        <v>-6.106226635438361E-16</v>
      </c>
    </row>
    <row r="618" spans="4:34" ht="13.9" customHeight="1">
      <c r="D618" s="8"/>
      <c r="E618" s="9"/>
      <c r="F618" s="18"/>
      <c r="G618" s="18"/>
      <c r="H618" s="18"/>
      <c r="J618" s="40"/>
      <c r="K618" s="40"/>
      <c r="L618" s="40"/>
      <c r="M618" s="38"/>
      <c r="O618" s="12">
        <f t="shared" si="113"/>
        <v>50.416666666666664</v>
      </c>
      <c r="P618" s="13">
        <v>605</v>
      </c>
      <c r="Q618" s="21">
        <v>2.5906822744719227E-2</v>
      </c>
      <c r="R618" s="18">
        <f t="shared" si="114"/>
        <v>2.4815549068932796E-2</v>
      </c>
      <c r="S618" s="21">
        <v>3.4387445281218731E-2</v>
      </c>
      <c r="T618" s="18">
        <f t="shared" si="115"/>
        <v>4.2645506589876314E-2</v>
      </c>
      <c r="U618" s="23">
        <v>3.6781003774320808E-2</v>
      </c>
      <c r="V618" s="23">
        <f t="shared" si="116"/>
        <v>4.2669266686234053E-2</v>
      </c>
      <c r="W618" s="22">
        <f t="shared" si="119"/>
        <v>3.4877926813237092E-3</v>
      </c>
      <c r="X618" s="23">
        <v>3.6301294710011867E-2</v>
      </c>
      <c r="Y618" s="23">
        <f t="shared" si="120"/>
        <v>4.2664035104621023E-2</v>
      </c>
      <c r="Z618" s="22">
        <f t="shared" si="121"/>
        <v>3.4873649466709011E-3</v>
      </c>
      <c r="AA618" s="33"/>
      <c r="AB618" s="50">
        <f t="shared" si="117"/>
        <v>605</v>
      </c>
      <c r="AC618" s="48">
        <f t="shared" si="112"/>
        <v>0.27540752145020597</v>
      </c>
      <c r="AE618" s="48">
        <f t="shared" si="118"/>
        <v>0.99796050542511783</v>
      </c>
      <c r="AF618" s="48">
        <f t="shared" si="122"/>
        <v>0.27540752145020614</v>
      </c>
      <c r="AH618" s="48">
        <f t="shared" si="123"/>
        <v>0</v>
      </c>
    </row>
    <row r="619" spans="4:34" ht="13.9" customHeight="1">
      <c r="D619" s="8"/>
      <c r="E619" s="9"/>
      <c r="F619" s="18"/>
      <c r="G619" s="18"/>
      <c r="H619" s="18"/>
      <c r="J619" s="40"/>
      <c r="K619" s="40"/>
      <c r="L619" s="40"/>
      <c r="M619" s="38"/>
      <c r="O619" s="12">
        <f t="shared" si="113"/>
        <v>50.5</v>
      </c>
      <c r="P619" s="13">
        <v>606</v>
      </c>
      <c r="Q619" s="21">
        <v>2.5905021006218165E-2</v>
      </c>
      <c r="R619" s="18">
        <f t="shared" si="114"/>
        <v>2.4829487327759248E-2</v>
      </c>
      <c r="S619" s="21">
        <v>3.440101842551746E-2</v>
      </c>
      <c r="T619" s="18">
        <f t="shared" si="115"/>
        <v>4.2649407028005681E-2</v>
      </c>
      <c r="U619" s="23">
        <v>3.6790692936989222E-2</v>
      </c>
      <c r="V619" s="23">
        <f t="shared" si="116"/>
        <v>4.267270708368831E-2</v>
      </c>
      <c r="W619" s="22">
        <f t="shared" si="119"/>
        <v>3.4880715153744468E-3</v>
      </c>
      <c r="X619" s="23">
        <v>3.6311762232890343E-2</v>
      </c>
      <c r="Y619" s="23">
        <f t="shared" si="120"/>
        <v>4.2667575571108785E-2</v>
      </c>
      <c r="Z619" s="22">
        <f t="shared" si="121"/>
        <v>3.4876519318765009E-3</v>
      </c>
      <c r="AA619" s="33"/>
      <c r="AB619" s="50">
        <f t="shared" si="117"/>
        <v>606</v>
      </c>
      <c r="AC619" s="48">
        <f t="shared" si="112"/>
        <v>0.27484551510633204</v>
      </c>
      <c r="AE619" s="48">
        <f t="shared" si="118"/>
        <v>0.99795936457757439</v>
      </c>
      <c r="AF619" s="48">
        <f t="shared" si="122"/>
        <v>0.27484551510633243</v>
      </c>
      <c r="AH619" s="48">
        <f t="shared" si="123"/>
        <v>0</v>
      </c>
    </row>
    <row r="620" spans="4:34" ht="13.9" customHeight="1">
      <c r="D620" s="8"/>
      <c r="E620" s="9"/>
      <c r="F620" s="18"/>
      <c r="G620" s="18"/>
      <c r="H620" s="18"/>
      <c r="J620" s="40"/>
      <c r="K620" s="40"/>
      <c r="L620" s="40"/>
      <c r="M620" s="38"/>
      <c r="O620" s="12">
        <f t="shared" si="113"/>
        <v>50.583333333333336</v>
      </c>
      <c r="P620" s="13">
        <v>607</v>
      </c>
      <c r="Q620" s="21">
        <v>2.590324819415124E-2</v>
      </c>
      <c r="R620" s="18">
        <f t="shared" si="114"/>
        <v>2.4843306419609634E-2</v>
      </c>
      <c r="S620" s="21">
        <v>3.4414553400009762E-2</v>
      </c>
      <c r="T620" s="18">
        <f t="shared" si="115"/>
        <v>4.265326444950257E-2</v>
      </c>
      <c r="U620" s="23">
        <v>3.6800355900964865E-2</v>
      </c>
      <c r="V620" s="23">
        <f t="shared" si="116"/>
        <v>4.2676111609873946E-2</v>
      </c>
      <c r="W620" s="22">
        <f t="shared" si="119"/>
        <v>3.488347441203743E-3</v>
      </c>
      <c r="X620" s="23">
        <v>3.6322201168853319E-2</v>
      </c>
      <c r="Y620" s="23">
        <f t="shared" si="120"/>
        <v>4.2671078640541538E-2</v>
      </c>
      <c r="Z620" s="22">
        <f t="shared" si="121"/>
        <v>3.4879358847090813E-3</v>
      </c>
      <c r="AA620" s="33"/>
      <c r="AB620" s="50">
        <f t="shared" si="117"/>
        <v>607</v>
      </c>
      <c r="AC620" s="48">
        <f t="shared" si="112"/>
        <v>0.27428434474174401</v>
      </c>
      <c r="AE620" s="48">
        <f t="shared" si="118"/>
        <v>0.99795823350302315</v>
      </c>
      <c r="AF620" s="48">
        <f t="shared" si="122"/>
        <v>0.27428434474174396</v>
      </c>
      <c r="AH620" s="48">
        <f t="shared" si="123"/>
        <v>0</v>
      </c>
    </row>
    <row r="621" spans="4:34" ht="13.9" customHeight="1">
      <c r="D621" s="8"/>
      <c r="E621" s="9"/>
      <c r="F621" s="18"/>
      <c r="G621" s="18"/>
      <c r="H621" s="18"/>
      <c r="J621" s="40"/>
      <c r="K621" s="40"/>
      <c r="L621" s="40"/>
      <c r="M621" s="38"/>
      <c r="O621" s="12">
        <f t="shared" si="113"/>
        <v>50.666666666666664</v>
      </c>
      <c r="P621" s="13">
        <v>608</v>
      </c>
      <c r="Q621" s="21">
        <v>2.5901503969142592E-2</v>
      </c>
      <c r="R621" s="18">
        <f t="shared" si="114"/>
        <v>2.485700739294705E-2</v>
      </c>
      <c r="S621" s="21">
        <v>3.4428050322194981E-2</v>
      </c>
      <c r="T621" s="18">
        <f t="shared" si="115"/>
        <v>4.2657079331428704E-2</v>
      </c>
      <c r="U621" s="23">
        <v>3.6809992736545949E-2</v>
      </c>
      <c r="V621" s="23">
        <f t="shared" si="116"/>
        <v>4.2679480640678502E-2</v>
      </c>
      <c r="W621" s="22">
        <f t="shared" si="119"/>
        <v>3.488620489273675E-3</v>
      </c>
      <c r="X621" s="23">
        <v>3.6332611597457598E-2</v>
      </c>
      <c r="Y621" s="23">
        <f t="shared" si="120"/>
        <v>4.2674544709988327E-2</v>
      </c>
      <c r="Z621" s="22">
        <f t="shared" si="121"/>
        <v>3.488216837349345E-3</v>
      </c>
      <c r="AA621" s="33"/>
      <c r="AB621" s="50">
        <f t="shared" si="117"/>
        <v>608</v>
      </c>
      <c r="AC621" s="48">
        <f t="shared" si="112"/>
        <v>0.27372401257687828</v>
      </c>
      <c r="AE621" s="48">
        <f t="shared" si="118"/>
        <v>0.99795711211519433</v>
      </c>
      <c r="AF621" s="48">
        <f t="shared" si="122"/>
        <v>0.27372401257687917</v>
      </c>
      <c r="AH621" s="48">
        <f t="shared" si="123"/>
        <v>8.8817841970012523E-16</v>
      </c>
    </row>
    <row r="622" spans="4:34" ht="13.9" customHeight="1">
      <c r="D622" s="8"/>
      <c r="E622" s="9"/>
      <c r="F622" s="18"/>
      <c r="G622" s="18"/>
      <c r="H622" s="18"/>
      <c r="J622" s="40"/>
      <c r="K622" s="40"/>
      <c r="L622" s="40"/>
      <c r="M622" s="38"/>
      <c r="O622" s="12">
        <f t="shared" si="113"/>
        <v>50.75</v>
      </c>
      <c r="P622" s="13">
        <v>609</v>
      </c>
      <c r="Q622" s="21">
        <v>2.5899787995780077E-2</v>
      </c>
      <c r="R622" s="18">
        <f t="shared" si="114"/>
        <v>2.4870591285833576E-2</v>
      </c>
      <c r="S622" s="21">
        <v>3.4441509309579343E-2</v>
      </c>
      <c r="T622" s="18">
        <f t="shared" si="115"/>
        <v>4.2660852145125716E-2</v>
      </c>
      <c r="U622" s="23">
        <v>3.681960351418323E-2</v>
      </c>
      <c r="V622" s="23">
        <f t="shared" si="116"/>
        <v>4.268281454784506E-2</v>
      </c>
      <c r="W622" s="22">
        <f t="shared" si="119"/>
        <v>3.488890689756774E-3</v>
      </c>
      <c r="X622" s="23">
        <v>3.6342993598386109E-2</v>
      </c>
      <c r="Y622" s="23">
        <f t="shared" si="120"/>
        <v>4.2677974172318001E-2</v>
      </c>
      <c r="Z622" s="22">
        <f t="shared" si="121"/>
        <v>3.4884948216709066E-3</v>
      </c>
      <c r="AA622" s="33"/>
      <c r="AB622" s="50">
        <f t="shared" si="117"/>
        <v>609</v>
      </c>
      <c r="AC622" s="48">
        <f t="shared" si="112"/>
        <v>0.27316452078511366</v>
      </c>
      <c r="AE622" s="48">
        <f t="shared" si="118"/>
        <v>0.99795600032858545</v>
      </c>
      <c r="AF622" s="48">
        <f t="shared" si="122"/>
        <v>0.27316452078511377</v>
      </c>
      <c r="AH622" s="48">
        <f t="shared" si="123"/>
        <v>0</v>
      </c>
    </row>
    <row r="623" spans="4:34" ht="13.9" customHeight="1">
      <c r="D623" s="8"/>
      <c r="E623" s="9"/>
      <c r="F623" s="18"/>
      <c r="G623" s="18"/>
      <c r="H623" s="18"/>
      <c r="J623" s="40"/>
      <c r="K623" s="40"/>
      <c r="L623" s="40"/>
      <c r="M623" s="38"/>
      <c r="O623" s="12">
        <f t="shared" si="113"/>
        <v>50.833333333333336</v>
      </c>
      <c r="P623" s="13">
        <v>610</v>
      </c>
      <c r="Q623" s="21">
        <v>2.58980999425662E-2</v>
      </c>
      <c r="R623" s="18">
        <f t="shared" si="114"/>
        <v>2.4884059126567548E-2</v>
      </c>
      <c r="S623" s="21">
        <v>3.4454930479666412E-2</v>
      </c>
      <c r="T623" s="18">
        <f t="shared" si="115"/>
        <v>4.2664583356296859E-2</v>
      </c>
      <c r="U623" s="23">
        <v>3.682918830447135E-2</v>
      </c>
      <c r="V623" s="23">
        <f t="shared" si="116"/>
        <v>4.2686113699065498E-2</v>
      </c>
      <c r="W623" s="22">
        <f t="shared" si="119"/>
        <v>3.4891580724922822E-3</v>
      </c>
      <c r="X623" s="23">
        <v>3.6353347251439905E-2</v>
      </c>
      <c r="Y623" s="23">
        <f t="shared" si="120"/>
        <v>4.2681367415254634E-2</v>
      </c>
      <c r="Z623" s="22">
        <f t="shared" si="121"/>
        <v>3.4887698692094293E-3</v>
      </c>
      <c r="AA623" s="33"/>
      <c r="AB623" s="50">
        <f t="shared" si="117"/>
        <v>610</v>
      </c>
      <c r="AC623" s="48">
        <f t="shared" si="112"/>
        <v>0.27260587149332033</v>
      </c>
      <c r="AE623" s="48">
        <f t="shared" si="118"/>
        <v>0.99795489805854576</v>
      </c>
      <c r="AF623" s="48">
        <f t="shared" si="122"/>
        <v>0.27260587149331972</v>
      </c>
      <c r="AH623" s="48">
        <f t="shared" si="123"/>
        <v>-6.106226635438361E-16</v>
      </c>
    </row>
    <row r="624" spans="4:34" ht="13.9" customHeight="1">
      <c r="D624" s="8"/>
      <c r="E624" s="9"/>
      <c r="F624" s="18"/>
      <c r="G624" s="18"/>
      <c r="H624" s="18"/>
      <c r="J624" s="40"/>
      <c r="K624" s="40"/>
      <c r="L624" s="40"/>
      <c r="M624" s="38"/>
      <c r="O624" s="12">
        <f t="shared" si="113"/>
        <v>50.916666666666664</v>
      </c>
      <c r="P624" s="13">
        <v>611</v>
      </c>
      <c r="Q624" s="21">
        <v>2.5896439481869482E-2</v>
      </c>
      <c r="R624" s="18">
        <f t="shared" si="114"/>
        <v>2.4897411935392855E-2</v>
      </c>
      <c r="S624" s="21">
        <v>3.4468313949947982E-2</v>
      </c>
      <c r="T624" s="18">
        <f t="shared" si="115"/>
        <v>4.2668273425945591E-2</v>
      </c>
      <c r="U624" s="23">
        <v>3.6838747178142395E-2</v>
      </c>
      <c r="V624" s="23">
        <f t="shared" si="116"/>
        <v>4.2689378458366178E-2</v>
      </c>
      <c r="W624" s="22">
        <f t="shared" si="119"/>
        <v>3.4894226669941464E-3</v>
      </c>
      <c r="X624" s="23">
        <v>3.6363672636529065E-2</v>
      </c>
      <c r="Y624" s="23">
        <f t="shared" si="120"/>
        <v>4.2684724823638609E-2</v>
      </c>
      <c r="Z624" s="22">
        <f t="shared" si="121"/>
        <v>3.489042011087129E-3</v>
      </c>
      <c r="AA624" s="33"/>
      <c r="AB624" s="50">
        <f t="shared" si="117"/>
        <v>611</v>
      </c>
      <c r="AC624" s="48">
        <f t="shared" si="112"/>
        <v>0.27204806678240667</v>
      </c>
      <c r="AE624" s="48">
        <f t="shared" si="118"/>
        <v>0.99795380522122634</v>
      </c>
      <c r="AF624" s="48">
        <f t="shared" si="122"/>
        <v>0.27204806678240706</v>
      </c>
      <c r="AH624" s="48">
        <f t="shared" si="123"/>
        <v>0</v>
      </c>
    </row>
    <row r="625" spans="4:34" ht="13.9" customHeight="1">
      <c r="D625" s="8"/>
      <c r="E625" s="9"/>
      <c r="F625" s="18"/>
      <c r="G625" s="18"/>
      <c r="H625" s="18"/>
      <c r="J625" s="40"/>
      <c r="K625" s="40"/>
      <c r="L625" s="40"/>
      <c r="M625" s="38"/>
      <c r="O625" s="12">
        <f t="shared" si="113"/>
        <v>51</v>
      </c>
      <c r="P625" s="13">
        <v>612</v>
      </c>
      <c r="Q625" s="21">
        <v>2.5894806289879169E-2</v>
      </c>
      <c r="R625" s="18">
        <f t="shared" si="114"/>
        <v>2.491065072116827E-2</v>
      </c>
      <c r="S625" s="21">
        <v>3.448165983789675E-2</v>
      </c>
      <c r="T625" s="18">
        <f t="shared" si="115"/>
        <v>4.2671922809446539E-2</v>
      </c>
      <c r="U625" s="23">
        <v>3.6848280206057238E-2</v>
      </c>
      <c r="V625" s="23">
        <f t="shared" si="116"/>
        <v>4.2692609185735586E-2</v>
      </c>
      <c r="W625" s="22">
        <f t="shared" si="119"/>
        <v>3.4896845024816603E-3</v>
      </c>
      <c r="X625" s="23">
        <v>3.6373969833666475E-2</v>
      </c>
      <c r="Y625" s="23">
        <f t="shared" si="120"/>
        <v>4.2688046777009436E-2</v>
      </c>
      <c r="Z625" s="22">
        <f t="shared" si="121"/>
        <v>3.489311278194851E-3</v>
      </c>
      <c r="AA625" s="33"/>
      <c r="AB625" s="50">
        <f t="shared" si="117"/>
        <v>612</v>
      </c>
      <c r="AC625" s="48">
        <f t="shared" si="112"/>
        <v>0.27149110868782317</v>
      </c>
      <c r="AE625" s="48">
        <f t="shared" si="118"/>
        <v>0.99795272173343885</v>
      </c>
      <c r="AF625" s="48">
        <f t="shared" si="122"/>
        <v>0.27149110868782345</v>
      </c>
      <c r="AH625" s="48">
        <f t="shared" si="123"/>
        <v>0</v>
      </c>
    </row>
    <row r="626" spans="4:34" ht="13.9" customHeight="1">
      <c r="D626" s="8"/>
      <c r="E626" s="9"/>
      <c r="F626" s="18"/>
      <c r="G626" s="18"/>
      <c r="H626" s="18"/>
      <c r="J626" s="40"/>
      <c r="K626" s="40"/>
      <c r="L626" s="40"/>
      <c r="M626" s="38"/>
      <c r="O626" s="12">
        <f t="shared" si="113"/>
        <v>51.083333333333336</v>
      </c>
      <c r="P626" s="13">
        <v>613</v>
      </c>
      <c r="Q626" s="21">
        <v>2.5893200046555709E-2</v>
      </c>
      <c r="R626" s="18">
        <f t="shared" si="114"/>
        <v>2.4923776484597981E-2</v>
      </c>
      <c r="S626" s="21">
        <v>3.4494968260957437E-2</v>
      </c>
      <c r="T626" s="18">
        <f t="shared" si="115"/>
        <v>4.2675531957764523E-2</v>
      </c>
      <c r="U626" s="23">
        <v>3.685778745919932E-2</v>
      </c>
      <c r="V626" s="23">
        <f t="shared" si="116"/>
        <v>4.2695806237829093E-2</v>
      </c>
      <c r="W626" s="22">
        <f t="shared" si="119"/>
        <v>3.4899436078499324E-3</v>
      </c>
      <c r="X626" s="23">
        <v>3.6384238922959389E-2</v>
      </c>
      <c r="Y626" s="23">
        <f t="shared" si="120"/>
        <v>4.2691333651931229E-2</v>
      </c>
      <c r="Z626" s="22">
        <f t="shared" si="121"/>
        <v>3.4895777009968931E-3</v>
      </c>
      <c r="AA626" s="33"/>
      <c r="AB626" s="50">
        <f t="shared" si="117"/>
        <v>613</v>
      </c>
      <c r="AC626" s="48">
        <f t="shared" si="112"/>
        <v>0.27093499920012426</v>
      </c>
      <c r="AE626" s="48">
        <f t="shared" si="118"/>
        <v>0.99795164751292798</v>
      </c>
      <c r="AF626" s="48">
        <f t="shared" si="122"/>
        <v>0.27093499920012482</v>
      </c>
      <c r="AH626" s="48">
        <f t="shared" si="123"/>
        <v>5.5511151231257827E-16</v>
      </c>
    </row>
    <row r="627" spans="4:34" ht="13.9" customHeight="1">
      <c r="D627" s="8"/>
      <c r="E627" s="9"/>
      <c r="F627" s="18"/>
      <c r="G627" s="18"/>
      <c r="H627" s="18"/>
      <c r="J627" s="40"/>
      <c r="K627" s="40"/>
      <c r="L627" s="40"/>
      <c r="M627" s="38"/>
      <c r="O627" s="12">
        <f t="shared" si="113"/>
        <v>51.166666666666664</v>
      </c>
      <c r="P627" s="13">
        <v>614</v>
      </c>
      <c r="Q627" s="21">
        <v>2.5891620435586349E-2</v>
      </c>
      <c r="R627" s="18">
        <f t="shared" si="114"/>
        <v>2.4936790217211069E-2</v>
      </c>
      <c r="S627" s="21">
        <v>3.4508239336539237E-2</v>
      </c>
      <c r="T627" s="18">
        <f t="shared" si="115"/>
        <v>4.2679101316362988E-2</v>
      </c>
      <c r="U627" s="23">
        <v>3.6867269008667325E-2</v>
      </c>
      <c r="V627" s="23">
        <f t="shared" si="116"/>
        <v>4.2698969966762368E-2</v>
      </c>
      <c r="W627" s="22">
        <f t="shared" si="119"/>
        <v>3.4902000117258414E-3</v>
      </c>
      <c r="X627" s="23">
        <v>3.639447998460299E-2</v>
      </c>
      <c r="Y627" s="23">
        <f t="shared" si="120"/>
        <v>4.2694585820011843E-2</v>
      </c>
      <c r="Z627" s="22">
        <f t="shared" si="121"/>
        <v>3.4898413097188552E-3</v>
      </c>
      <c r="AA627" s="33"/>
      <c r="AB627" s="50">
        <f t="shared" si="117"/>
        <v>614</v>
      </c>
      <c r="AC627" s="48">
        <f t="shared" si="112"/>
        <v>0.27037974026547024</v>
      </c>
      <c r="AE627" s="48">
        <f t="shared" si="118"/>
        <v>0.9979505824781072</v>
      </c>
      <c r="AF627" s="48">
        <f t="shared" si="122"/>
        <v>0.27037974026547007</v>
      </c>
      <c r="AH627" s="48">
        <f t="shared" si="123"/>
        <v>0</v>
      </c>
    </row>
    <row r="628" spans="4:34" ht="13.9" customHeight="1">
      <c r="D628" s="8"/>
      <c r="E628" s="9"/>
      <c r="F628" s="18"/>
      <c r="G628" s="18"/>
      <c r="H628" s="18"/>
      <c r="J628" s="40"/>
      <c r="K628" s="40"/>
      <c r="L628" s="40"/>
      <c r="M628" s="38"/>
      <c r="O628" s="12">
        <f t="shared" si="113"/>
        <v>51.25</v>
      </c>
      <c r="P628" s="13">
        <v>615</v>
      </c>
      <c r="Q628" s="21">
        <v>2.5890067144339834E-2</v>
      </c>
      <c r="R628" s="18">
        <f t="shared" si="114"/>
        <v>2.494969290093918E-2</v>
      </c>
      <c r="S628" s="21">
        <v>3.4521473182008267E-2</v>
      </c>
      <c r="T628" s="18">
        <f t="shared" si="115"/>
        <v>4.2682631325355658E-2</v>
      </c>
      <c r="U628" s="23">
        <v>3.6876724925667403E-2</v>
      </c>
      <c r="V628" s="23">
        <f t="shared" si="116"/>
        <v>4.2702100721536462E-2</v>
      </c>
      <c r="W628" s="22">
        <f t="shared" si="119"/>
        <v>3.4904537423716686E-3</v>
      </c>
      <c r="X628" s="23">
        <v>3.6404693098872176E-2</v>
      </c>
      <c r="Y628" s="23">
        <f t="shared" si="120"/>
        <v>4.2697803649655031E-2</v>
      </c>
      <c r="Z628" s="22">
        <f t="shared" si="121"/>
        <v>3.490102134188211E-3</v>
      </c>
      <c r="AA628" s="33"/>
      <c r="AB628" s="50">
        <f t="shared" si="117"/>
        <v>615</v>
      </c>
      <c r="AC628" s="48">
        <f t="shared" si="112"/>
        <v>0.2698253337861351</v>
      </c>
      <c r="AE628" s="48">
        <f t="shared" si="118"/>
        <v>0.99794952654814284</v>
      </c>
      <c r="AF628" s="48">
        <f t="shared" si="122"/>
        <v>0.26982533378613571</v>
      </c>
      <c r="AH628" s="48">
        <f t="shared" si="123"/>
        <v>6.106226635438361E-16</v>
      </c>
    </row>
    <row r="629" spans="4:34" ht="13.9" customHeight="1">
      <c r="D629" s="8"/>
      <c r="E629" s="9"/>
      <c r="F629" s="18"/>
      <c r="G629" s="18"/>
      <c r="H629" s="18"/>
      <c r="J629" s="40"/>
      <c r="K629" s="40"/>
      <c r="L629" s="40"/>
      <c r="M629" s="38"/>
      <c r="O629" s="12">
        <f t="shared" si="113"/>
        <v>51.333333333333336</v>
      </c>
      <c r="P629" s="13">
        <v>616</v>
      </c>
      <c r="Q629" s="21">
        <v>2.5888539863820226E-2</v>
      </c>
      <c r="R629" s="18">
        <f t="shared" si="114"/>
        <v>2.4962485508615462E-2</v>
      </c>
      <c r="S629" s="21">
        <v>3.4534669914678462E-2</v>
      </c>
      <c r="T629" s="18">
        <f t="shared" si="115"/>
        <v>4.2686122420886319E-2</v>
      </c>
      <c r="U629" s="23">
        <v>3.6886155281507182E-2</v>
      </c>
      <c r="V629" s="23">
        <f t="shared" si="116"/>
        <v>4.2705198847402093E-2</v>
      </c>
      <c r="W629" s="22">
        <f t="shared" si="119"/>
        <v>3.4907048277996733E-3</v>
      </c>
      <c r="X629" s="23">
        <v>3.6414878346115565E-2</v>
      </c>
      <c r="Y629" s="23">
        <f t="shared" si="120"/>
        <v>4.2700987504615595E-2</v>
      </c>
      <c r="Z629" s="22">
        <f t="shared" si="121"/>
        <v>3.4903602039746406E-3</v>
      </c>
      <c r="AA629" s="33"/>
      <c r="AB629" s="50">
        <f t="shared" si="117"/>
        <v>616</v>
      </c>
      <c r="AC629" s="48">
        <f t="shared" si="112"/>
        <v>0.26927178162103538</v>
      </c>
      <c r="AE629" s="48">
        <f t="shared" si="118"/>
        <v>0.99794847964298727</v>
      </c>
      <c r="AF629" s="48">
        <f t="shared" si="122"/>
        <v>0.26927178162103571</v>
      </c>
      <c r="AH629" s="48">
        <f t="shared" si="123"/>
        <v>0</v>
      </c>
    </row>
    <row r="630" spans="4:34" ht="13.9" customHeight="1">
      <c r="D630" s="8"/>
      <c r="E630" s="9"/>
      <c r="F630" s="18"/>
      <c r="G630" s="18"/>
      <c r="H630" s="18"/>
      <c r="J630" s="40"/>
      <c r="K630" s="40"/>
      <c r="L630" s="40"/>
      <c r="M630" s="38"/>
      <c r="O630" s="12">
        <f t="shared" si="113"/>
        <v>51.416666666666664</v>
      </c>
      <c r="P630" s="13">
        <v>617</v>
      </c>
      <c r="Q630" s="21">
        <v>2.5887038288623154E-2</v>
      </c>
      <c r="R630" s="18">
        <f t="shared" si="114"/>
        <v>2.4975169004475273E-2</v>
      </c>
      <c r="S630" s="21">
        <v>3.454782965180625E-2</v>
      </c>
      <c r="T630" s="18">
        <f t="shared" si="115"/>
        <v>4.2689575033302729E-2</v>
      </c>
      <c r="U630" s="23">
        <v>3.6895560147588657E-2</v>
      </c>
      <c r="V630" s="23">
        <f t="shared" si="116"/>
        <v>4.2708264685397568E-2</v>
      </c>
      <c r="W630" s="22">
        <f t="shared" si="119"/>
        <v>3.490953295720356E-3</v>
      </c>
      <c r="X630" s="23">
        <v>3.6425035806747497E-2</v>
      </c>
      <c r="Y630" s="23">
        <f t="shared" si="120"/>
        <v>4.2704137745408044E-2</v>
      </c>
      <c r="Z630" s="22">
        <f t="shared" si="121"/>
        <v>3.4906155482747891E-3</v>
      </c>
      <c r="AA630" s="33"/>
      <c r="AB630" s="50">
        <f t="shared" si="117"/>
        <v>617</v>
      </c>
      <c r="AC630" s="48">
        <f t="shared" si="112"/>
        <v>0.2687190855862262</v>
      </c>
      <c r="AE630" s="48">
        <f t="shared" si="118"/>
        <v>0.99794744168333904</v>
      </c>
      <c r="AF630" s="48">
        <f t="shared" si="122"/>
        <v>0.26871908558622731</v>
      </c>
      <c r="AH630" s="48">
        <f t="shared" si="123"/>
        <v>1.1102230246251565E-15</v>
      </c>
    </row>
    <row r="631" spans="4:34" ht="13.9" customHeight="1">
      <c r="D631" s="8"/>
      <c r="E631" s="9"/>
      <c r="F631" s="18"/>
      <c r="G631" s="18"/>
      <c r="H631" s="18"/>
      <c r="J631" s="40"/>
      <c r="K631" s="40"/>
      <c r="L631" s="40"/>
      <c r="M631" s="38"/>
      <c r="O631" s="12">
        <f t="shared" si="113"/>
        <v>51.5</v>
      </c>
      <c r="P631" s="13">
        <v>618</v>
      </c>
      <c r="Q631" s="21">
        <v>2.5885562116891858E-2</v>
      </c>
      <c r="R631" s="18">
        <f t="shared" si="114"/>
        <v>2.4987744344162399E-2</v>
      </c>
      <c r="S631" s="21">
        <v>3.4560952510581222E-2</v>
      </c>
      <c r="T631" s="18">
        <f t="shared" si="115"/>
        <v>4.2692989589143693E-2</v>
      </c>
      <c r="U631" s="23">
        <v>3.6904939595401309E-2</v>
      </c>
      <c r="V631" s="23">
        <f t="shared" si="116"/>
        <v>4.2711298573986145E-2</v>
      </c>
      <c r="W631" s="22">
        <f t="shared" si="119"/>
        <v>3.4911991735062653E-3</v>
      </c>
      <c r="X631" s="23">
        <v>3.6435165561242266E-2</v>
      </c>
      <c r="Y631" s="23">
        <f t="shared" si="120"/>
        <v>4.2707254728049149E-2</v>
      </c>
      <c r="Z631" s="22">
        <f t="shared" si="121"/>
        <v>3.4908681960241772E-3</v>
      </c>
      <c r="AA631" s="33"/>
      <c r="AB631" s="50">
        <f t="shared" si="117"/>
        <v>618</v>
      </c>
      <c r="AC631" s="48">
        <f t="shared" si="112"/>
        <v>0.2681672474554026</v>
      </c>
      <c r="AE631" s="48">
        <f t="shared" si="118"/>
        <v>0.99794641259060135</v>
      </c>
      <c r="AF631" s="48">
        <f t="shared" si="122"/>
        <v>0.26816724745540232</v>
      </c>
      <c r="AH631" s="48">
        <f t="shared" si="123"/>
        <v>0</v>
      </c>
    </row>
    <row r="632" spans="4:34" ht="13.9" customHeight="1">
      <c r="D632" s="8"/>
      <c r="E632" s="9"/>
      <c r="F632" s="18"/>
      <c r="G632" s="18"/>
      <c r="H632" s="18"/>
      <c r="J632" s="40"/>
      <c r="K632" s="40"/>
      <c r="L632" s="40"/>
      <c r="M632" s="38"/>
      <c r="O632" s="12">
        <f t="shared" si="113"/>
        <v>51.583333333333336</v>
      </c>
      <c r="P632" s="13">
        <v>619</v>
      </c>
      <c r="Q632" s="21">
        <v>2.5884111050275438E-2</v>
      </c>
      <c r="R632" s="18">
        <f t="shared" si="114"/>
        <v>2.5000212473759387E-2</v>
      </c>
      <c r="S632" s="21">
        <v>3.4574038608120805E-2</v>
      </c>
      <c r="T632" s="18">
        <f t="shared" si="115"/>
        <v>4.2696366509071604E-2</v>
      </c>
      <c r="U632" s="23">
        <v>3.6914293696516554E-2</v>
      </c>
      <c r="V632" s="23">
        <f t="shared" si="116"/>
        <v>4.2714300847034758E-2</v>
      </c>
      <c r="W632" s="22">
        <f t="shared" si="119"/>
        <v>3.4914424883225603E-3</v>
      </c>
      <c r="X632" s="23">
        <v>3.6445267690126348E-2</v>
      </c>
      <c r="Y632" s="23">
        <f t="shared" si="120"/>
        <v>4.2710338805491244E-2</v>
      </c>
      <c r="Z632" s="22">
        <f t="shared" si="121"/>
        <v>3.491118175797725E-3</v>
      </c>
      <c r="AA632" s="33"/>
      <c r="AB632" s="50">
        <f t="shared" si="117"/>
        <v>619</v>
      </c>
      <c r="AC632" s="48">
        <f t="shared" si="112"/>
        <v>0.26761626896037405</v>
      </c>
      <c r="AE632" s="48">
        <f t="shared" si="118"/>
        <v>0.99794539228688173</v>
      </c>
      <c r="AF632" s="48">
        <f t="shared" si="122"/>
        <v>0.26761626896037477</v>
      </c>
      <c r="AH632" s="48">
        <f t="shared" si="123"/>
        <v>7.2164496600635175E-16</v>
      </c>
    </row>
    <row r="633" spans="4:34" ht="13.9" customHeight="1">
      <c r="D633" s="8"/>
      <c r="E633" s="9"/>
      <c r="F633" s="18"/>
      <c r="G633" s="18"/>
      <c r="H633" s="18"/>
      <c r="J633" s="40"/>
      <c r="K633" s="40"/>
      <c r="L633" s="40"/>
      <c r="M633" s="38"/>
      <c r="O633" s="12">
        <f t="shared" si="113"/>
        <v>51.666666666666664</v>
      </c>
      <c r="P633" s="13">
        <v>620</v>
      </c>
      <c r="Q633" s="21">
        <v>2.5882684793883781E-2</v>
      </c>
      <c r="R633" s="18">
        <f t="shared" si="114"/>
        <v>2.5012574330710802E-2</v>
      </c>
      <c r="S633" s="21">
        <v>3.4587088061461824E-2</v>
      </c>
      <c r="T633" s="18">
        <f t="shared" si="115"/>
        <v>4.2699706209551991E-2</v>
      </c>
      <c r="U633" s="23">
        <v>3.6923622522579969E-2</v>
      </c>
      <c r="V633" s="23">
        <f t="shared" si="116"/>
        <v>4.271727183543983E-2</v>
      </c>
      <c r="W633" s="22">
        <f t="shared" si="119"/>
        <v>3.4916832669653619E-3</v>
      </c>
      <c r="X633" s="23">
        <v>3.645534227397329E-2</v>
      </c>
      <c r="Y633" s="23">
        <f t="shared" si="120"/>
        <v>4.2713390326180711E-2</v>
      </c>
      <c r="Z633" s="22">
        <f t="shared" si="121"/>
        <v>3.4913655159238832E-3</v>
      </c>
      <c r="AA633" s="33"/>
      <c r="AB633" s="50">
        <f t="shared" si="117"/>
        <v>620</v>
      </c>
      <c r="AC633" s="48">
        <f t="shared" si="112"/>
        <v>0.26706615179158621</v>
      </c>
      <c r="AE633" s="48">
        <f t="shared" si="118"/>
        <v>0.99794438069507108</v>
      </c>
      <c r="AF633" s="48">
        <f t="shared" si="122"/>
        <v>0.26706615179158677</v>
      </c>
      <c r="AH633" s="48">
        <f t="shared" si="123"/>
        <v>5.5511151231257827E-16</v>
      </c>
    </row>
    <row r="634" spans="4:34" ht="13.9" customHeight="1">
      <c r="D634" s="8"/>
      <c r="E634" s="9"/>
      <c r="F634" s="18"/>
      <c r="G634" s="18"/>
      <c r="H634" s="18"/>
      <c r="J634" s="40"/>
      <c r="K634" s="40"/>
      <c r="L634" s="40"/>
      <c r="M634" s="38"/>
      <c r="O634" s="12">
        <f t="shared" si="113"/>
        <v>51.75</v>
      </c>
      <c r="P634" s="13">
        <v>621</v>
      </c>
      <c r="Q634" s="21">
        <v>2.5881283056246485E-2</v>
      </c>
      <c r="R634" s="18">
        <f t="shared" si="114"/>
        <v>2.5024830845215229E-2</v>
      </c>
      <c r="S634" s="21">
        <v>3.4600100987553839E-2</v>
      </c>
      <c r="T634" s="18">
        <f t="shared" si="115"/>
        <v>4.2703009103073786E-2</v>
      </c>
      <c r="U634" s="23">
        <v>3.6932926145306189E-2</v>
      </c>
      <c r="V634" s="23">
        <f t="shared" si="116"/>
        <v>4.2720211866971392E-2</v>
      </c>
      <c r="W634" s="22">
        <f t="shared" si="119"/>
        <v>3.491921535992315E-3</v>
      </c>
      <c r="X634" s="23">
        <v>3.6465389393395942E-2</v>
      </c>
      <c r="Y634" s="23">
        <f t="shared" si="120"/>
        <v>4.2716409635442654E-2</v>
      </c>
      <c r="Z634" s="22">
        <f t="shared" si="121"/>
        <v>3.4916102443687258E-3</v>
      </c>
      <c r="AA634" s="33"/>
      <c r="AB634" s="50">
        <f t="shared" si="117"/>
        <v>621</v>
      </c>
      <c r="AC634" s="48">
        <f t="shared" si="112"/>
        <v>0.26651689759858976</v>
      </c>
      <c r="AE634" s="48">
        <f t="shared" si="118"/>
        <v>0.99794337773876751</v>
      </c>
      <c r="AF634" s="48">
        <f t="shared" si="122"/>
        <v>0.26651689759859049</v>
      </c>
      <c r="AH634" s="48">
        <f t="shared" si="123"/>
        <v>7.2164496600635175E-16</v>
      </c>
    </row>
    <row r="635" spans="4:34" ht="13.9" customHeight="1">
      <c r="D635" s="8"/>
      <c r="E635" s="9"/>
      <c r="F635" s="18"/>
      <c r="G635" s="18"/>
      <c r="H635" s="18"/>
      <c r="J635" s="40"/>
      <c r="K635" s="40"/>
      <c r="L635" s="40"/>
      <c r="M635" s="38"/>
      <c r="O635" s="12">
        <f t="shared" si="113"/>
        <v>51.833333333333336</v>
      </c>
      <c r="P635" s="13">
        <v>622</v>
      </c>
      <c r="Q635" s="21">
        <v>2.5879905549273108E-2</v>
      </c>
      <c r="R635" s="18">
        <f t="shared" si="114"/>
        <v>2.5036982936854413E-2</v>
      </c>
      <c r="S635" s="21">
        <v>3.4613077503253598E-2</v>
      </c>
      <c r="T635" s="18">
        <f t="shared" si="115"/>
        <v>4.2706275596195775E-2</v>
      </c>
      <c r="U635" s="23">
        <v>3.6942204636472908E-2</v>
      </c>
      <c r="V635" s="23">
        <f t="shared" si="116"/>
        <v>4.2723121264666597E-2</v>
      </c>
      <c r="W635" s="22">
        <f t="shared" si="119"/>
        <v>3.4921573217097102E-3</v>
      </c>
      <c r="X635" s="23">
        <v>3.6475409129041125E-2</v>
      </c>
      <c r="Y635" s="23">
        <f t="shared" si="120"/>
        <v>4.2719397074502341E-2</v>
      </c>
      <c r="Z635" s="22">
        <f t="shared" si="121"/>
        <v>3.4918523888480824E-3</v>
      </c>
      <c r="AA635" s="33"/>
      <c r="AB635" s="50">
        <f t="shared" si="117"/>
        <v>622</v>
      </c>
      <c r="AC635" s="48">
        <f t="shared" si="112"/>
        <v>0.26596850799049593</v>
      </c>
      <c r="AE635" s="48">
        <f t="shared" si="118"/>
        <v>0.99794238334216456</v>
      </c>
      <c r="AF635" s="48">
        <f t="shared" si="122"/>
        <v>0.26596850799049698</v>
      </c>
      <c r="AH635" s="48">
        <f t="shared" si="123"/>
        <v>1.0547118733938987E-15</v>
      </c>
    </row>
    <row r="636" spans="4:34" ht="13.9" customHeight="1">
      <c r="D636" s="8"/>
      <c r="E636" s="9"/>
      <c r="F636" s="18"/>
      <c r="G636" s="18"/>
      <c r="H636" s="18"/>
      <c r="J636" s="40"/>
      <c r="K636" s="40"/>
      <c r="L636" s="40"/>
      <c r="M636" s="38"/>
      <c r="O636" s="12">
        <f t="shared" si="113"/>
        <v>51.916666666666664</v>
      </c>
      <c r="P636" s="13">
        <v>623</v>
      </c>
      <c r="Q636" s="21">
        <v>2.5878551988208764E-2</v>
      </c>
      <c r="R636" s="18">
        <f t="shared" si="114"/>
        <v>2.5049031518640019E-2</v>
      </c>
      <c r="S636" s="21">
        <v>3.4626017725317038E-2</v>
      </c>
      <c r="T636" s="18">
        <f t="shared" si="115"/>
        <v>4.2709506092180494E-2</v>
      </c>
      <c r="U636" s="23">
        <v>3.6951458067913556E-2</v>
      </c>
      <c r="V636" s="23">
        <f t="shared" si="116"/>
        <v>4.2726000349496474E-2</v>
      </c>
      <c r="W636" s="22">
        <f t="shared" si="119"/>
        <v>3.4923906500434754E-3</v>
      </c>
      <c r="X636" s="23">
        <v>3.6485401561582975E-2</v>
      </c>
      <c r="Y636" s="23">
        <f t="shared" si="120"/>
        <v>4.2722352980864242E-2</v>
      </c>
      <c r="Z636" s="22">
        <f t="shared" si="121"/>
        <v>3.4920919767480463E-3</v>
      </c>
      <c r="AA636" s="33"/>
      <c r="AB636" s="50">
        <f t="shared" si="117"/>
        <v>623</v>
      </c>
      <c r="AC636" s="48">
        <f t="shared" si="112"/>
        <v>0.26542098453649465</v>
      </c>
      <c r="AE636" s="48">
        <f t="shared" si="118"/>
        <v>0.99794139743032351</v>
      </c>
      <c r="AF636" s="48">
        <f t="shared" si="122"/>
        <v>0.26542098453649471</v>
      </c>
      <c r="AH636" s="48">
        <f t="shared" si="123"/>
        <v>0</v>
      </c>
    </row>
    <row r="637" spans="4:34" ht="13.9" customHeight="1">
      <c r="D637" s="8"/>
      <c r="E637" s="9"/>
      <c r="F637" s="18"/>
      <c r="G637" s="18"/>
      <c r="H637" s="18"/>
      <c r="J637" s="40"/>
      <c r="K637" s="40"/>
      <c r="L637" s="40"/>
      <c r="M637" s="38"/>
      <c r="O637" s="12">
        <f t="shared" si="113"/>
        <v>52</v>
      </c>
      <c r="P637" s="13">
        <v>624</v>
      </c>
      <c r="Q637" s="21">
        <v>2.5877222091597041E-2</v>
      </c>
      <c r="R637" s="18">
        <f t="shared" si="114"/>
        <v>2.5060977493951864E-2</v>
      </c>
      <c r="S637" s="21">
        <v>3.463892177039396E-2</v>
      </c>
      <c r="T637" s="18">
        <f t="shared" si="115"/>
        <v>4.271270098893476E-2</v>
      </c>
      <c r="U637" s="23">
        <v>3.6960686511512408E-2</v>
      </c>
      <c r="V637" s="23">
        <f t="shared" si="116"/>
        <v>4.2728849438303351E-2</v>
      </c>
      <c r="W637" s="22">
        <f t="shared" si="119"/>
        <v>3.4926215467538935E-3</v>
      </c>
      <c r="X637" s="23">
        <v>3.6495366771716942E-2</v>
      </c>
      <c r="Y637" s="23">
        <f t="shared" si="120"/>
        <v>4.2725277689251051E-2</v>
      </c>
      <c r="Z637" s="22">
        <f t="shared" si="121"/>
        <v>3.492329035156283E-3</v>
      </c>
      <c r="AA637" s="33"/>
      <c r="AB637" s="50">
        <f t="shared" si="117"/>
        <v>624</v>
      </c>
      <c r="AC637" s="48">
        <f t="shared" si="112"/>
        <v>0.26487432876627676</v>
      </c>
      <c r="AE637" s="48">
        <f t="shared" si="118"/>
        <v>0.99794041992884541</v>
      </c>
      <c r="AF637" s="48">
        <f t="shared" si="122"/>
        <v>0.26487432876627709</v>
      </c>
      <c r="AH637" s="48">
        <f t="shared" si="123"/>
        <v>0</v>
      </c>
    </row>
    <row r="638" spans="4:34" ht="13.9" customHeight="1">
      <c r="D638" s="8"/>
      <c r="E638" s="9"/>
      <c r="F638" s="18"/>
      <c r="G638" s="18"/>
      <c r="H638" s="18"/>
      <c r="J638" s="40"/>
      <c r="K638" s="40"/>
      <c r="L638" s="40"/>
      <c r="M638" s="38"/>
      <c r="O638" s="12">
        <f t="shared" si="113"/>
        <v>52.083333333333336</v>
      </c>
      <c r="P638" s="13">
        <v>625</v>
      </c>
      <c r="Q638" s="21">
        <v>2.5875915581237585E-2</v>
      </c>
      <c r="R638" s="18">
        <f t="shared" si="114"/>
        <v>2.5072821758661101E-2</v>
      </c>
      <c r="S638" s="21">
        <v>3.4651789755020923E-2</v>
      </c>
      <c r="T638" s="18">
        <f t="shared" si="115"/>
        <v>4.271586068039257E-2</v>
      </c>
      <c r="U638" s="23">
        <v>3.6969890039199038E-2</v>
      </c>
      <c r="V638" s="23">
        <f t="shared" si="116"/>
        <v>4.2731668845214621E-2</v>
      </c>
      <c r="W638" s="22">
        <f t="shared" si="119"/>
        <v>3.4928500372692906E-3</v>
      </c>
      <c r="X638" s="23">
        <v>3.6505304840154906E-2</v>
      </c>
      <c r="Y638" s="23">
        <f t="shared" si="120"/>
        <v>4.2728171529611281E-2</v>
      </c>
      <c r="Z638" s="22">
        <f t="shared" si="121"/>
        <v>3.492563590936193E-3</v>
      </c>
      <c r="AA638" s="33"/>
      <c r="AB638" s="50">
        <f t="shared" si="117"/>
        <v>625</v>
      </c>
      <c r="AC638" s="48">
        <f t="shared" si="112"/>
        <v>0.26432854217053325</v>
      </c>
      <c r="AE638" s="48">
        <f t="shared" si="118"/>
        <v>0.99793945076411938</v>
      </c>
      <c r="AF638" s="48">
        <f t="shared" si="122"/>
        <v>0.26432854217053336</v>
      </c>
      <c r="AH638" s="48">
        <f t="shared" si="123"/>
        <v>0</v>
      </c>
    </row>
    <row r="639" spans="4:34" ht="13.9" customHeight="1">
      <c r="D639" s="8"/>
      <c r="E639" s="9"/>
      <c r="F639" s="18"/>
      <c r="G639" s="18"/>
      <c r="H639" s="18"/>
      <c r="J639" s="40"/>
      <c r="K639" s="40"/>
      <c r="L639" s="40"/>
      <c r="M639" s="38"/>
      <c r="O639" s="12">
        <f t="shared" si="113"/>
        <v>52.166666666666664</v>
      </c>
      <c r="P639" s="13">
        <v>626</v>
      </c>
      <c r="Q639" s="21">
        <v>2.5874632182148138E-2</v>
      </c>
      <c r="R639" s="18">
        <f t="shared" si="114"/>
        <v>2.5084565200253817E-2</v>
      </c>
      <c r="S639" s="21">
        <v>3.4664621795615913E-2</v>
      </c>
      <c r="T639" s="18">
        <f t="shared" si="115"/>
        <v>4.2718985555918243E-2</v>
      </c>
      <c r="U639" s="23">
        <v>3.6979068722942321E-2</v>
      </c>
      <c r="V639" s="23">
        <f t="shared" si="116"/>
        <v>4.2734458880091308E-2</v>
      </c>
      <c r="W639" s="22">
        <f t="shared" si="119"/>
        <v>3.4930761467999449E-3</v>
      </c>
      <c r="X639" s="23">
        <v>3.651521584761741E-2</v>
      </c>
      <c r="Y639" s="23">
        <f t="shared" si="120"/>
        <v>4.2731034829416981E-2</v>
      </c>
      <c r="Z639" s="22">
        <f t="shared" si="121"/>
        <v>3.4927956705685936E-3</v>
      </c>
      <c r="AA639" s="33"/>
      <c r="AB639" s="50">
        <f t="shared" si="117"/>
        <v>626</v>
      </c>
      <c r="AC639" s="48">
        <f t="shared" si="112"/>
        <v>0.26378362620138895</v>
      </c>
      <c r="AE639" s="48">
        <f t="shared" si="118"/>
        <v>0.99793848986315015</v>
      </c>
      <c r="AF639" s="48">
        <f t="shared" si="122"/>
        <v>0.26378362620139006</v>
      </c>
      <c r="AH639" s="48">
        <f t="shared" si="123"/>
        <v>1.1102230246251565E-15</v>
      </c>
    </row>
    <row r="640" spans="4:34" ht="13.9" customHeight="1">
      <c r="D640" s="8"/>
      <c r="E640" s="9"/>
      <c r="F640" s="18"/>
      <c r="G640" s="18"/>
      <c r="H640" s="18"/>
      <c r="J640" s="40"/>
      <c r="K640" s="40"/>
      <c r="L640" s="40"/>
      <c r="M640" s="38"/>
      <c r="O640" s="12">
        <f t="shared" si="113"/>
        <v>52.25</v>
      </c>
      <c r="P640" s="13">
        <v>627</v>
      </c>
      <c r="Q640" s="21">
        <v>2.587337162252501E-2</v>
      </c>
      <c r="R640" s="18">
        <f t="shared" si="114"/>
        <v>2.509620869790985E-2</v>
      </c>
      <c r="S640" s="21">
        <v>3.4677418008471683E-2</v>
      </c>
      <c r="T640" s="18">
        <f t="shared" si="115"/>
        <v>4.2722076000564879E-2</v>
      </c>
      <c r="U640" s="23">
        <v>3.6988222634744439E-2</v>
      </c>
      <c r="V640" s="23">
        <f t="shared" si="116"/>
        <v>4.2737219850244479E-2</v>
      </c>
      <c r="W640" s="22">
        <f t="shared" si="119"/>
        <v>3.4932999002139642E-3</v>
      </c>
      <c r="X640" s="23">
        <v>3.6525099874830103E-2</v>
      </c>
      <c r="Y640" s="23">
        <f t="shared" si="120"/>
        <v>4.2733867911531442E-2</v>
      </c>
      <c r="Z640" s="22">
        <f t="shared" si="121"/>
        <v>3.4930253003342404E-3</v>
      </c>
      <c r="AA640" s="33"/>
      <c r="AB640" s="50">
        <f t="shared" si="117"/>
        <v>627</v>
      </c>
      <c r="AC640" s="48">
        <f t="shared" si="112"/>
        <v>0.26323958227286876</v>
      </c>
      <c r="AE640" s="48">
        <f t="shared" si="118"/>
        <v>0.99793753715362898</v>
      </c>
      <c r="AF640" s="48">
        <f t="shared" si="122"/>
        <v>0.2632395822728687</v>
      </c>
      <c r="AH640" s="48">
        <f t="shared" si="123"/>
        <v>0</v>
      </c>
    </row>
    <row r="641" spans="4:34" ht="13.9" customHeight="1">
      <c r="D641" s="8"/>
      <c r="E641" s="9"/>
      <c r="F641" s="18"/>
      <c r="G641" s="18"/>
      <c r="H641" s="18"/>
      <c r="J641" s="40"/>
      <c r="K641" s="40"/>
      <c r="L641" s="40"/>
      <c r="M641" s="38"/>
      <c r="O641" s="12">
        <f t="shared" si="113"/>
        <v>52.333333333333336</v>
      </c>
      <c r="P641" s="13">
        <v>628</v>
      </c>
      <c r="Q641" s="21">
        <v>2.5872133633705108E-2</v>
      </c>
      <c r="R641" s="18">
        <f t="shared" si="114"/>
        <v>2.5107753123040366E-2</v>
      </c>
      <c r="S641" s="21">
        <v>3.4690178509750424E-2</v>
      </c>
      <c r="T641" s="18">
        <f t="shared" si="115"/>
        <v>4.2725132395271981E-2</v>
      </c>
      <c r="U641" s="23">
        <v>3.6997351846635995E-2</v>
      </c>
      <c r="V641" s="23">
        <f t="shared" si="116"/>
        <v>4.2739952059868802E-2</v>
      </c>
      <c r="W641" s="22">
        <f t="shared" si="119"/>
        <v>3.4935213221736205E-3</v>
      </c>
      <c r="X641" s="23">
        <v>3.6534957002516188E-2</v>
      </c>
      <c r="Y641" s="23">
        <f t="shared" si="120"/>
        <v>4.2736671097125534E-2</v>
      </c>
      <c r="Z641" s="22">
        <f t="shared" si="121"/>
        <v>3.4932525061450725E-3</v>
      </c>
      <c r="AA641" s="33"/>
      <c r="AB641" s="50">
        <f t="shared" si="117"/>
        <v>628</v>
      </c>
      <c r="AC641" s="48">
        <f t="shared" si="112"/>
        <v>0.26269641176133796</v>
      </c>
      <c r="AE641" s="48">
        <f t="shared" si="118"/>
        <v>0.99793659256392719</v>
      </c>
      <c r="AF641" s="48">
        <f t="shared" si="122"/>
        <v>0.26269641176133818</v>
      </c>
      <c r="AH641" s="48">
        <f t="shared" si="123"/>
        <v>0</v>
      </c>
    </row>
    <row r="642" spans="4:34" ht="13.9" customHeight="1">
      <c r="D642" s="8"/>
      <c r="E642" s="9"/>
      <c r="F642" s="18"/>
      <c r="G642" s="18"/>
      <c r="H642" s="18"/>
      <c r="J642" s="40"/>
      <c r="K642" s="40"/>
      <c r="L642" s="40"/>
      <c r="M642" s="38"/>
      <c r="O642" s="12">
        <f t="shared" si="113"/>
        <v>52.416666666666664</v>
      </c>
      <c r="P642" s="13">
        <v>629</v>
      </c>
      <c r="Q642" s="21">
        <v>2.5870917950127525E-2</v>
      </c>
      <c r="R642" s="18">
        <f t="shared" si="114"/>
        <v>2.5119199338824449E-2</v>
      </c>
      <c r="S642" s="21">
        <v>3.470290341547777E-2</v>
      </c>
      <c r="T642" s="18">
        <f t="shared" si="115"/>
        <v>4.2728155116422251E-2</v>
      </c>
      <c r="U642" s="23">
        <v>3.7006456430670687E-2</v>
      </c>
      <c r="V642" s="23">
        <f t="shared" si="116"/>
        <v>4.2742655809383745E-2</v>
      </c>
      <c r="W642" s="22">
        <f t="shared" si="119"/>
        <v>3.493740437091386E-3</v>
      </c>
      <c r="X642" s="23">
        <v>3.6544787311393545E-2</v>
      </c>
      <c r="Y642" s="23">
        <f t="shared" si="120"/>
        <v>4.2739444701905382E-2</v>
      </c>
      <c r="Z642" s="22">
        <f t="shared" si="121"/>
        <v>3.4934773137758057E-3</v>
      </c>
      <c r="AA642" s="33"/>
      <c r="AB642" s="50">
        <f t="shared" si="117"/>
        <v>629</v>
      </c>
      <c r="AC642" s="48">
        <f t="shared" si="112"/>
        <v>0.2621541160059534</v>
      </c>
      <c r="AE642" s="48">
        <f t="shared" si="118"/>
        <v>0.99793565602305234</v>
      </c>
      <c r="AF642" s="48">
        <f t="shared" si="122"/>
        <v>0.2621541160059529</v>
      </c>
      <c r="AH642" s="48">
        <f t="shared" si="123"/>
        <v>-4.9960036108132044E-16</v>
      </c>
    </row>
    <row r="643" spans="4:34" ht="13.9" customHeight="1">
      <c r="D643" s="8"/>
      <c r="E643" s="9"/>
      <c r="F643" s="18"/>
      <c r="G643" s="18"/>
      <c r="H643" s="18"/>
      <c r="J643" s="40"/>
      <c r="K643" s="40"/>
      <c r="L643" s="40"/>
      <c r="M643" s="38"/>
      <c r="O643" s="12">
        <f t="shared" si="113"/>
        <v>52.5</v>
      </c>
      <c r="P643" s="13">
        <v>630</v>
      </c>
      <c r="Q643" s="21">
        <v>2.586972430929646E-2</v>
      </c>
      <c r="R643" s="18">
        <f t="shared" si="114"/>
        <v>2.5130548201210523E-2</v>
      </c>
      <c r="S643" s="21">
        <v>3.4715592841537246E-2</v>
      </c>
      <c r="T643" s="18">
        <f t="shared" si="115"/>
        <v>4.2731144536309884E-2</v>
      </c>
      <c r="U643" s="23">
        <v>3.7015536458919751E-2</v>
      </c>
      <c r="V643" s="23">
        <f t="shared" si="116"/>
        <v>4.2745331396130126E-2</v>
      </c>
      <c r="W643" s="22">
        <f t="shared" si="119"/>
        <v>3.4939572690768639E-3</v>
      </c>
      <c r="X643" s="23">
        <v>3.6554590882166504E-2</v>
      </c>
      <c r="Y643" s="23">
        <f t="shared" si="120"/>
        <v>4.2742189039405076E-2</v>
      </c>
      <c r="Z643" s="22">
        <f t="shared" si="121"/>
        <v>3.4936997485628396E-3</v>
      </c>
      <c r="AA643" s="33"/>
      <c r="AB643" s="50">
        <f t="shared" si="117"/>
        <v>630</v>
      </c>
      <c r="AC643" s="48">
        <f t="shared" si="112"/>
        <v>0.261612696309097</v>
      </c>
      <c r="AE643" s="48">
        <f t="shared" si="118"/>
        <v>0.9979347274606859</v>
      </c>
      <c r="AF643" s="48">
        <f t="shared" si="122"/>
        <v>0.26161269630909761</v>
      </c>
      <c r="AH643" s="48">
        <f t="shared" si="123"/>
        <v>6.106226635438361E-16</v>
      </c>
    </row>
    <row r="644" spans="4:34" ht="13.9" customHeight="1">
      <c r="D644" s="8"/>
      <c r="E644" s="9"/>
      <c r="F644" s="18"/>
      <c r="G644" s="18"/>
      <c r="H644" s="18"/>
      <c r="J644" s="40"/>
      <c r="K644" s="40"/>
      <c r="L644" s="40"/>
      <c r="M644" s="38"/>
      <c r="O644" s="12">
        <f t="shared" si="113"/>
        <v>52.583333333333336</v>
      </c>
      <c r="P644" s="13">
        <v>631</v>
      </c>
      <c r="Q644" s="21">
        <v>2.5868552451744575E-2</v>
      </c>
      <c r="R644" s="18">
        <f t="shared" si="114"/>
        <v>2.5141800557467731E-2</v>
      </c>
      <c r="S644" s="21">
        <v>3.4728246903664717E-2</v>
      </c>
      <c r="T644" s="18">
        <f t="shared" si="115"/>
        <v>4.2734101023364168E-2</v>
      </c>
      <c r="U644" s="23">
        <v>3.7024592003466861E-2</v>
      </c>
      <c r="V644" s="23">
        <f t="shared" si="116"/>
        <v>4.2747979115116852E-2</v>
      </c>
      <c r="W644" s="22">
        <f t="shared" si="119"/>
        <v>3.4941718419918555E-3</v>
      </c>
      <c r="X644" s="23">
        <v>3.6564367795522523E-2</v>
      </c>
      <c r="Y644" s="23">
        <f t="shared" si="120"/>
        <v>4.2744904419894425E-2</v>
      </c>
      <c r="Z644" s="22">
        <f t="shared" si="121"/>
        <v>3.4939198356678247E-3</v>
      </c>
      <c r="AA644" s="33"/>
      <c r="AB644" s="50">
        <f t="shared" si="117"/>
        <v>631</v>
      </c>
      <c r="AC644" s="48">
        <f t="shared" si="112"/>
        <v>0.26107215393680716</v>
      </c>
      <c r="AE644" s="48">
        <f t="shared" si="118"/>
        <v>0.99793380680710209</v>
      </c>
      <c r="AF644" s="48">
        <f t="shared" si="122"/>
        <v>0.2610721539368081</v>
      </c>
      <c r="AH644" s="48">
        <f t="shared" si="123"/>
        <v>9.4368957093138306E-16</v>
      </c>
    </row>
    <row r="645" spans="4:34" ht="13.9" customHeight="1">
      <c r="D645" s="8"/>
      <c r="E645" s="9"/>
      <c r="F645" s="18"/>
      <c r="G645" s="18"/>
      <c r="H645" s="18"/>
      <c r="J645" s="40"/>
      <c r="K645" s="40"/>
      <c r="L645" s="40"/>
      <c r="M645" s="38"/>
      <c r="O645" s="12">
        <f t="shared" si="113"/>
        <v>52.666666666666664</v>
      </c>
      <c r="P645" s="13">
        <v>632</v>
      </c>
      <c r="Q645" s="21">
        <v>2.5867402120995697E-2</v>
      </c>
      <c r="R645" s="18">
        <f t="shared" si="114"/>
        <v>2.5152957248021135E-2</v>
      </c>
      <c r="S645" s="21">
        <v>3.4740865717443503E-2</v>
      </c>
      <c r="T645" s="18">
        <f t="shared" si="115"/>
        <v>4.2737024941225776E-2</v>
      </c>
      <c r="U645" s="23">
        <v>3.7033623136403904E-2</v>
      </c>
      <c r="V645" s="23">
        <f t="shared" si="116"/>
        <v>4.2750599257160626E-2</v>
      </c>
      <c r="W645" s="22">
        <f t="shared" si="119"/>
        <v>3.4943841795109787E-3</v>
      </c>
      <c r="X645" s="23">
        <v>3.6574118132126854E-2</v>
      </c>
      <c r="Y645" s="23">
        <f t="shared" si="120"/>
        <v>4.2747591149503439E-2</v>
      </c>
      <c r="Z645" s="22">
        <f t="shared" si="121"/>
        <v>3.494137599990621E-3</v>
      </c>
      <c r="AA645" s="33"/>
      <c r="AB645" s="50">
        <f t="shared" si="117"/>
        <v>632</v>
      </c>
      <c r="AC645" s="48">
        <f t="shared" si="112"/>
        <v>0.26053249011921886</v>
      </c>
      <c r="AE645" s="48">
        <f t="shared" si="118"/>
        <v>0.99793289399328433</v>
      </c>
      <c r="AF645" s="48">
        <f t="shared" si="122"/>
        <v>0.26053249011921914</v>
      </c>
      <c r="AH645" s="48">
        <f t="shared" si="123"/>
        <v>0</v>
      </c>
    </row>
    <row r="646" spans="4:34" ht="13.9" customHeight="1">
      <c r="D646" s="8"/>
      <c r="E646" s="9"/>
      <c r="F646" s="18"/>
      <c r="G646" s="18"/>
      <c r="H646" s="18"/>
      <c r="J646" s="40"/>
      <c r="K646" s="40"/>
      <c r="L646" s="40"/>
      <c r="M646" s="38"/>
      <c r="O646" s="12">
        <f t="shared" si="113"/>
        <v>52.75</v>
      </c>
      <c r="P646" s="13">
        <v>633</v>
      </c>
      <c r="Q646" s="21">
        <v>2.5866273063530176E-2</v>
      </c>
      <c r="R646" s="18">
        <f t="shared" si="114"/>
        <v>2.5164019104765512E-2</v>
      </c>
      <c r="S646" s="21">
        <v>3.4753449398298164E-2</v>
      </c>
      <c r="T646" s="18">
        <f t="shared" si="115"/>
        <v>4.2739916650571086E-2</v>
      </c>
      <c r="U646" s="23">
        <v>3.7042629929824766E-2</v>
      </c>
      <c r="V646" s="23">
        <f t="shared" si="116"/>
        <v>4.2753192110789984E-2</v>
      </c>
      <c r="W646" s="22">
        <f t="shared" si="119"/>
        <v>3.4945943049720096E-3</v>
      </c>
      <c r="X646" s="23">
        <v>3.6583841972616549E-2</v>
      </c>
      <c r="Y646" s="23">
        <f t="shared" si="120"/>
        <v>4.2750249532029105E-2</v>
      </c>
      <c r="Z646" s="22">
        <f t="shared" si="121"/>
        <v>3.4943530660980215E-3</v>
      </c>
      <c r="AA646" s="33"/>
      <c r="AB646" s="50">
        <f t="shared" si="117"/>
        <v>633</v>
      </c>
      <c r="AC646" s="48">
        <f t="shared" si="112"/>
        <v>0.25999370605097077</v>
      </c>
      <c r="AE646" s="48">
        <f t="shared" si="118"/>
        <v>0.99793198895077762</v>
      </c>
      <c r="AF646" s="48">
        <f t="shared" si="122"/>
        <v>0.25999370605097116</v>
      </c>
      <c r="AH646" s="48">
        <f t="shared" si="123"/>
        <v>0</v>
      </c>
    </row>
    <row r="647" spans="4:34" ht="13.9" customHeight="1">
      <c r="D647" s="8"/>
      <c r="E647" s="9"/>
      <c r="F647" s="18"/>
      <c r="G647" s="18"/>
      <c r="H647" s="18"/>
      <c r="J647" s="40"/>
      <c r="K647" s="40"/>
      <c r="L647" s="40"/>
      <c r="M647" s="38"/>
      <c r="O647" s="12">
        <f t="shared" si="113"/>
        <v>52.833333333333336</v>
      </c>
      <c r="P647" s="13">
        <v>634</v>
      </c>
      <c r="Q647" s="21">
        <v>2.5865165028747583E-2</v>
      </c>
      <c r="R647" s="18">
        <f t="shared" si="114"/>
        <v>2.5174986952564593E-2</v>
      </c>
      <c r="S647" s="21">
        <v>3.4765998061491166E-2</v>
      </c>
      <c r="T647" s="18">
        <f t="shared" si="115"/>
        <v>4.2742776506941693E-2</v>
      </c>
      <c r="U647" s="23">
        <v>3.7051612455821559E-2</v>
      </c>
      <c r="V647" s="23">
        <f t="shared" si="116"/>
        <v>4.2755757960757368E-2</v>
      </c>
      <c r="W647" s="22">
        <f t="shared" si="119"/>
        <v>3.4948022415290936E-3</v>
      </c>
      <c r="X647" s="23">
        <v>3.659353939759713E-2</v>
      </c>
      <c r="Y647" s="23">
        <f t="shared" si="120"/>
        <v>4.2752879867378191E-2</v>
      </c>
      <c r="Z647" s="22">
        <f t="shared" si="121"/>
        <v>3.4945662583698578E-3</v>
      </c>
      <c r="AA647" s="33"/>
      <c r="AB647" s="50">
        <f t="shared" si="117"/>
        <v>634</v>
      </c>
      <c r="AC647" s="48">
        <f t="shared" si="112"/>
        <v>0.25945580289164927</v>
      </c>
      <c r="AE647" s="48">
        <f t="shared" si="118"/>
        <v>0.99793109161182425</v>
      </c>
      <c r="AF647" s="48">
        <f t="shared" si="122"/>
        <v>0.25945580289164943</v>
      </c>
      <c r="AH647" s="48">
        <f t="shared" si="123"/>
        <v>0</v>
      </c>
    </row>
    <row r="648" spans="4:34" ht="13.9" customHeight="1">
      <c r="D648" s="8"/>
      <c r="E648" s="9"/>
      <c r="F648" s="18"/>
      <c r="G648" s="18"/>
      <c r="H648" s="18"/>
      <c r="J648" s="40"/>
      <c r="K648" s="40"/>
      <c r="L648" s="40"/>
      <c r="M648" s="38"/>
      <c r="O648" s="12">
        <f t="shared" si="113"/>
        <v>52.916666666666664</v>
      </c>
      <c r="P648" s="13">
        <v>635</v>
      </c>
      <c r="Q648" s="21">
        <v>2.5864077768932958E-2</v>
      </c>
      <c r="R648" s="18">
        <f t="shared" si="114"/>
        <v>2.5185861609552163E-2</v>
      </c>
      <c r="S648" s="21">
        <v>3.4778511822115998E-2</v>
      </c>
      <c r="T648" s="18">
        <f t="shared" si="115"/>
        <v>4.2745604862599373E-2</v>
      </c>
      <c r="U648" s="23">
        <v>3.7060570786479063E-2</v>
      </c>
      <c r="V648" s="23">
        <f t="shared" si="116"/>
        <v>4.2758297089735997E-2</v>
      </c>
      <c r="W648" s="22">
        <f t="shared" si="119"/>
        <v>3.495008012033507E-3</v>
      </c>
      <c r="X648" s="23">
        <v>3.6603210487636373E-2</v>
      </c>
      <c r="Y648" s="23">
        <f t="shared" si="120"/>
        <v>4.2755482452571103E-2</v>
      </c>
      <c r="Z648" s="22">
        <f t="shared" si="121"/>
        <v>3.4947772008735445E-3</v>
      </c>
      <c r="AA648" s="33"/>
      <c r="AB648" s="50">
        <f t="shared" si="117"/>
        <v>635</v>
      </c>
      <c r="AC648" s="48">
        <f t="shared" si="112"/>
        <v>0.2589187817661871</v>
      </c>
      <c r="AE648" s="48">
        <f t="shared" si="118"/>
        <v>0.99793020190924198</v>
      </c>
      <c r="AF648" s="48">
        <f t="shared" si="122"/>
        <v>0.25891878176618821</v>
      </c>
      <c r="AH648" s="48">
        <f t="shared" si="123"/>
        <v>1.1102230246251565E-15</v>
      </c>
    </row>
    <row r="649" spans="4:34" ht="13.9" customHeight="1">
      <c r="D649" s="8"/>
      <c r="E649" s="9"/>
      <c r="F649" s="18"/>
      <c r="G649" s="18"/>
      <c r="H649" s="18"/>
      <c r="J649" s="40"/>
      <c r="K649" s="40"/>
      <c r="L649" s="40"/>
      <c r="M649" s="38"/>
      <c r="O649" s="12">
        <f t="shared" si="113"/>
        <v>53</v>
      </c>
      <c r="P649" s="13">
        <v>636</v>
      </c>
      <c r="Q649" s="21">
        <v>2.5863011039222839E-2</v>
      </c>
      <c r="R649" s="18">
        <f t="shared" si="114"/>
        <v>2.5196643884620507E-2</v>
      </c>
      <c r="S649" s="21">
        <v>3.4790990795093402E-2</v>
      </c>
      <c r="T649" s="18">
        <f t="shared" si="115"/>
        <v>4.2748402065671431E-2</v>
      </c>
      <c r="U649" s="23">
        <v>3.7069504993870961E-2</v>
      </c>
      <c r="V649" s="23">
        <f t="shared" si="116"/>
        <v>4.2760809776999364E-2</v>
      </c>
      <c r="W649" s="22">
        <f t="shared" si="119"/>
        <v>3.4952116391684385E-3</v>
      </c>
      <c r="X649" s="23">
        <v>3.6612855323260307E-2</v>
      </c>
      <c r="Y649" s="23">
        <f t="shared" si="120"/>
        <v>4.2758057581462783E-2</v>
      </c>
      <c r="Z649" s="22">
        <f t="shared" si="121"/>
        <v>3.4949859174440157E-3</v>
      </c>
      <c r="AA649" s="33"/>
      <c r="AB649" s="50">
        <f t="shared" si="117"/>
        <v>636</v>
      </c>
      <c r="AC649" s="48">
        <f t="shared" si="112"/>
        <v>0.25838264376526621</v>
      </c>
      <c r="AE649" s="48">
        <f t="shared" si="118"/>
        <v>0.99792931977640054</v>
      </c>
      <c r="AF649" s="48">
        <f t="shared" si="122"/>
        <v>0.25838264376526648</v>
      </c>
      <c r="AH649" s="48">
        <f t="shared" si="123"/>
        <v>0</v>
      </c>
    </row>
    <row r="650" spans="4:34" ht="13.9" customHeight="1">
      <c r="D650" s="8"/>
      <c r="E650" s="9"/>
      <c r="F650" s="18"/>
      <c r="G650" s="18"/>
      <c r="H650" s="18"/>
      <c r="J650" s="40"/>
      <c r="K650" s="40"/>
      <c r="L650" s="40"/>
      <c r="M650" s="38"/>
      <c r="O650" s="12">
        <f t="shared" si="113"/>
        <v>53.083333333333336</v>
      </c>
      <c r="P650" s="13">
        <v>637</v>
      </c>
      <c r="Q650" s="21">
        <v>2.5861964597568843E-2</v>
      </c>
      <c r="R650" s="18">
        <f t="shared" si="114"/>
        <v>2.5207334580647389E-2</v>
      </c>
      <c r="S650" s="21">
        <v>3.4803435095166479E-2</v>
      </c>
      <c r="T650" s="18">
        <f t="shared" si="115"/>
        <v>4.2751168460416489E-2</v>
      </c>
      <c r="U650" s="23">
        <v>3.7078415150054944E-2</v>
      </c>
      <c r="V650" s="23">
        <f t="shared" si="116"/>
        <v>4.2763296298327758E-2</v>
      </c>
      <c r="W650" s="22">
        <f t="shared" si="119"/>
        <v>3.4954131453452941E-3</v>
      </c>
      <c r="X650" s="23">
        <v>3.6622473984948556E-2</v>
      </c>
      <c r="Y650" s="23">
        <f t="shared" si="120"/>
        <v>4.2760605544219343E-2</v>
      </c>
      <c r="Z650" s="22">
        <f t="shared" si="121"/>
        <v>3.4951924316628524E-3</v>
      </c>
      <c r="AA650" s="33"/>
      <c r="AB650" s="50">
        <f t="shared" si="117"/>
        <v>637</v>
      </c>
      <c r="AC650" s="48">
        <f t="shared" si="112"/>
        <v>0.25784738994575301</v>
      </c>
      <c r="AE650" s="48">
        <f t="shared" si="118"/>
        <v>0.99792844514742451</v>
      </c>
      <c r="AF650" s="48">
        <f t="shared" si="122"/>
        <v>0.25784738994575324</v>
      </c>
      <c r="AH650" s="48">
        <f t="shared" si="123"/>
        <v>0</v>
      </c>
    </row>
    <row r="651" spans="4:34" ht="13.9" customHeight="1">
      <c r="D651" s="8"/>
      <c r="E651" s="9"/>
      <c r="F651" s="18"/>
      <c r="G651" s="18"/>
      <c r="H651" s="18"/>
      <c r="J651" s="40"/>
      <c r="K651" s="40"/>
      <c r="L651" s="40"/>
      <c r="M651" s="38"/>
      <c r="O651" s="12">
        <f t="shared" si="113"/>
        <v>53.166666666666664</v>
      </c>
      <c r="P651" s="13">
        <v>638</v>
      </c>
      <c r="Q651" s="21">
        <v>2.5860938204705697E-2</v>
      </c>
      <c r="R651" s="18">
        <f t="shared" si="114"/>
        <v>2.5217934493320104E-2</v>
      </c>
      <c r="S651" s="21">
        <v>3.4815844836895815E-2</v>
      </c>
      <c r="T651" s="18">
        <f t="shared" si="115"/>
        <v>4.2753904387422104E-2</v>
      </c>
      <c r="U651" s="23">
        <v>3.7087301327067612E-2</v>
      </c>
      <c r="V651" s="23">
        <f t="shared" si="116"/>
        <v>4.2765756927550136E-2</v>
      </c>
      <c r="W651" s="22">
        <f t="shared" si="119"/>
        <v>3.4956125526939275E-3</v>
      </c>
      <c r="X651" s="23">
        <v>3.6632066553129228E-2</v>
      </c>
      <c r="Y651" s="23">
        <f t="shared" si="120"/>
        <v>4.2763126629184356E-2</v>
      </c>
      <c r="Z651" s="22">
        <f t="shared" si="121"/>
        <v>3.4953967668147623E-3</v>
      </c>
      <c r="AA651" s="33"/>
      <c r="AB651" s="50">
        <f t="shared" si="117"/>
        <v>638</v>
      </c>
      <c r="AC651" s="48">
        <f t="shared" si="112"/>
        <v>0.25731302133108108</v>
      </c>
      <c r="AE651" s="48">
        <f t="shared" si="118"/>
        <v>0.99792757795693099</v>
      </c>
      <c r="AF651" s="48">
        <f t="shared" si="122"/>
        <v>0.25731302133108186</v>
      </c>
      <c r="AH651" s="48">
        <f t="shared" si="123"/>
        <v>7.7715611723760958E-16</v>
      </c>
    </row>
    <row r="652" spans="4:34" ht="13.9" customHeight="1">
      <c r="D652" s="8"/>
      <c r="E652" s="9"/>
      <c r="F652" s="18"/>
      <c r="G652" s="18"/>
      <c r="H652" s="18"/>
      <c r="J652" s="40"/>
      <c r="K652" s="40"/>
      <c r="L652" s="40"/>
      <c r="M652" s="38"/>
      <c r="O652" s="12">
        <f t="shared" si="113"/>
        <v>53.25</v>
      </c>
      <c r="P652" s="13">
        <v>639</v>
      </c>
      <c r="Q652" s="21">
        <v>2.5859931624117927E-2</v>
      </c>
      <c r="R652" s="18">
        <f t="shared" si="114"/>
        <v>2.5228444410365647E-2</v>
      </c>
      <c r="S652" s="21">
        <v>3.4828220134655696E-2</v>
      </c>
      <c r="T652" s="18">
        <f t="shared" si="115"/>
        <v>4.2756610182907995E-2</v>
      </c>
      <c r="U652" s="23">
        <v>3.7096163596921139E-2</v>
      </c>
      <c r="V652" s="23">
        <f t="shared" si="116"/>
        <v>4.2768191935096622E-2</v>
      </c>
      <c r="W652" s="22">
        <f t="shared" si="119"/>
        <v>3.4958098831880946E-3</v>
      </c>
      <c r="X652" s="23">
        <v>3.664163310817603E-2</v>
      </c>
      <c r="Y652" s="23">
        <f t="shared" si="120"/>
        <v>4.2765621120088637E-2</v>
      </c>
      <c r="Z652" s="22">
        <f t="shared" si="121"/>
        <v>3.4955989460383474E-3</v>
      </c>
      <c r="AA652" s="33"/>
      <c r="AB652" s="50">
        <f t="shared" si="117"/>
        <v>639</v>
      </c>
      <c r="AC652" s="48">
        <f t="shared" si="112"/>
        <v>0.25677953891164612</v>
      </c>
      <c r="AE652" s="48">
        <f t="shared" si="118"/>
        <v>0.9979267181401259</v>
      </c>
      <c r="AF652" s="48">
        <f t="shared" si="122"/>
        <v>0.25677953891164673</v>
      </c>
      <c r="AH652" s="48">
        <f t="shared" si="123"/>
        <v>6.106226635438361E-16</v>
      </c>
    </row>
    <row r="653" spans="4:34" ht="13.9" customHeight="1">
      <c r="D653" s="8"/>
      <c r="E653" s="9"/>
      <c r="F653" s="18"/>
      <c r="G653" s="18"/>
      <c r="H653" s="18"/>
      <c r="J653" s="40"/>
      <c r="K653" s="40"/>
      <c r="L653" s="40"/>
      <c r="M653" s="38"/>
      <c r="O653" s="12">
        <f t="shared" si="113"/>
        <v>53.333333333333336</v>
      </c>
      <c r="P653" s="13">
        <v>640</v>
      </c>
      <c r="Q653" s="21">
        <v>2.5858944622006108E-2</v>
      </c>
      <c r="R653" s="18">
        <f t="shared" si="114"/>
        <v>2.5238865112732434E-2</v>
      </c>
      <c r="S653" s="21">
        <v>3.484056110262812E-2</v>
      </c>
      <c r="T653" s="18">
        <f t="shared" si="115"/>
        <v>4.2759286180618306E-2</v>
      </c>
      <c r="U653" s="23">
        <v>3.7105002031598611E-2</v>
      </c>
      <c r="V653" s="23">
        <f t="shared" si="116"/>
        <v>4.2770601588495216E-2</v>
      </c>
      <c r="W653" s="22">
        <f t="shared" si="119"/>
        <v>3.4960051585282148E-3</v>
      </c>
      <c r="X653" s="23">
        <v>3.6651173730402054E-2</v>
      </c>
      <c r="Y653" s="23">
        <f t="shared" si="120"/>
        <v>4.2768089298855561E-2</v>
      </c>
      <c r="Z653" s="22">
        <f t="shared" si="121"/>
        <v>3.4957989921013954E-3</v>
      </c>
      <c r="AA653" s="33"/>
      <c r="AB653" s="50">
        <f t="shared" si="117"/>
        <v>640</v>
      </c>
      <c r="AC653" s="48">
        <f t="shared" ref="AC653:AC716" si="124">1/(1+Q653)^(P653/12)</f>
        <v>0.25624694364521311</v>
      </c>
      <c r="AE653" s="48">
        <f t="shared" si="118"/>
        <v>0.99792586563286578</v>
      </c>
      <c r="AF653" s="48">
        <f t="shared" si="122"/>
        <v>0.25624694364521322</v>
      </c>
      <c r="AH653" s="48">
        <f t="shared" si="123"/>
        <v>0</v>
      </c>
    </row>
    <row r="654" spans="4:34" ht="13.9" customHeight="1">
      <c r="D654" s="8"/>
      <c r="E654" s="9"/>
      <c r="F654" s="18"/>
      <c r="G654" s="18"/>
      <c r="H654" s="18"/>
      <c r="J654" s="40"/>
      <c r="K654" s="40"/>
      <c r="L654" s="40"/>
      <c r="M654" s="38"/>
      <c r="O654" s="12">
        <f t="shared" ref="O654:O717" si="125">P654/12</f>
        <v>53.416666666666664</v>
      </c>
      <c r="P654" s="13">
        <v>641</v>
      </c>
      <c r="Q654" s="21">
        <v>2.5857976967254892E-2</v>
      </c>
      <c r="R654" s="18">
        <f t="shared" ref="R654:R717" si="126">(1+Q655)^P655/(1+Q654)^P654-1</f>
        <v>2.5249197374609844E-2</v>
      </c>
      <c r="S654" s="21">
        <v>3.4852867854801017E-2</v>
      </c>
      <c r="T654" s="18">
        <f t="shared" ref="T654:T717" si="127">(1+S655)^P655/(1+S654)^P654-1</f>
        <v>4.2761932708999639E-2</v>
      </c>
      <c r="U654" s="23">
        <v>3.7113816703049585E-2</v>
      </c>
      <c r="V654" s="23">
        <f t="shared" ref="V654:V717" si="128">(1+U655)^P655/(1+U654)^P654-1</f>
        <v>4.2772986152810555E-2</v>
      </c>
      <c r="W654" s="22">
        <f t="shared" si="119"/>
        <v>3.4961984001820046E-3</v>
      </c>
      <c r="X654" s="23">
        <v>3.6660688500056882E-2</v>
      </c>
      <c r="Y654" s="23">
        <f t="shared" si="120"/>
        <v>4.2770531443797388E-2</v>
      </c>
      <c r="Z654" s="22">
        <f t="shared" si="121"/>
        <v>3.495996927627143E-3</v>
      </c>
      <c r="AA654" s="33"/>
      <c r="AB654" s="50">
        <f t="shared" ref="AB654:AB717" si="129">+P654</f>
        <v>641</v>
      </c>
      <c r="AC654" s="48">
        <f t="shared" si="124"/>
        <v>0.25571523645729971</v>
      </c>
      <c r="AE654" s="48">
        <f t="shared" ref="AE654:AE717" si="130">1/(1+R653)^(1/12)</f>
        <v>0.99792502037156217</v>
      </c>
      <c r="AF654" s="48">
        <f t="shared" si="122"/>
        <v>0.25571523645729993</v>
      </c>
      <c r="AH654" s="48">
        <f t="shared" si="123"/>
        <v>0</v>
      </c>
    </row>
    <row r="655" spans="4:34" ht="13.9" customHeight="1">
      <c r="D655" s="8"/>
      <c r="E655" s="9"/>
      <c r="F655" s="18"/>
      <c r="G655" s="18"/>
      <c r="H655" s="18"/>
      <c r="J655" s="40"/>
      <c r="K655" s="40"/>
      <c r="L655" s="40"/>
      <c r="M655" s="38"/>
      <c r="O655" s="12">
        <f t="shared" si="125"/>
        <v>53.5</v>
      </c>
      <c r="P655" s="13">
        <v>642</v>
      </c>
      <c r="Q655" s="21">
        <v>2.5857028431401252E-2</v>
      </c>
      <c r="R655" s="18">
        <f t="shared" si="126"/>
        <v>2.5259441962569129E-2</v>
      </c>
      <c r="S655" s="21">
        <v>3.4865140504961145E-2</v>
      </c>
      <c r="T655" s="18">
        <f t="shared" si="127"/>
        <v>4.2764550093753906E-2</v>
      </c>
      <c r="U655" s="23">
        <v>3.7122607683186315E-2</v>
      </c>
      <c r="V655" s="23">
        <f t="shared" si="128"/>
        <v>4.2775345889830563E-2</v>
      </c>
      <c r="W655" s="22">
        <f t="shared" ref="W655:W718" si="131">(1+V654)^(1/12)-1</f>
        <v>3.4963896294188945E-3</v>
      </c>
      <c r="X655" s="23">
        <v>3.6670177497321932E-2</v>
      </c>
      <c r="Y655" s="23">
        <f t="shared" ref="Y655:Y718" si="132">(1+X656)^P656/(1+X655)^P655-1</f>
        <v>4.2772947830082009E-2</v>
      </c>
      <c r="Z655" s="22">
        <f t="shared" ref="Z655:Z718" si="133">(1+Y654)^(1/12)-1</f>
        <v>3.4961927749481703E-3</v>
      </c>
      <c r="AA655" s="33"/>
      <c r="AB655" s="50">
        <f t="shared" si="129"/>
        <v>642</v>
      </c>
      <c r="AC655" s="48">
        <f t="shared" si="124"/>
        <v>0.25518441824155785</v>
      </c>
      <c r="AE655" s="48">
        <f t="shared" si="130"/>
        <v>0.99792418229317947</v>
      </c>
      <c r="AF655" s="48">
        <f t="shared" ref="AF655:AF718" si="134">+AF654*AE655</f>
        <v>0.25518441824155808</v>
      </c>
      <c r="AH655" s="48">
        <f t="shared" ref="AH655:AH718" si="135">+AF655-AC655</f>
        <v>0</v>
      </c>
    </row>
    <row r="656" spans="4:34" ht="13.9" customHeight="1">
      <c r="D656" s="8"/>
      <c r="E656" s="9"/>
      <c r="F656" s="18"/>
      <c r="G656" s="18"/>
      <c r="H656" s="18"/>
      <c r="J656" s="40"/>
      <c r="K656" s="40"/>
      <c r="L656" s="40"/>
      <c r="M656" s="38"/>
      <c r="O656" s="12">
        <f t="shared" si="125"/>
        <v>53.583333333333336</v>
      </c>
      <c r="P656" s="13">
        <v>643</v>
      </c>
      <c r="Q656" s="21">
        <v>2.5856098788602067E-2</v>
      </c>
      <c r="R656" s="18">
        <f t="shared" si="126"/>
        <v>2.5269599637065321E-2</v>
      </c>
      <c r="S656" s="21">
        <v>3.4877379166692091E-2</v>
      </c>
      <c r="T656" s="18">
        <f t="shared" si="127"/>
        <v>4.2767138657322068E-2</v>
      </c>
      <c r="U656" s="23">
        <v>3.7131375043879533E-2</v>
      </c>
      <c r="V656" s="23">
        <f t="shared" si="128"/>
        <v>4.2777681059306127E-2</v>
      </c>
      <c r="W656" s="22">
        <f t="shared" si="131"/>
        <v>3.4965788672456366E-3</v>
      </c>
      <c r="X656" s="23">
        <v>3.6679640802306013E-2</v>
      </c>
      <c r="Y656" s="23">
        <f t="shared" si="132"/>
        <v>4.2775338730808299E-2</v>
      </c>
      <c r="Z656" s="22">
        <f t="shared" si="133"/>
        <v>3.496386556145259E-3</v>
      </c>
      <c r="AA656" s="33"/>
      <c r="AB656" s="50">
        <f t="shared" si="129"/>
        <v>643</v>
      </c>
      <c r="AC656" s="48">
        <f t="shared" si="124"/>
        <v>0.25465448986016553</v>
      </c>
      <c r="AE656" s="48">
        <f t="shared" si="130"/>
        <v>0.99792335133530496</v>
      </c>
      <c r="AF656" s="48">
        <f t="shared" si="134"/>
        <v>0.25465448986016576</v>
      </c>
      <c r="AH656" s="48">
        <f t="shared" si="135"/>
        <v>0</v>
      </c>
    </row>
    <row r="657" spans="4:34" ht="13.9" customHeight="1">
      <c r="D657" s="8"/>
      <c r="E657" s="9"/>
      <c r="F657" s="18"/>
      <c r="G657" s="18"/>
      <c r="H657" s="18"/>
      <c r="J657" s="40"/>
      <c r="K657" s="40"/>
      <c r="L657" s="40"/>
      <c r="M657" s="38"/>
      <c r="O657" s="12">
        <f t="shared" si="125"/>
        <v>53.666666666666664</v>
      </c>
      <c r="P657" s="13">
        <v>644</v>
      </c>
      <c r="Q657" s="21">
        <v>2.5855187815604141E-2</v>
      </c>
      <c r="R657" s="18">
        <f t="shared" si="126"/>
        <v>2.5279671150692629E-2</v>
      </c>
      <c r="S657" s="21">
        <v>3.4889583953370051E-2</v>
      </c>
      <c r="T657" s="18">
        <f t="shared" si="127"/>
        <v>4.2769698717456173E-2</v>
      </c>
      <c r="U657" s="23">
        <v>3.7140118856954896E-2</v>
      </c>
      <c r="V657" s="23">
        <f t="shared" si="128"/>
        <v>4.2779991917319737E-2</v>
      </c>
      <c r="W657" s="22">
        <f t="shared" si="131"/>
        <v>3.4967661345051138E-3</v>
      </c>
      <c r="X657" s="23">
        <v>3.668907849504266E-2</v>
      </c>
      <c r="Y657" s="23">
        <f t="shared" si="132"/>
        <v>4.2777704415356999E-2</v>
      </c>
      <c r="Z657" s="22">
        <f t="shared" si="133"/>
        <v>3.4965782931322131E-3</v>
      </c>
      <c r="AA657" s="33"/>
      <c r="AB657" s="50">
        <f t="shared" si="129"/>
        <v>644</v>
      </c>
      <c r="AC657" s="48">
        <f t="shared" si="124"/>
        <v>0.25412545214418786</v>
      </c>
      <c r="AE657" s="48">
        <f t="shared" si="130"/>
        <v>0.99792252743602605</v>
      </c>
      <c r="AF657" s="48">
        <f t="shared" si="134"/>
        <v>0.25412545214418847</v>
      </c>
      <c r="AH657" s="48">
        <f t="shared" si="135"/>
        <v>6.106226635438361E-16</v>
      </c>
    </row>
    <row r="658" spans="4:34" ht="13.9" customHeight="1">
      <c r="D658" s="8"/>
      <c r="E658" s="9"/>
      <c r="F658" s="18"/>
      <c r="G658" s="18"/>
      <c r="H658" s="18"/>
      <c r="J658" s="40"/>
      <c r="K658" s="40"/>
      <c r="L658" s="40"/>
      <c r="M658" s="38"/>
      <c r="O658" s="12">
        <f t="shared" si="125"/>
        <v>53.75</v>
      </c>
      <c r="P658" s="13">
        <v>645</v>
      </c>
      <c r="Q658" s="21">
        <v>2.5854295291711571E-2</v>
      </c>
      <c r="R658" s="18">
        <f t="shared" si="126"/>
        <v>2.5289657250436859E-2</v>
      </c>
      <c r="S658" s="21">
        <v>3.4901754978158728E-2</v>
      </c>
      <c r="T658" s="18">
        <f t="shared" si="127"/>
        <v>4.2772230589169791E-2</v>
      </c>
      <c r="U658" s="23">
        <v>3.7148839194188543E-2</v>
      </c>
      <c r="V658" s="23">
        <f t="shared" si="128"/>
        <v>4.2782278718042965E-2</v>
      </c>
      <c r="W658" s="22">
        <f t="shared" si="131"/>
        <v>3.4969514517455558E-3</v>
      </c>
      <c r="X658" s="23">
        <v>3.6698490655485028E-2</v>
      </c>
      <c r="Y658" s="23">
        <f t="shared" si="132"/>
        <v>4.2780045150176971E-2</v>
      </c>
      <c r="Z658" s="22">
        <f t="shared" si="133"/>
        <v>3.4967680075250751E-3</v>
      </c>
      <c r="AA658" s="33"/>
      <c r="AB658" s="50">
        <f t="shared" si="129"/>
        <v>645</v>
      </c>
      <c r="AC658" s="48">
        <f t="shared" si="124"/>
        <v>0.253597305893974</v>
      </c>
      <c r="AE658" s="48">
        <f t="shared" si="130"/>
        <v>0.99792171053407341</v>
      </c>
      <c r="AF658" s="48">
        <f t="shared" si="134"/>
        <v>0.25359730589397339</v>
      </c>
      <c r="AH658" s="48">
        <f t="shared" si="135"/>
        <v>-6.106226635438361E-16</v>
      </c>
    </row>
    <row r="659" spans="4:34" ht="13.9" customHeight="1">
      <c r="D659" s="8"/>
      <c r="E659" s="9"/>
      <c r="F659" s="18"/>
      <c r="G659" s="18"/>
      <c r="H659" s="18"/>
      <c r="J659" s="40"/>
      <c r="K659" s="40"/>
      <c r="L659" s="40"/>
      <c r="M659" s="38"/>
      <c r="O659" s="12">
        <f t="shared" si="125"/>
        <v>53.833333333333336</v>
      </c>
      <c r="P659" s="13">
        <v>646</v>
      </c>
      <c r="Q659" s="21">
        <v>2.5853420998757759E-2</v>
      </c>
      <c r="R659" s="18">
        <f t="shared" si="126"/>
        <v>2.5299558675253131E-2</v>
      </c>
      <c r="S659" s="21">
        <v>3.4913892354006659E-2</v>
      </c>
      <c r="T659" s="18">
        <f t="shared" si="127"/>
        <v>4.277473458388692E-2</v>
      </c>
      <c r="U659" s="23">
        <v>3.715753612730377E-2</v>
      </c>
      <c r="V659" s="23">
        <f t="shared" si="128"/>
        <v>4.2784541712743263E-2</v>
      </c>
      <c r="W659" s="22">
        <f t="shared" si="131"/>
        <v>3.4971348393622037E-3</v>
      </c>
      <c r="X659" s="23">
        <v>3.6707877363502117E-2</v>
      </c>
      <c r="Y659" s="23">
        <f t="shared" si="132"/>
        <v>4.2782361199911412E-2</v>
      </c>
      <c r="Z659" s="22">
        <f t="shared" si="133"/>
        <v>3.4969557207036317E-3</v>
      </c>
      <c r="AA659" s="33"/>
      <c r="AB659" s="50">
        <f t="shared" si="129"/>
        <v>646</v>
      </c>
      <c r="AC659" s="48">
        <f t="shared" si="124"/>
        <v>0.25307005187949388</v>
      </c>
      <c r="AE659" s="48">
        <f t="shared" si="130"/>
        <v>0.99792090056863625</v>
      </c>
      <c r="AF659" s="48">
        <f t="shared" si="134"/>
        <v>0.25307005187949383</v>
      </c>
      <c r="AH659" s="48">
        <f t="shared" si="135"/>
        <v>0</v>
      </c>
    </row>
    <row r="660" spans="4:34" ht="13.9" customHeight="1">
      <c r="D660" s="8"/>
      <c r="E660" s="9"/>
      <c r="F660" s="18"/>
      <c r="G660" s="18"/>
      <c r="H660" s="18"/>
      <c r="J660" s="40"/>
      <c r="K660" s="40"/>
      <c r="L660" s="40"/>
      <c r="M660" s="38"/>
      <c r="O660" s="12">
        <f t="shared" si="125"/>
        <v>53.916666666666664</v>
      </c>
      <c r="P660" s="13">
        <v>647</v>
      </c>
      <c r="Q660" s="21">
        <v>2.5852564721072557E-2</v>
      </c>
      <c r="R660" s="18">
        <f t="shared" si="126"/>
        <v>2.530937615859119E-2</v>
      </c>
      <c r="S660" s="21">
        <v>3.4925996193643449E-2</v>
      </c>
      <c r="T660" s="18">
        <f t="shared" si="127"/>
        <v>4.2777211009533245E-2</v>
      </c>
      <c r="U660" s="23">
        <v>3.716620972796747E-2</v>
      </c>
      <c r="V660" s="23">
        <f t="shared" si="128"/>
        <v>4.278678114998824E-2</v>
      </c>
      <c r="W660" s="22">
        <f t="shared" si="131"/>
        <v>3.4973163175164856E-3</v>
      </c>
      <c r="X660" s="23">
        <v>3.6717238698876331E-2</v>
      </c>
      <c r="Y660" s="23">
        <f t="shared" si="132"/>
        <v>4.2784652825152758E-2</v>
      </c>
      <c r="Z660" s="22">
        <f t="shared" si="133"/>
        <v>3.4971414539033407E-3</v>
      </c>
      <c r="AA660" s="33"/>
      <c r="AB660" s="50">
        <f t="shared" si="129"/>
        <v>647</v>
      </c>
      <c r="AC660" s="48">
        <f t="shared" si="124"/>
        <v>0.2525436908407413</v>
      </c>
      <c r="AE660" s="48">
        <f t="shared" si="130"/>
        <v>0.99792009747956023</v>
      </c>
      <c r="AF660" s="48">
        <f t="shared" si="134"/>
        <v>0.25254369084074185</v>
      </c>
      <c r="AH660" s="48">
        <f t="shared" si="135"/>
        <v>5.5511151231257827E-16</v>
      </c>
    </row>
    <row r="661" spans="4:34" ht="13.9" customHeight="1">
      <c r="D661" s="8"/>
      <c r="E661" s="9"/>
      <c r="F661" s="18"/>
      <c r="G661" s="18"/>
      <c r="H661" s="18"/>
      <c r="J661" s="40"/>
      <c r="K661" s="40"/>
      <c r="L661" s="40"/>
      <c r="M661" s="38"/>
      <c r="O661" s="12">
        <f t="shared" si="125"/>
        <v>54</v>
      </c>
      <c r="P661" s="13">
        <v>648</v>
      </c>
      <c r="Q661" s="21">
        <v>2.5851726245454731E-2</v>
      </c>
      <c r="R661" s="18">
        <f t="shared" si="126"/>
        <v>2.5319110426713642E-2</v>
      </c>
      <c r="S661" s="21">
        <v>3.4938066609575769E-2</v>
      </c>
      <c r="T661" s="18">
        <f t="shared" si="127"/>
        <v>4.2779660170390699E-2</v>
      </c>
      <c r="U661" s="23">
        <v>3.717486006778592E-2</v>
      </c>
      <c r="V661" s="23">
        <f t="shared" si="128"/>
        <v>4.2788997275779783E-2</v>
      </c>
      <c r="W661" s="22">
        <f t="shared" si="131"/>
        <v>3.4974959061533362E-3</v>
      </c>
      <c r="X661" s="23">
        <v>3.6726574741298146E-2</v>
      </c>
      <c r="Y661" s="23">
        <f t="shared" si="132"/>
        <v>4.2786920284411556E-2</v>
      </c>
      <c r="Z661" s="22">
        <f t="shared" si="133"/>
        <v>3.4973252280339207E-3</v>
      </c>
      <c r="AA661" s="33"/>
      <c r="AB661" s="50">
        <f t="shared" si="129"/>
        <v>648</v>
      </c>
      <c r="AC661" s="48">
        <f t="shared" si="124"/>
        <v>0.25201822348806535</v>
      </c>
      <c r="AE661" s="48">
        <f t="shared" si="130"/>
        <v>0.99791930120714123</v>
      </c>
      <c r="AF661" s="48">
        <f t="shared" si="134"/>
        <v>0.25201822348806541</v>
      </c>
      <c r="AH661" s="48">
        <f t="shared" si="135"/>
        <v>0</v>
      </c>
    </row>
    <row r="662" spans="4:34" ht="13.9" customHeight="1">
      <c r="D662" s="8"/>
      <c r="E662" s="9"/>
      <c r="F662" s="18"/>
      <c r="G662" s="18"/>
      <c r="H662" s="18"/>
      <c r="J662" s="40"/>
      <c r="K662" s="40"/>
      <c r="L662" s="40"/>
      <c r="M662" s="38"/>
      <c r="O662" s="12">
        <f t="shared" si="125"/>
        <v>54.083333333333336</v>
      </c>
      <c r="P662" s="13">
        <v>649</v>
      </c>
      <c r="Q662" s="21">
        <v>2.5850905361142207E-2</v>
      </c>
      <c r="R662" s="18">
        <f t="shared" si="126"/>
        <v>2.5328762199429589E-2</v>
      </c>
      <c r="S662" s="21">
        <v>3.4950103714084024E-2</v>
      </c>
      <c r="T662" s="18">
        <f t="shared" si="127"/>
        <v>4.278208236746095E-2</v>
      </c>
      <c r="U662" s="23">
        <v>3.7183487218302336E-2</v>
      </c>
      <c r="V662" s="23">
        <f t="shared" si="128"/>
        <v>4.2791190332993834E-2</v>
      </c>
      <c r="W662" s="22">
        <f t="shared" si="131"/>
        <v>3.4976736250118545E-3</v>
      </c>
      <c r="X662" s="23">
        <v>3.6735885570363891E-2</v>
      </c>
      <c r="Y662" s="23">
        <f t="shared" si="132"/>
        <v>4.2789163833229393E-2</v>
      </c>
      <c r="Z662" s="22">
        <f t="shared" si="133"/>
        <v>3.4975070638383343E-3</v>
      </c>
      <c r="AA662" s="33"/>
      <c r="AB662" s="50">
        <f t="shared" si="129"/>
        <v>649</v>
      </c>
      <c r="AC662" s="48">
        <f t="shared" si="124"/>
        <v>0.25149365050253808</v>
      </c>
      <c r="AE662" s="48">
        <f t="shared" si="130"/>
        <v>0.99791851169226298</v>
      </c>
      <c r="AF662" s="48">
        <f t="shared" si="134"/>
        <v>0.25149365050253836</v>
      </c>
      <c r="AH662" s="48">
        <f t="shared" si="135"/>
        <v>0</v>
      </c>
    </row>
    <row r="663" spans="4:34" ht="13.9" customHeight="1">
      <c r="D663" s="8"/>
      <c r="E663" s="9"/>
      <c r="F663" s="18"/>
      <c r="G663" s="18"/>
      <c r="H663" s="18"/>
      <c r="J663" s="40"/>
      <c r="K663" s="40"/>
      <c r="L663" s="40"/>
      <c r="M663" s="38"/>
      <c r="O663" s="12">
        <f t="shared" si="125"/>
        <v>54.166666666666664</v>
      </c>
      <c r="P663" s="13">
        <v>650</v>
      </c>
      <c r="Q663" s="21">
        <v>2.5850101859782315E-2</v>
      </c>
      <c r="R663" s="18">
        <f t="shared" si="126"/>
        <v>2.5338332190026236E-2</v>
      </c>
      <c r="S663" s="21">
        <v>3.4962107619218807E-2</v>
      </c>
      <c r="T663" s="18">
        <f t="shared" si="127"/>
        <v>4.2784477898612616E-2</v>
      </c>
      <c r="U663" s="23">
        <v>3.7192091250991322E-2</v>
      </c>
      <c r="V663" s="23">
        <f t="shared" si="128"/>
        <v>4.2793360563306182E-2</v>
      </c>
      <c r="W663" s="22">
        <f t="shared" si="131"/>
        <v>3.4978494935797855E-3</v>
      </c>
      <c r="X663" s="23">
        <v>3.674517126557153E-2</v>
      </c>
      <c r="Y663" s="23">
        <f t="shared" si="132"/>
        <v>4.2791383724664067E-2</v>
      </c>
      <c r="Z663" s="22">
        <f t="shared" si="133"/>
        <v>3.4976869818208467E-3</v>
      </c>
      <c r="AA663" s="33"/>
      <c r="AB663" s="50">
        <f t="shared" si="129"/>
        <v>650</v>
      </c>
      <c r="AC663" s="48">
        <f t="shared" si="124"/>
        <v>0.25096997253631237</v>
      </c>
      <c r="AE663" s="48">
        <f t="shared" si="130"/>
        <v>0.99791772887633656</v>
      </c>
      <c r="AF663" s="48">
        <f t="shared" si="134"/>
        <v>0.2509699725363122</v>
      </c>
      <c r="AH663" s="48">
        <f t="shared" si="135"/>
        <v>0</v>
      </c>
    </row>
    <row r="664" spans="4:34" ht="13.9" customHeight="1">
      <c r="D664" s="8"/>
      <c r="E664" s="9"/>
      <c r="F664" s="18"/>
      <c r="G664" s="18"/>
      <c r="H664" s="18"/>
      <c r="J664" s="40"/>
      <c r="K664" s="40"/>
      <c r="L664" s="40"/>
      <c r="M664" s="38"/>
      <c r="O664" s="12">
        <f t="shared" si="125"/>
        <v>54.25</v>
      </c>
      <c r="P664" s="13">
        <v>651</v>
      </c>
      <c r="Q664" s="21">
        <v>2.5849315535404038E-2</v>
      </c>
      <c r="R664" s="18">
        <f t="shared" si="126"/>
        <v>2.5347821105544011E-2</v>
      </c>
      <c r="S664" s="21">
        <v>3.4974078436797784E-2</v>
      </c>
      <c r="T664" s="18">
        <f t="shared" si="127"/>
        <v>4.2786847058284616E-2</v>
      </c>
      <c r="U664" s="23">
        <v>3.7200672237258425E-2</v>
      </c>
      <c r="V664" s="23">
        <f t="shared" si="128"/>
        <v>4.2795508204392929E-2</v>
      </c>
      <c r="W664" s="22">
        <f t="shared" si="131"/>
        <v>3.4980235312485064E-3</v>
      </c>
      <c r="X664" s="23">
        <v>3.6754431906317553E-2</v>
      </c>
      <c r="Y664" s="23">
        <f t="shared" si="132"/>
        <v>4.279358020857682E-2</v>
      </c>
      <c r="Z664" s="22">
        <f t="shared" si="133"/>
        <v>3.4978650022861046E-3</v>
      </c>
      <c r="AA664" s="33"/>
      <c r="AB664" s="50">
        <f t="shared" si="129"/>
        <v>651</v>
      </c>
      <c r="AC664" s="48">
        <f t="shared" si="124"/>
        <v>0.25044719021296713</v>
      </c>
      <c r="AE664" s="48">
        <f t="shared" si="130"/>
        <v>0.99791695270130609</v>
      </c>
      <c r="AF664" s="48">
        <f t="shared" si="134"/>
        <v>0.25044719021296713</v>
      </c>
      <c r="AH664" s="48">
        <f t="shared" si="135"/>
        <v>0</v>
      </c>
    </row>
    <row r="665" spans="4:34" ht="13.9" customHeight="1">
      <c r="D665" s="8"/>
      <c r="E665" s="9"/>
      <c r="F665" s="18"/>
      <c r="G665" s="18"/>
      <c r="H665" s="18"/>
      <c r="J665" s="40"/>
      <c r="K665" s="40"/>
      <c r="L665" s="40"/>
      <c r="M665" s="38"/>
      <c r="O665" s="12">
        <f t="shared" si="125"/>
        <v>54.333333333333336</v>
      </c>
      <c r="P665" s="13">
        <v>652</v>
      </c>
      <c r="Q665" s="21">
        <v>2.5848546184389587E-2</v>
      </c>
      <c r="R665" s="18">
        <f t="shared" si="126"/>
        <v>2.5357229646742141E-2</v>
      </c>
      <c r="S665" s="21">
        <v>3.4986016278402587E-2</v>
      </c>
      <c r="T665" s="18">
        <f t="shared" si="127"/>
        <v>4.2789190137422439E-2</v>
      </c>
      <c r="U665" s="23">
        <v>3.7209230248434144E-2</v>
      </c>
      <c r="V665" s="23">
        <f t="shared" si="128"/>
        <v>4.2797633492446696E-2</v>
      </c>
      <c r="W665" s="22">
        <f t="shared" si="131"/>
        <v>3.4981957570887623E-3</v>
      </c>
      <c r="X665" s="23">
        <v>3.6763667571893643E-2</v>
      </c>
      <c r="Y665" s="23">
        <f t="shared" si="132"/>
        <v>4.279575353296039E-2</v>
      </c>
      <c r="Z665" s="22">
        <f t="shared" si="133"/>
        <v>3.4980411452827376E-3</v>
      </c>
      <c r="AA665" s="33"/>
      <c r="AB665" s="50">
        <f t="shared" si="129"/>
        <v>652</v>
      </c>
      <c r="AC665" s="48">
        <f t="shared" si="124"/>
        <v>0.24992530412785402</v>
      </c>
      <c r="AE665" s="48">
        <f t="shared" si="130"/>
        <v>0.99791618310962626</v>
      </c>
      <c r="AF665" s="48">
        <f t="shared" si="134"/>
        <v>0.24992530412785471</v>
      </c>
      <c r="AH665" s="48">
        <f t="shared" si="135"/>
        <v>6.9388939039072284E-16</v>
      </c>
    </row>
    <row r="666" spans="4:34" ht="13.9" customHeight="1">
      <c r="D666" s="8"/>
      <c r="E666" s="9"/>
      <c r="F666" s="18"/>
      <c r="G666" s="18"/>
      <c r="H666" s="18"/>
      <c r="J666" s="40"/>
      <c r="K666" s="40"/>
      <c r="L666" s="40"/>
      <c r="M666" s="38"/>
      <c r="O666" s="12">
        <f t="shared" si="125"/>
        <v>54.416666666666664</v>
      </c>
      <c r="P666" s="13">
        <v>653</v>
      </c>
      <c r="Q666" s="21">
        <v>2.5847793605446645E-2</v>
      </c>
      <c r="R666" s="18">
        <f t="shared" si="126"/>
        <v>2.536655850789038E-2</v>
      </c>
      <c r="S666" s="21">
        <v>3.4997921255375042E-2</v>
      </c>
      <c r="T666" s="18">
        <f t="shared" si="127"/>
        <v>4.2791507424268405E-2</v>
      </c>
      <c r="U666" s="23">
        <v>3.721776535577237E-2</v>
      </c>
      <c r="V666" s="23">
        <f t="shared" si="128"/>
        <v>4.2799736660387167E-2</v>
      </c>
      <c r="W666" s="22">
        <f t="shared" si="131"/>
        <v>3.498366190051394E-3</v>
      </c>
      <c r="X666" s="23">
        <v>3.6772878341483572E-2</v>
      </c>
      <c r="Y666" s="23">
        <f t="shared" si="132"/>
        <v>4.2797903942306093E-2</v>
      </c>
      <c r="Z666" s="22">
        <f t="shared" si="133"/>
        <v>3.4982154307083846E-3</v>
      </c>
      <c r="AA666" s="33"/>
      <c r="AB666" s="50">
        <f t="shared" si="129"/>
        <v>653</v>
      </c>
      <c r="AC666" s="48">
        <f t="shared" si="124"/>
        <v>0.24940431484843861</v>
      </c>
      <c r="AE666" s="48">
        <f t="shared" si="130"/>
        <v>0.99791542004426592</v>
      </c>
      <c r="AF666" s="48">
        <f t="shared" si="134"/>
        <v>0.24940431484843906</v>
      </c>
      <c r="AH666" s="48">
        <f t="shared" si="135"/>
        <v>4.4408920985006262E-16</v>
      </c>
    </row>
    <row r="667" spans="4:34" ht="13.9" customHeight="1">
      <c r="D667" s="8"/>
      <c r="E667" s="9"/>
      <c r="F667" s="18"/>
      <c r="G667" s="18"/>
      <c r="H667" s="18"/>
      <c r="J667" s="40"/>
      <c r="K667" s="40"/>
      <c r="L667" s="40"/>
      <c r="M667" s="38"/>
      <c r="O667" s="12">
        <f t="shared" si="125"/>
        <v>54.5</v>
      </c>
      <c r="P667" s="13">
        <v>654</v>
      </c>
      <c r="Q667" s="21">
        <v>2.5847057599580836E-2</v>
      </c>
      <c r="R667" s="18">
        <f t="shared" si="126"/>
        <v>2.5375808376855158E-2</v>
      </c>
      <c r="S667" s="21">
        <v>3.5009793478814943E-2</v>
      </c>
      <c r="T667" s="18">
        <f t="shared" si="127"/>
        <v>4.2793799203084237E-2</v>
      </c>
      <c r="U667" s="23">
        <v>3.7226277630446392E-2</v>
      </c>
      <c r="V667" s="23">
        <f t="shared" si="128"/>
        <v>4.2801817939428055E-2</v>
      </c>
      <c r="W667" s="22">
        <f t="shared" si="131"/>
        <v>3.4985348488250079E-3</v>
      </c>
      <c r="X667" s="23">
        <v>3.6782064294159644E-2</v>
      </c>
      <c r="Y667" s="23">
        <f t="shared" si="132"/>
        <v>4.2800031679252282E-2</v>
      </c>
      <c r="Z667" s="22">
        <f t="shared" si="133"/>
        <v>3.4983878781806865E-3</v>
      </c>
      <c r="AA667" s="33"/>
      <c r="AB667" s="50">
        <f t="shared" si="129"/>
        <v>654</v>
      </c>
      <c r="AC667" s="48">
        <f t="shared" si="124"/>
        <v>0.24888422291463969</v>
      </c>
      <c r="AE667" s="48">
        <f t="shared" si="130"/>
        <v>0.99791466344872348</v>
      </c>
      <c r="AF667" s="48">
        <f t="shared" si="134"/>
        <v>0.24888422291463952</v>
      </c>
      <c r="AH667" s="48">
        <f t="shared" si="135"/>
        <v>0</v>
      </c>
    </row>
    <row r="668" spans="4:34" ht="13.9" customHeight="1">
      <c r="D668" s="8"/>
      <c r="E668" s="9"/>
      <c r="F668" s="18"/>
      <c r="G668" s="18"/>
      <c r="H668" s="18"/>
      <c r="J668" s="40"/>
      <c r="K668" s="40"/>
      <c r="L668" s="40"/>
      <c r="M668" s="38"/>
      <c r="O668" s="12">
        <f t="shared" si="125"/>
        <v>54.583333333333336</v>
      </c>
      <c r="P668" s="13">
        <v>655</v>
      </c>
      <c r="Q668" s="21">
        <v>2.5846337970068189E-2</v>
      </c>
      <c r="R668" s="18">
        <f t="shared" si="126"/>
        <v>2.5384979935675123E-2</v>
      </c>
      <c r="S668" s="21">
        <v>3.5021633059576063E-2</v>
      </c>
      <c r="T668" s="18">
        <f t="shared" si="127"/>
        <v>4.2796065755972501E-2</v>
      </c>
      <c r="U668" s="23">
        <v>3.7234767143546232E-2</v>
      </c>
      <c r="V668" s="23">
        <f t="shared" si="128"/>
        <v>4.2803877558155845E-2</v>
      </c>
      <c r="W668" s="22">
        <f t="shared" si="131"/>
        <v>3.4987017519612085E-3</v>
      </c>
      <c r="X668" s="23">
        <v>3.6791225508880032E-2</v>
      </c>
      <c r="Y668" s="23">
        <f t="shared" si="132"/>
        <v>4.2802136982906136E-2</v>
      </c>
      <c r="Z668" s="22">
        <f t="shared" si="133"/>
        <v>3.4985585071676262E-3</v>
      </c>
      <c r="AA668" s="33"/>
      <c r="AB668" s="50">
        <f t="shared" si="129"/>
        <v>655</v>
      </c>
      <c r="AC668" s="48">
        <f t="shared" si="124"/>
        <v>0.24836502883916953</v>
      </c>
      <c r="AE668" s="48">
        <f t="shared" si="130"/>
        <v>0.99791391326702061</v>
      </c>
      <c r="AF668" s="48">
        <f t="shared" si="134"/>
        <v>0.24836502883916942</v>
      </c>
      <c r="AH668" s="48">
        <f t="shared" si="135"/>
        <v>0</v>
      </c>
    </row>
    <row r="669" spans="4:34" ht="13.9" customHeight="1">
      <c r="D669" s="8"/>
      <c r="E669" s="9"/>
      <c r="F669" s="18"/>
      <c r="G669" s="18"/>
      <c r="H669" s="18"/>
      <c r="J669" s="40"/>
      <c r="K669" s="40"/>
      <c r="L669" s="40"/>
      <c r="M669" s="38"/>
      <c r="O669" s="12">
        <f t="shared" si="125"/>
        <v>54.666666666666664</v>
      </c>
      <c r="P669" s="13">
        <v>656</v>
      </c>
      <c r="Q669" s="21">
        <v>2.5845634522428718E-2</v>
      </c>
      <c r="R669" s="18">
        <f t="shared" si="126"/>
        <v>2.5394073860813604E-2</v>
      </c>
      <c r="S669" s="21">
        <v>3.5033440108264591E-2</v>
      </c>
      <c r="T669" s="18">
        <f t="shared" si="127"/>
        <v>4.2798307360953247E-2</v>
      </c>
      <c r="U669" s="23">
        <v>3.7243233966075762E-2</v>
      </c>
      <c r="V669" s="23">
        <f t="shared" si="128"/>
        <v>4.2805915742214706E-2</v>
      </c>
      <c r="W669" s="22">
        <f t="shared" si="131"/>
        <v>3.4988669178004361E-3</v>
      </c>
      <c r="X669" s="23">
        <v>3.6800362064485004E-2</v>
      </c>
      <c r="Y669" s="23">
        <f t="shared" si="132"/>
        <v>4.2804220091079426E-2</v>
      </c>
      <c r="Z669" s="22">
        <f t="shared" si="133"/>
        <v>3.4987273368538574E-3</v>
      </c>
      <c r="AA669" s="33"/>
      <c r="AB669" s="50">
        <f t="shared" si="129"/>
        <v>656</v>
      </c>
      <c r="AC669" s="48">
        <f t="shared" si="124"/>
        <v>0.24784673310786054</v>
      </c>
      <c r="AE669" s="48">
        <f t="shared" si="130"/>
        <v>0.9979131694436556</v>
      </c>
      <c r="AF669" s="48">
        <f t="shared" si="134"/>
        <v>0.24784673310786048</v>
      </c>
      <c r="AH669" s="48">
        <f t="shared" si="135"/>
        <v>0</v>
      </c>
    </row>
    <row r="670" spans="4:34" ht="13.9" customHeight="1">
      <c r="D670" s="8"/>
      <c r="E670" s="9"/>
      <c r="F670" s="18"/>
      <c r="G670" s="18"/>
      <c r="H670" s="18"/>
      <c r="J670" s="40"/>
      <c r="K670" s="40"/>
      <c r="L670" s="40"/>
      <c r="M670" s="38"/>
      <c r="O670" s="12">
        <f t="shared" si="125"/>
        <v>54.75</v>
      </c>
      <c r="P670" s="13">
        <v>657</v>
      </c>
      <c r="Q670" s="21">
        <v>2.5844947064400881E-2</v>
      </c>
      <c r="R670" s="18">
        <f t="shared" si="126"/>
        <v>2.5403090820911078E-2</v>
      </c>
      <c r="S670" s="21">
        <v>3.504521473523492E-2</v>
      </c>
      <c r="T670" s="18">
        <f t="shared" si="127"/>
        <v>4.2800524293310493E-2</v>
      </c>
      <c r="U670" s="23">
        <v>3.7251678168948699E-2</v>
      </c>
      <c r="V670" s="23">
        <f t="shared" si="128"/>
        <v>4.2807932715303698E-2</v>
      </c>
      <c r="W670" s="22">
        <f t="shared" si="131"/>
        <v>3.4990303644470977E-3</v>
      </c>
      <c r="X670" s="23">
        <v>3.6809474039695145E-2</v>
      </c>
      <c r="Y670" s="23">
        <f t="shared" si="132"/>
        <v>4.2806281238390032E-2</v>
      </c>
      <c r="Z670" s="22">
        <f t="shared" si="133"/>
        <v>3.4988943863203392E-3</v>
      </c>
      <c r="AA670" s="33"/>
      <c r="AB670" s="50">
        <f t="shared" si="129"/>
        <v>657</v>
      </c>
      <c r="AC670" s="48">
        <f t="shared" si="124"/>
        <v>0.2473293361799799</v>
      </c>
      <c r="AE670" s="48">
        <f t="shared" si="130"/>
        <v>0.99791243192358259</v>
      </c>
      <c r="AF670" s="48">
        <f t="shared" si="134"/>
        <v>0.24732933617998018</v>
      </c>
      <c r="AH670" s="48">
        <f t="shared" si="135"/>
        <v>2.7755575615628914E-16</v>
      </c>
    </row>
    <row r="671" spans="4:34" ht="13.9" customHeight="1">
      <c r="D671" s="8"/>
      <c r="E671" s="9"/>
      <c r="F671" s="18"/>
      <c r="G671" s="18"/>
      <c r="H671" s="18"/>
      <c r="J671" s="40"/>
      <c r="K671" s="40"/>
      <c r="L671" s="40"/>
      <c r="M671" s="38"/>
      <c r="O671" s="12">
        <f t="shared" si="125"/>
        <v>54.833333333333336</v>
      </c>
      <c r="P671" s="13">
        <v>658</v>
      </c>
      <c r="Q671" s="21">
        <v>2.584427540591272E-2</v>
      </c>
      <c r="R671" s="18">
        <f t="shared" si="126"/>
        <v>2.541203148090343E-2</v>
      </c>
      <c r="S671" s="21">
        <v>3.5056957050587423E-2</v>
      </c>
      <c r="T671" s="18">
        <f t="shared" si="127"/>
        <v>4.2802716825549147E-2</v>
      </c>
      <c r="U671" s="23">
        <v>3.7260099822986614E-2</v>
      </c>
      <c r="V671" s="23">
        <f t="shared" si="128"/>
        <v>4.2809928699091726E-2</v>
      </c>
      <c r="W671" s="22">
        <f t="shared" si="131"/>
        <v>3.4991921098490586E-3</v>
      </c>
      <c r="X671" s="23">
        <v>3.6818561513107806E-2</v>
      </c>
      <c r="Y671" s="23">
        <f t="shared" si="132"/>
        <v>4.2808320656400056E-2</v>
      </c>
      <c r="Z671" s="22">
        <f t="shared" si="133"/>
        <v>3.4990596743911251E-3</v>
      </c>
      <c r="AA671" s="33"/>
      <c r="AB671" s="50">
        <f t="shared" si="129"/>
        <v>658</v>
      </c>
      <c r="AC671" s="48">
        <f t="shared" si="124"/>
        <v>0.24681283848859098</v>
      </c>
      <c r="AE671" s="48">
        <f t="shared" si="130"/>
        <v>0.99791170065239387</v>
      </c>
      <c r="AF671" s="48">
        <f t="shared" si="134"/>
        <v>0.24681283848859167</v>
      </c>
      <c r="AH671" s="48">
        <f t="shared" si="135"/>
        <v>6.9388939039072284E-16</v>
      </c>
    </row>
    <row r="672" spans="4:34" ht="13.9" customHeight="1">
      <c r="D672" s="8"/>
      <c r="E672" s="9"/>
      <c r="F672" s="18"/>
      <c r="G672" s="18"/>
      <c r="H672" s="18"/>
      <c r="J672" s="40"/>
      <c r="K672" s="40"/>
      <c r="L672" s="40"/>
      <c r="M672" s="38"/>
      <c r="O672" s="12">
        <f t="shared" si="125"/>
        <v>54.916666666666664</v>
      </c>
      <c r="P672" s="13">
        <v>659</v>
      </c>
      <c r="Q672" s="21">
        <v>2.5843619359059433E-2</v>
      </c>
      <c r="R672" s="18">
        <f t="shared" si="126"/>
        <v>2.5420896497944323E-2</v>
      </c>
      <c r="S672" s="21">
        <v>3.5068667164166234E-2</v>
      </c>
      <c r="T672" s="18">
        <f t="shared" si="127"/>
        <v>4.2804885226956246E-2</v>
      </c>
      <c r="U672" s="23">
        <v>3.7268498998916266E-2</v>
      </c>
      <c r="V672" s="23">
        <f t="shared" si="128"/>
        <v>4.2811903912431726E-2</v>
      </c>
      <c r="W672" s="22">
        <f t="shared" si="131"/>
        <v>3.4993521717916476E-3</v>
      </c>
      <c r="X672" s="23">
        <v>3.6827624563193551E-2</v>
      </c>
      <c r="Y672" s="23">
        <f t="shared" si="132"/>
        <v>4.2810338575431706E-2</v>
      </c>
      <c r="Z672" s="22">
        <f t="shared" si="133"/>
        <v>3.4992232196455753E-3</v>
      </c>
      <c r="AA672" s="33"/>
      <c r="AB672" s="50">
        <f t="shared" si="129"/>
        <v>659</v>
      </c>
      <c r="AC672" s="48">
        <f t="shared" si="124"/>
        <v>0.24629724044082879</v>
      </c>
      <c r="AE672" s="48">
        <f t="shared" si="130"/>
        <v>0.99791097557598563</v>
      </c>
      <c r="AF672" s="48">
        <f t="shared" si="134"/>
        <v>0.24629724044082868</v>
      </c>
      <c r="AH672" s="48">
        <f t="shared" si="135"/>
        <v>0</v>
      </c>
    </row>
    <row r="673" spans="4:34" ht="13.9" customHeight="1">
      <c r="D673" s="8"/>
      <c r="E673" s="9"/>
      <c r="F673" s="18"/>
      <c r="G673" s="18"/>
      <c r="H673" s="18"/>
      <c r="J673" s="40"/>
      <c r="K673" s="40"/>
      <c r="L673" s="40"/>
      <c r="M673" s="38"/>
      <c r="O673" s="12">
        <f t="shared" si="125"/>
        <v>55</v>
      </c>
      <c r="P673" s="13">
        <v>660</v>
      </c>
      <c r="Q673" s="21">
        <v>2.5842978738075395E-2</v>
      </c>
      <c r="R673" s="18">
        <f t="shared" si="126"/>
        <v>2.5429686524177653E-2</v>
      </c>
      <c r="S673" s="21">
        <v>3.5080345185556361E-2</v>
      </c>
      <c r="T673" s="18">
        <f t="shared" si="127"/>
        <v>4.2807029763911597E-2</v>
      </c>
      <c r="U673" s="23">
        <v>3.7276875767366269E-2</v>
      </c>
      <c r="V673" s="23">
        <f t="shared" si="128"/>
        <v>4.2813858572048336E-2</v>
      </c>
      <c r="W673" s="22">
        <f t="shared" si="131"/>
        <v>3.49951056783393E-3</v>
      </c>
      <c r="X673" s="23">
        <v>3.6836663268295045E-2</v>
      </c>
      <c r="Y673" s="23">
        <f t="shared" si="132"/>
        <v>4.28123352223444E-2</v>
      </c>
      <c r="Z673" s="22">
        <f t="shared" si="133"/>
        <v>3.4993850405624638E-3</v>
      </c>
      <c r="AA673" s="33"/>
      <c r="AB673" s="50">
        <f t="shared" si="129"/>
        <v>660</v>
      </c>
      <c r="AC673" s="48">
        <f t="shared" si="124"/>
        <v>0.24578254241825004</v>
      </c>
      <c r="AE673" s="48">
        <f t="shared" si="130"/>
        <v>0.99791025664088895</v>
      </c>
      <c r="AF673" s="48">
        <f t="shared" si="134"/>
        <v>0.24578254241825009</v>
      </c>
      <c r="AH673" s="48">
        <f t="shared" si="135"/>
        <v>0</v>
      </c>
    </row>
    <row r="674" spans="4:34" ht="13.9" customHeight="1">
      <c r="D674" s="8"/>
      <c r="E674" s="9"/>
      <c r="F674" s="18"/>
      <c r="G674" s="18"/>
      <c r="H674" s="18"/>
      <c r="J674" s="40"/>
      <c r="K674" s="40"/>
      <c r="L674" s="40"/>
      <c r="M674" s="38"/>
      <c r="O674" s="12">
        <f t="shared" si="125"/>
        <v>55.083333333333336</v>
      </c>
      <c r="P674" s="13">
        <v>661</v>
      </c>
      <c r="Q674" s="21">
        <v>2.5842353359309955E-2</v>
      </c>
      <c r="R674" s="18">
        <f t="shared" si="126"/>
        <v>2.543840220602811E-2</v>
      </c>
      <c r="S674" s="21">
        <v>3.5091991224081021E-2</v>
      </c>
      <c r="T674" s="18">
        <f t="shared" si="127"/>
        <v>4.2809150699261611E-2</v>
      </c>
      <c r="U674" s="23">
        <v>3.7285230198864427E-2</v>
      </c>
      <c r="V674" s="23">
        <f t="shared" si="128"/>
        <v>4.2815792892469062E-2</v>
      </c>
      <c r="W674" s="22">
        <f t="shared" si="131"/>
        <v>3.4996673153639968E-3</v>
      </c>
      <c r="X674" s="23">
        <v>3.6845677706622837E-2</v>
      </c>
      <c r="Y674" s="23">
        <f t="shared" si="132"/>
        <v>4.2814310822263613E-2</v>
      </c>
      <c r="Z674" s="22">
        <f t="shared" si="133"/>
        <v>3.4995451553436752E-3</v>
      </c>
      <c r="AA674" s="33"/>
      <c r="AB674" s="50">
        <f t="shared" si="129"/>
        <v>661</v>
      </c>
      <c r="AC674" s="48">
        <f t="shared" si="124"/>
        <v>0.24526874477713637</v>
      </c>
      <c r="AE674" s="48">
        <f t="shared" si="130"/>
        <v>0.99790954379404428</v>
      </c>
      <c r="AF674" s="48">
        <f t="shared" si="134"/>
        <v>0.24526874477713628</v>
      </c>
      <c r="AH674" s="48">
        <f t="shared" si="135"/>
        <v>0</v>
      </c>
    </row>
    <row r="675" spans="4:34" ht="13.9" customHeight="1">
      <c r="D675" s="8"/>
      <c r="E675" s="9"/>
      <c r="F675" s="18"/>
      <c r="G675" s="18"/>
      <c r="H675" s="18"/>
      <c r="J675" s="40"/>
      <c r="K675" s="40"/>
      <c r="L675" s="40"/>
      <c r="M675" s="38"/>
      <c r="O675" s="12">
        <f t="shared" si="125"/>
        <v>55.166666666666664</v>
      </c>
      <c r="P675" s="13">
        <v>662</v>
      </c>
      <c r="Q675" s="21">
        <v>2.5841743041202792E-2</v>
      </c>
      <c r="R675" s="18">
        <f t="shared" si="126"/>
        <v>2.5447044183763978E-2</v>
      </c>
      <c r="S675" s="21">
        <v>3.5103605388798975E-2</v>
      </c>
      <c r="T675" s="18">
        <f t="shared" si="127"/>
        <v>4.2811248293709525E-2</v>
      </c>
      <c r="U675" s="23">
        <v>3.7293562363835742E-2</v>
      </c>
      <c r="V675" s="23">
        <f t="shared" si="128"/>
        <v>4.2817707085343715E-2</v>
      </c>
      <c r="W675" s="22">
        <f t="shared" si="131"/>
        <v>3.4998224315936355E-3</v>
      </c>
      <c r="X675" s="23">
        <v>3.6854667956254028E-2</v>
      </c>
      <c r="Y675" s="23">
        <f t="shared" si="132"/>
        <v>4.2816265597304115E-2</v>
      </c>
      <c r="Z675" s="22">
        <f t="shared" si="133"/>
        <v>3.4997035820514277E-3</v>
      </c>
      <c r="AA675" s="33"/>
      <c r="AB675" s="50">
        <f t="shared" si="129"/>
        <v>662</v>
      </c>
      <c r="AC675" s="48">
        <f t="shared" si="124"/>
        <v>0.24475584784879836</v>
      </c>
      <c r="AE675" s="48">
        <f t="shared" si="130"/>
        <v>0.99790883698285981</v>
      </c>
      <c r="AF675" s="48">
        <f t="shared" si="134"/>
        <v>0.24475584784879795</v>
      </c>
      <c r="AH675" s="48">
        <f t="shared" si="135"/>
        <v>-4.163336342344337E-16</v>
      </c>
    </row>
    <row r="676" spans="4:34" ht="13.9" customHeight="1">
      <c r="D676" s="8"/>
      <c r="E676" s="9"/>
      <c r="F676" s="18"/>
      <c r="G676" s="18"/>
      <c r="H676" s="18"/>
      <c r="J676" s="40"/>
      <c r="K676" s="40"/>
      <c r="L676" s="40"/>
      <c r="M676" s="38"/>
      <c r="O676" s="12">
        <f t="shared" si="125"/>
        <v>55.25</v>
      </c>
      <c r="P676" s="13">
        <v>663</v>
      </c>
      <c r="Q676" s="21">
        <v>2.584114760425904E-2</v>
      </c>
      <c r="R676" s="18">
        <f t="shared" si="126"/>
        <v>2.5455613091968754E-2</v>
      </c>
      <c r="S676" s="21">
        <v>3.5115187788502311E-2</v>
      </c>
      <c r="T676" s="18">
        <f t="shared" si="127"/>
        <v>4.2813322805017373E-2</v>
      </c>
      <c r="U676" s="23">
        <v>3.7301872332598185E-2</v>
      </c>
      <c r="V676" s="23">
        <f t="shared" si="128"/>
        <v>4.2819601361766768E-2</v>
      </c>
      <c r="W676" s="22">
        <f t="shared" si="131"/>
        <v>3.4999759335039293E-3</v>
      </c>
      <c r="X676" s="23">
        <v>3.6863634095128051E-2</v>
      </c>
      <c r="Y676" s="23">
        <f t="shared" si="132"/>
        <v>4.2818199767727938E-2</v>
      </c>
      <c r="Z676" s="22">
        <f t="shared" si="133"/>
        <v>3.4998603385059113E-3</v>
      </c>
      <c r="AA676" s="33"/>
      <c r="AB676" s="50">
        <f t="shared" si="129"/>
        <v>663</v>
      </c>
      <c r="AC676" s="48">
        <f t="shared" si="124"/>
        <v>0.24424385193989057</v>
      </c>
      <c r="AE676" s="48">
        <f t="shared" si="130"/>
        <v>0.99790813615524587</v>
      </c>
      <c r="AF676" s="48">
        <f t="shared" si="134"/>
        <v>0.2442438519398909</v>
      </c>
      <c r="AH676" s="48">
        <f t="shared" si="135"/>
        <v>3.3306690738754696E-16</v>
      </c>
    </row>
    <row r="677" spans="4:34" ht="13.9" customHeight="1">
      <c r="D677" s="8"/>
      <c r="E677" s="9"/>
      <c r="F677" s="18"/>
      <c r="G677" s="18"/>
      <c r="H677" s="18"/>
      <c r="J677" s="40"/>
      <c r="K677" s="40"/>
      <c r="L677" s="40"/>
      <c r="M677" s="38"/>
      <c r="O677" s="12">
        <f t="shared" si="125"/>
        <v>55.333333333333336</v>
      </c>
      <c r="P677" s="13">
        <v>664</v>
      </c>
      <c r="Q677" s="21">
        <v>2.5840566871024651E-2</v>
      </c>
      <c r="R677" s="18">
        <f t="shared" si="126"/>
        <v>2.5464109559845349E-2</v>
      </c>
      <c r="S677" s="21">
        <v>3.5126738531715329E-2</v>
      </c>
      <c r="T677" s="18">
        <f t="shared" si="127"/>
        <v>4.2815374487612523E-2</v>
      </c>
      <c r="U677" s="23">
        <v>3.7310160175362928E-2</v>
      </c>
      <c r="V677" s="23">
        <f t="shared" si="128"/>
        <v>4.2821475928460639E-2</v>
      </c>
      <c r="W677" s="22">
        <f t="shared" si="131"/>
        <v>3.5001278380304424E-3</v>
      </c>
      <c r="X677" s="23">
        <v>3.6872576201046003E-2</v>
      </c>
      <c r="Y677" s="23">
        <f t="shared" si="132"/>
        <v>4.2820113551523376E-2</v>
      </c>
      <c r="Z677" s="22">
        <f t="shared" si="133"/>
        <v>3.5000154423787677E-3</v>
      </c>
      <c r="AA677" s="33"/>
      <c r="AB677" s="50">
        <f t="shared" si="129"/>
        <v>664</v>
      </c>
      <c r="AC677" s="48">
        <f t="shared" si="124"/>
        <v>0.24373275733271926</v>
      </c>
      <c r="AE677" s="48">
        <f t="shared" si="130"/>
        <v>0.99790744125957731</v>
      </c>
      <c r="AF677" s="48">
        <f t="shared" si="134"/>
        <v>0.24373275733271957</v>
      </c>
      <c r="AH677" s="48">
        <f t="shared" si="135"/>
        <v>3.0531133177191805E-16</v>
      </c>
    </row>
    <row r="678" spans="4:34" ht="13.9" customHeight="1">
      <c r="D678" s="8"/>
      <c r="E678" s="9"/>
      <c r="F678" s="18"/>
      <c r="G678" s="18"/>
      <c r="H678" s="18"/>
      <c r="J678" s="40"/>
      <c r="K678" s="40"/>
      <c r="L678" s="40"/>
      <c r="M678" s="38"/>
      <c r="O678" s="12">
        <f t="shared" si="125"/>
        <v>55.416666666666664</v>
      </c>
      <c r="P678" s="13">
        <v>665</v>
      </c>
      <c r="Q678" s="21">
        <v>2.584000066606329E-2</v>
      </c>
      <c r="R678" s="18">
        <f t="shared" si="126"/>
        <v>2.5472534210546405E-2</v>
      </c>
      <c r="S678" s="21">
        <v>3.5138257726690325E-2</v>
      </c>
      <c r="T678" s="18">
        <f t="shared" si="127"/>
        <v>4.2817403592898762E-2</v>
      </c>
      <c r="U678" s="23">
        <v>3.7318425962229007E-2</v>
      </c>
      <c r="V678" s="23">
        <f t="shared" si="128"/>
        <v>4.2823330991371478E-2</v>
      </c>
      <c r="W678" s="22">
        <f t="shared" si="131"/>
        <v>3.5002781617590184E-3</v>
      </c>
      <c r="X678" s="23">
        <v>3.6881494351667321E-2</v>
      </c>
      <c r="Y678" s="23">
        <f t="shared" si="132"/>
        <v>4.2822007163419995E-2</v>
      </c>
      <c r="Z678" s="22">
        <f t="shared" si="133"/>
        <v>3.5001689111597845E-3</v>
      </c>
      <c r="AA678" s="33"/>
      <c r="AB678" s="50">
        <f t="shared" si="129"/>
        <v>665</v>
      </c>
      <c r="AC678" s="48">
        <f t="shared" si="124"/>
        <v>0.24322256428553227</v>
      </c>
      <c r="AE678" s="48">
        <f t="shared" si="130"/>
        <v>0.99790675224466863</v>
      </c>
      <c r="AF678" s="48">
        <f t="shared" si="134"/>
        <v>0.24322256428553213</v>
      </c>
      <c r="AH678" s="48">
        <f t="shared" si="135"/>
        <v>0</v>
      </c>
    </row>
    <row r="679" spans="4:34" ht="13.9" customHeight="1">
      <c r="D679" s="8"/>
      <c r="E679" s="9"/>
      <c r="F679" s="18"/>
      <c r="G679" s="18"/>
      <c r="H679" s="18"/>
      <c r="J679" s="40"/>
      <c r="K679" s="40"/>
      <c r="L679" s="40"/>
      <c r="M679" s="38"/>
      <c r="O679" s="12">
        <f t="shared" si="125"/>
        <v>55.5</v>
      </c>
      <c r="P679" s="13">
        <v>666</v>
      </c>
      <c r="Q679" s="21">
        <v>2.583944881593192E-2</v>
      </c>
      <c r="R679" s="18">
        <f t="shared" si="126"/>
        <v>2.5480887662580054E-2</v>
      </c>
      <c r="S679" s="21">
        <v>3.5149745481406036E-2</v>
      </c>
      <c r="T679" s="18">
        <f t="shared" si="127"/>
        <v>4.2819410370846134E-2</v>
      </c>
      <c r="U679" s="23">
        <v>3.7326669763182219E-2</v>
      </c>
      <c r="V679" s="23">
        <f t="shared" si="128"/>
        <v>4.2825166754082433E-2</v>
      </c>
      <c r="W679" s="22">
        <f t="shared" si="131"/>
        <v>3.5004269212119965E-3</v>
      </c>
      <c r="X679" s="23">
        <v>3.6890388624506443E-2</v>
      </c>
      <c r="Y679" s="23">
        <f t="shared" si="132"/>
        <v>4.2823880817299154E-2</v>
      </c>
      <c r="Z679" s="22">
        <f t="shared" si="133"/>
        <v>3.5003207620758481E-3</v>
      </c>
      <c r="AA679" s="33"/>
      <c r="AB679" s="50">
        <f t="shared" si="129"/>
        <v>666</v>
      </c>
      <c r="AC679" s="48">
        <f t="shared" si="124"/>
        <v>0.24271327303282639</v>
      </c>
      <c r="AE679" s="48">
        <f t="shared" si="130"/>
        <v>0.99790606905982826</v>
      </c>
      <c r="AF679" s="48">
        <f t="shared" si="134"/>
        <v>0.24271327303282675</v>
      </c>
      <c r="AH679" s="48">
        <f t="shared" si="135"/>
        <v>3.6082248300317588E-16</v>
      </c>
    </row>
    <row r="680" spans="4:34" ht="13.9" customHeight="1">
      <c r="D680" s="8"/>
      <c r="E680" s="9"/>
      <c r="F680" s="18"/>
      <c r="G680" s="18"/>
      <c r="H680" s="18"/>
      <c r="J680" s="40"/>
      <c r="K680" s="40"/>
      <c r="L680" s="40"/>
      <c r="M680" s="38"/>
      <c r="O680" s="12">
        <f t="shared" si="125"/>
        <v>55.583333333333336</v>
      </c>
      <c r="P680" s="13">
        <v>667</v>
      </c>
      <c r="Q680" s="21">
        <v>2.5838911149158594E-2</v>
      </c>
      <c r="R680" s="18">
        <f t="shared" si="126"/>
        <v>2.5489170527646099E-2</v>
      </c>
      <c r="S680" s="21">
        <v>3.5161201903567196E-2</v>
      </c>
      <c r="T680" s="18">
        <f t="shared" si="127"/>
        <v>4.2821395066979573E-2</v>
      </c>
      <c r="U680" s="23">
        <v>3.7334891648093116E-2</v>
      </c>
      <c r="V680" s="23">
        <f t="shared" si="128"/>
        <v>4.2826983417582731E-2</v>
      </c>
      <c r="W680" s="22">
        <f t="shared" si="131"/>
        <v>3.5005741327229778E-3</v>
      </c>
      <c r="X680" s="23">
        <v>3.6899259096932813E-2</v>
      </c>
      <c r="Y680" s="23">
        <f t="shared" si="132"/>
        <v>4.282573472364537E-2</v>
      </c>
      <c r="Z680" s="22">
        <f t="shared" si="133"/>
        <v>3.5004710122870097E-3</v>
      </c>
      <c r="AA680" s="33"/>
      <c r="AB680" s="50">
        <f t="shared" si="129"/>
        <v>667</v>
      </c>
      <c r="AC680" s="48">
        <f t="shared" si="124"/>
        <v>0.24220488378562705</v>
      </c>
      <c r="AE680" s="48">
        <f t="shared" si="130"/>
        <v>0.99790539165474412</v>
      </c>
      <c r="AF680" s="48">
        <f t="shared" si="134"/>
        <v>0.24220488378562782</v>
      </c>
      <c r="AH680" s="48">
        <f t="shared" si="135"/>
        <v>7.7715611723760958E-16</v>
      </c>
    </row>
    <row r="681" spans="4:34" ht="13.9" customHeight="1">
      <c r="D681" s="8"/>
      <c r="E681" s="9"/>
      <c r="F681" s="18"/>
      <c r="G681" s="18"/>
      <c r="H681" s="18"/>
      <c r="J681" s="40"/>
      <c r="K681" s="40"/>
      <c r="L681" s="40"/>
      <c r="M681" s="38"/>
      <c r="O681" s="12">
        <f t="shared" si="125"/>
        <v>55.666666666666664</v>
      </c>
      <c r="P681" s="13">
        <v>668</v>
      </c>
      <c r="Q681" s="21">
        <v>2.5838387496217585E-2</v>
      </c>
      <c r="R681" s="18">
        <f t="shared" si="126"/>
        <v>2.5497383413121355E-2</v>
      </c>
      <c r="S681" s="21">
        <v>3.5172627100599874E-2</v>
      </c>
      <c r="T681" s="18">
        <f t="shared" si="127"/>
        <v>4.2823357925078742E-2</v>
      </c>
      <c r="U681" s="23">
        <v>3.7343091686714125E-2</v>
      </c>
      <c r="V681" s="23">
        <f t="shared" si="128"/>
        <v>4.282878118164879E-2</v>
      </c>
      <c r="W681" s="22">
        <f t="shared" si="131"/>
        <v>3.5007198124166194E-3</v>
      </c>
      <c r="X681" s="23">
        <v>3.6908105846166439E-2</v>
      </c>
      <c r="Y681" s="23">
        <f t="shared" si="132"/>
        <v>4.2827569091127948E-2</v>
      </c>
      <c r="Z681" s="22">
        <f t="shared" si="133"/>
        <v>3.5006196786797616E-3</v>
      </c>
      <c r="AA681" s="33"/>
      <c r="AB681" s="50">
        <f t="shared" si="129"/>
        <v>668</v>
      </c>
      <c r="AC681" s="48">
        <f t="shared" si="124"/>
        <v>0.2416973967318029</v>
      </c>
      <c r="AE681" s="48">
        <f t="shared" si="130"/>
        <v>0.99790471997965924</v>
      </c>
      <c r="AF681" s="48">
        <f t="shared" si="134"/>
        <v>0.24169739673180285</v>
      </c>
      <c r="AH681" s="48">
        <f t="shared" si="135"/>
        <v>0</v>
      </c>
    </row>
    <row r="682" spans="4:34" ht="13.9" customHeight="1">
      <c r="D682" s="8"/>
      <c r="E682" s="9"/>
      <c r="F682" s="18"/>
      <c r="G682" s="18"/>
      <c r="H682" s="18"/>
      <c r="J682" s="40"/>
      <c r="K682" s="40"/>
      <c r="L682" s="40"/>
      <c r="M682" s="38"/>
      <c r="O682" s="12">
        <f t="shared" si="125"/>
        <v>55.75</v>
      </c>
      <c r="P682" s="13">
        <v>669</v>
      </c>
      <c r="Q682" s="21">
        <v>2.5837877689508515E-2</v>
      </c>
      <c r="R682" s="18">
        <f t="shared" si="126"/>
        <v>2.5505526920346355E-2</v>
      </c>
      <c r="S682" s="21">
        <v>3.5184021179651248E-2</v>
      </c>
      <c r="T682" s="18">
        <f t="shared" si="127"/>
        <v>4.282529918628275E-2</v>
      </c>
      <c r="U682" s="23">
        <v>3.7351269948677546E-2</v>
      </c>
      <c r="V682" s="23">
        <f t="shared" si="128"/>
        <v>4.2830560242559823E-2</v>
      </c>
      <c r="W682" s="22">
        <f t="shared" si="131"/>
        <v>3.5008639763205451E-3</v>
      </c>
      <c r="X682" s="23">
        <v>3.6916928949276562E-2</v>
      </c>
      <c r="Y682" s="23">
        <f t="shared" si="132"/>
        <v>4.2829384126223724E-2</v>
      </c>
      <c r="Z682" s="22">
        <f t="shared" si="133"/>
        <v>3.5007667779953788E-3</v>
      </c>
      <c r="AA682" s="33"/>
      <c r="AB682" s="50">
        <f t="shared" si="129"/>
        <v>669</v>
      </c>
      <c r="AC682" s="48">
        <f t="shared" si="124"/>
        <v>0.24119081203632867</v>
      </c>
      <c r="AE682" s="48">
        <f t="shared" si="130"/>
        <v>0.99790405398517079</v>
      </c>
      <c r="AF682" s="48">
        <f t="shared" si="134"/>
        <v>0.24119081203632822</v>
      </c>
      <c r="AH682" s="48">
        <f t="shared" si="135"/>
        <v>-4.4408920985006262E-16</v>
      </c>
    </row>
    <row r="683" spans="4:34" ht="13.9" customHeight="1">
      <c r="D683" s="8"/>
      <c r="E683" s="9"/>
      <c r="F683" s="18"/>
      <c r="G683" s="18"/>
      <c r="H683" s="18"/>
      <c r="J683" s="40"/>
      <c r="K683" s="40"/>
      <c r="L683" s="40"/>
      <c r="M683" s="38"/>
      <c r="O683" s="12">
        <f t="shared" si="125"/>
        <v>55.833333333333336</v>
      </c>
      <c r="P683" s="13">
        <v>670</v>
      </c>
      <c r="Q683" s="21">
        <v>2.5837381563332595E-2</v>
      </c>
      <c r="R683" s="18">
        <f t="shared" si="126"/>
        <v>2.5513601645781314E-2</v>
      </c>
      <c r="S683" s="21">
        <v>3.5195384247587613E-2</v>
      </c>
      <c r="T683" s="18">
        <f t="shared" si="127"/>
        <v>4.282721908813425E-2</v>
      </c>
      <c r="U683" s="23">
        <v>3.7359426503492665E-2</v>
      </c>
      <c r="V683" s="23">
        <f t="shared" si="128"/>
        <v>4.2832320795957557E-2</v>
      </c>
      <c r="W683" s="22">
        <f t="shared" si="131"/>
        <v>3.5010066401817141E-3</v>
      </c>
      <c r="X683" s="23">
        <v>3.6925728483179654E-2</v>
      </c>
      <c r="Y683" s="23">
        <f t="shared" si="132"/>
        <v>4.2831180033414018E-2</v>
      </c>
      <c r="Z683" s="22">
        <f t="shared" si="133"/>
        <v>3.5009123267986109E-3</v>
      </c>
      <c r="AA683" s="33"/>
      <c r="AB683" s="50">
        <f t="shared" si="129"/>
        <v>670</v>
      </c>
      <c r="AC683" s="48">
        <f t="shared" si="124"/>
        <v>0.24068512984158666</v>
      </c>
      <c r="AE683" s="48">
        <f t="shared" si="130"/>
        <v>0.99790339362236791</v>
      </c>
      <c r="AF683" s="48">
        <f t="shared" si="134"/>
        <v>0.2406851298415866</v>
      </c>
      <c r="AH683" s="48">
        <f t="shared" si="135"/>
        <v>0</v>
      </c>
    </row>
    <row r="684" spans="4:34" ht="13.9" customHeight="1">
      <c r="D684" s="8"/>
      <c r="E684" s="9"/>
      <c r="F684" s="18"/>
      <c r="G684" s="18"/>
      <c r="H684" s="18"/>
      <c r="J684" s="40"/>
      <c r="K684" s="40"/>
      <c r="L684" s="40"/>
      <c r="M684" s="38"/>
      <c r="O684" s="12">
        <f t="shared" si="125"/>
        <v>55.916666666666664</v>
      </c>
      <c r="P684" s="13">
        <v>671</v>
      </c>
      <c r="Q684" s="21">
        <v>2.583689895387109E-2</v>
      </c>
      <c r="R684" s="18">
        <f t="shared" si="126"/>
        <v>2.5521608180036903E-2</v>
      </c>
      <c r="S684" s="21">
        <v>3.5206716410991268E-2</v>
      </c>
      <c r="T684" s="18">
        <f t="shared" si="127"/>
        <v>4.2829117866962196E-2</v>
      </c>
      <c r="U684" s="23">
        <v>3.736756142054487E-2</v>
      </c>
      <c r="V684" s="23">
        <f t="shared" si="128"/>
        <v>4.283406303485271E-2</v>
      </c>
      <c r="W684" s="22">
        <f t="shared" si="131"/>
        <v>3.5011478196957935E-3</v>
      </c>
      <c r="X684" s="23">
        <v>3.6934504524637202E-2</v>
      </c>
      <c r="Y684" s="23">
        <f t="shared" si="132"/>
        <v>4.2832957014129258E-2</v>
      </c>
      <c r="Z684" s="22">
        <f t="shared" si="133"/>
        <v>3.5010563414947793E-3</v>
      </c>
      <c r="AA684" s="33"/>
      <c r="AB684" s="50">
        <f t="shared" si="129"/>
        <v>671</v>
      </c>
      <c r="AC684" s="48">
        <f t="shared" si="124"/>
        <v>0.24018035026763984</v>
      </c>
      <c r="AE684" s="48">
        <f t="shared" si="130"/>
        <v>0.99790273884273828</v>
      </c>
      <c r="AF684" s="48">
        <f t="shared" si="134"/>
        <v>0.24018035026763934</v>
      </c>
      <c r="AH684" s="48">
        <f t="shared" si="135"/>
        <v>-4.9960036108132044E-16</v>
      </c>
    </row>
    <row r="685" spans="4:34" ht="13.9" customHeight="1">
      <c r="D685" s="8"/>
      <c r="E685" s="9"/>
      <c r="F685" s="18"/>
      <c r="G685" s="18"/>
      <c r="H685" s="18"/>
      <c r="J685" s="40"/>
      <c r="K685" s="40"/>
      <c r="L685" s="40"/>
      <c r="M685" s="38"/>
      <c r="O685" s="12">
        <f t="shared" si="125"/>
        <v>56</v>
      </c>
      <c r="P685" s="13">
        <v>672</v>
      </c>
      <c r="Q685" s="21">
        <v>2.5836429699162888E-2</v>
      </c>
      <c r="R685" s="18">
        <f t="shared" si="126"/>
        <v>2.5529547108933404E-2</v>
      </c>
      <c r="S685" s="21">
        <v>3.5218017776160515E-2</v>
      </c>
      <c r="T685" s="18">
        <f t="shared" si="127"/>
        <v>4.2830995755209322E-2</v>
      </c>
      <c r="U685" s="23">
        <v>3.7375674769092759E-2</v>
      </c>
      <c r="V685" s="23">
        <f t="shared" si="128"/>
        <v>4.2835787149590132E-2</v>
      </c>
      <c r="W685" s="22">
        <f t="shared" si="131"/>
        <v>3.5012875303468416E-3</v>
      </c>
      <c r="X685" s="23">
        <v>3.6943257150253039E-2</v>
      </c>
      <c r="Y685" s="23">
        <f t="shared" si="132"/>
        <v>4.2834715268869727E-2</v>
      </c>
      <c r="Z685" s="22">
        <f t="shared" si="133"/>
        <v>3.5011988382434023E-3</v>
      </c>
      <c r="AA685" s="33"/>
      <c r="AB685" s="50">
        <f t="shared" si="129"/>
        <v>672</v>
      </c>
      <c r="AC685" s="48">
        <f t="shared" si="124"/>
        <v>0.2396764734125163</v>
      </c>
      <c r="AE685" s="48">
        <f t="shared" si="130"/>
        <v>0.99790208959824755</v>
      </c>
      <c r="AF685" s="48">
        <f t="shared" si="134"/>
        <v>0.23967647341251633</v>
      </c>
      <c r="AH685" s="48">
        <f t="shared" si="135"/>
        <v>0</v>
      </c>
    </row>
    <row r="686" spans="4:34" ht="13.9" customHeight="1">
      <c r="D686" s="8"/>
      <c r="E686" s="9"/>
      <c r="F686" s="18"/>
      <c r="G686" s="18"/>
      <c r="H686" s="18"/>
      <c r="J686" s="40"/>
      <c r="K686" s="40"/>
      <c r="L686" s="40"/>
      <c r="M686" s="38"/>
      <c r="O686" s="12">
        <f t="shared" si="125"/>
        <v>56.083333333333336</v>
      </c>
      <c r="P686" s="13">
        <v>673</v>
      </c>
      <c r="Q686" s="21">
        <v>2.5835973639083187E-2</v>
      </c>
      <c r="R686" s="18">
        <f t="shared" si="126"/>
        <v>2.5537419013279328E-2</v>
      </c>
      <c r="S686" s="21">
        <v>3.5229288449106555E-2</v>
      </c>
      <c r="T686" s="18">
        <f t="shared" si="127"/>
        <v>4.283285298325934E-2</v>
      </c>
      <c r="U686" s="23">
        <v>3.7383766618265479E-2</v>
      </c>
      <c r="V686" s="23">
        <f t="shared" si="128"/>
        <v>4.2837493330012411E-2</v>
      </c>
      <c r="W686" s="22">
        <f t="shared" si="131"/>
        <v>3.5014257874059762E-3</v>
      </c>
      <c r="X686" s="23">
        <v>3.6951986436472239E-2</v>
      </c>
      <c r="Y686" s="23">
        <f t="shared" si="132"/>
        <v>4.283645499529376E-2</v>
      </c>
      <c r="Z686" s="22">
        <f t="shared" si="133"/>
        <v>3.5013398331302792E-3</v>
      </c>
      <c r="AA686" s="33"/>
      <c r="AB686" s="50">
        <f t="shared" si="129"/>
        <v>673</v>
      </c>
      <c r="AC686" s="48">
        <f t="shared" si="124"/>
        <v>0.23917349935248208</v>
      </c>
      <c r="AE686" s="48">
        <f t="shared" si="130"/>
        <v>0.99790144584125173</v>
      </c>
      <c r="AF686" s="48">
        <f t="shared" si="134"/>
        <v>0.23917349935248236</v>
      </c>
      <c r="AH686" s="48">
        <f t="shared" si="135"/>
        <v>2.7755575615628914E-16</v>
      </c>
    </row>
    <row r="687" spans="4:34" ht="13.9" customHeight="1">
      <c r="D687" s="8"/>
      <c r="E687" s="9"/>
      <c r="F687" s="18"/>
      <c r="G687" s="18"/>
      <c r="H687" s="18"/>
      <c r="J687" s="40"/>
      <c r="K687" s="40"/>
      <c r="L687" s="40"/>
      <c r="M687" s="38"/>
      <c r="O687" s="12">
        <f t="shared" si="125"/>
        <v>56.166666666666664</v>
      </c>
      <c r="P687" s="13">
        <v>674</v>
      </c>
      <c r="Q687" s="21">
        <v>2.58355306153224E-2</v>
      </c>
      <c r="R687" s="18">
        <f t="shared" si="126"/>
        <v>2.5545224467659056E-2</v>
      </c>
      <c r="S687" s="21">
        <v>3.5240528535552373E-2</v>
      </c>
      <c r="T687" s="18">
        <f t="shared" si="127"/>
        <v>4.283468977894489E-2</v>
      </c>
      <c r="U687" s="23">
        <v>3.7391837037062503E-2</v>
      </c>
      <c r="V687" s="23">
        <f t="shared" si="128"/>
        <v>4.283918176253998E-2</v>
      </c>
      <c r="W687" s="22">
        <f t="shared" si="131"/>
        <v>3.5015626061030147E-3</v>
      </c>
      <c r="X687" s="23">
        <v>3.6960692459579114E-2</v>
      </c>
      <c r="Y687" s="23">
        <f t="shared" si="132"/>
        <v>4.2838176388888316E-2</v>
      </c>
      <c r="Z687" s="22">
        <f t="shared" si="133"/>
        <v>3.5014793420122814E-3</v>
      </c>
      <c r="AA687" s="33"/>
      <c r="AB687" s="50">
        <f t="shared" si="129"/>
        <v>674</v>
      </c>
      <c r="AC687" s="48">
        <f t="shared" si="124"/>
        <v>0.2386714281423068</v>
      </c>
      <c r="AE687" s="48">
        <f t="shared" si="130"/>
        <v>0.99790080752451649</v>
      </c>
      <c r="AF687" s="48">
        <f t="shared" si="134"/>
        <v>0.23867142814230657</v>
      </c>
      <c r="AH687" s="48">
        <f t="shared" si="135"/>
        <v>-2.2204460492503131E-16</v>
      </c>
    </row>
    <row r="688" spans="4:34" ht="13.9" customHeight="1">
      <c r="D688" s="8"/>
      <c r="E688" s="9"/>
      <c r="F688" s="18"/>
      <c r="G688" s="18"/>
      <c r="H688" s="18"/>
      <c r="J688" s="40"/>
      <c r="K688" s="40"/>
      <c r="L688" s="40"/>
      <c r="M688" s="38"/>
      <c r="O688" s="12">
        <f t="shared" si="125"/>
        <v>56.25</v>
      </c>
      <c r="P688" s="13">
        <v>675</v>
      </c>
      <c r="Q688" s="21">
        <v>2.5835100471363726E-2</v>
      </c>
      <c r="R688" s="18">
        <f t="shared" si="126"/>
        <v>2.5552964042890869E-2</v>
      </c>
      <c r="S688" s="21">
        <v>3.5251738140930744E-2</v>
      </c>
      <c r="T688" s="18">
        <f t="shared" si="127"/>
        <v>4.2836506367825766E-2</v>
      </c>
      <c r="U688" s="23">
        <v>3.7399886094350077E-2</v>
      </c>
      <c r="V688" s="23">
        <f t="shared" si="128"/>
        <v>4.2840852632269222E-2</v>
      </c>
      <c r="W688" s="22">
        <f t="shared" si="131"/>
        <v>3.5016980013933274E-3</v>
      </c>
      <c r="X688" s="23">
        <v>3.6969375295694107E-2</v>
      </c>
      <c r="Y688" s="23">
        <f t="shared" si="132"/>
        <v>4.2839879643428835E-2</v>
      </c>
      <c r="Z688" s="22">
        <f t="shared" si="133"/>
        <v>3.5016173805724193E-3</v>
      </c>
      <c r="AA688" s="33"/>
      <c r="AB688" s="50">
        <f t="shared" si="129"/>
        <v>675</v>
      </c>
      <c r="AC688" s="48">
        <f t="shared" si="124"/>
        <v>0.23817025981555315</v>
      </c>
      <c r="AE688" s="48">
        <f t="shared" si="130"/>
        <v>0.99790017460131519</v>
      </c>
      <c r="AF688" s="48">
        <f t="shared" si="134"/>
        <v>0.23817025981555298</v>
      </c>
      <c r="AH688" s="48">
        <f t="shared" si="135"/>
        <v>0</v>
      </c>
    </row>
    <row r="689" spans="4:34" ht="13.9" customHeight="1">
      <c r="D689" s="8"/>
      <c r="E689" s="9"/>
      <c r="F689" s="18"/>
      <c r="G689" s="18"/>
      <c r="H689" s="18"/>
      <c r="J689" s="40"/>
      <c r="K689" s="40"/>
      <c r="L689" s="40"/>
      <c r="M689" s="38"/>
      <c r="O689" s="12">
        <f t="shared" si="125"/>
        <v>56.333333333333336</v>
      </c>
      <c r="P689" s="13">
        <v>676</v>
      </c>
      <c r="Q689" s="21">
        <v>2.5834683052463836E-2</v>
      </c>
      <c r="R689" s="18">
        <f t="shared" si="126"/>
        <v>2.5560638304326755E-2</v>
      </c>
      <c r="S689" s="21">
        <v>3.5262917370383562E-2</v>
      </c>
      <c r="T689" s="18">
        <f t="shared" si="127"/>
        <v>4.2838302972340703E-2</v>
      </c>
      <c r="U689" s="23">
        <v>3.7407913858859665E-2</v>
      </c>
      <c r="V689" s="23">
        <f t="shared" si="128"/>
        <v>4.2842506122459101E-2</v>
      </c>
      <c r="W689" s="22">
        <f t="shared" si="131"/>
        <v>3.5018319881261473E-3</v>
      </c>
      <c r="X689" s="23">
        <v>3.697803502077357E-2</v>
      </c>
      <c r="Y689" s="23">
        <f t="shared" si="132"/>
        <v>4.284156495076874E-2</v>
      </c>
      <c r="Z689" s="22">
        <f t="shared" si="133"/>
        <v>3.5017539643560358E-3</v>
      </c>
      <c r="AA689" s="33"/>
      <c r="AB689" s="50">
        <f t="shared" si="129"/>
        <v>676</v>
      </c>
      <c r="AC689" s="48">
        <f t="shared" si="124"/>
        <v>0.23766999438482175</v>
      </c>
      <c r="AE689" s="48">
        <f t="shared" si="130"/>
        <v>0.99789954702522854</v>
      </c>
      <c r="AF689" s="48">
        <f t="shared" si="134"/>
        <v>0.23766999438482131</v>
      </c>
      <c r="AH689" s="48">
        <f t="shared" si="135"/>
        <v>-4.4408920985006262E-16</v>
      </c>
    </row>
    <row r="690" spans="4:34" ht="13.9" customHeight="1">
      <c r="D690" s="8"/>
      <c r="E690" s="9"/>
      <c r="F690" s="18"/>
      <c r="G690" s="18"/>
      <c r="H690" s="18"/>
      <c r="J690" s="40"/>
      <c r="K690" s="40"/>
      <c r="L690" s="40"/>
      <c r="M690" s="38"/>
      <c r="O690" s="12">
        <f t="shared" si="125"/>
        <v>56.416666666666664</v>
      </c>
      <c r="P690" s="13">
        <v>677</v>
      </c>
      <c r="Q690" s="21">
        <v>2.5834278205632E-2</v>
      </c>
      <c r="R690" s="18">
        <f t="shared" si="126"/>
        <v>2.5568247811405653E-2</v>
      </c>
      <c r="S690" s="21">
        <v>3.5274066328759401E-2</v>
      </c>
      <c r="T690" s="18">
        <f t="shared" si="127"/>
        <v>4.2840079812907161E-2</v>
      </c>
      <c r="U690" s="23">
        <v>3.7415920399186842E-2</v>
      </c>
      <c r="V690" s="23">
        <f t="shared" si="128"/>
        <v>4.284414241422585E-2</v>
      </c>
      <c r="W690" s="22">
        <f t="shared" si="131"/>
        <v>3.5019645810034916E-3</v>
      </c>
      <c r="X690" s="23">
        <v>3.6986671710607322E-2</v>
      </c>
      <c r="Y690" s="23">
        <f t="shared" si="132"/>
        <v>4.2843232499713002E-2</v>
      </c>
      <c r="Z690" s="22">
        <f t="shared" si="133"/>
        <v>3.5018891087543746E-3</v>
      </c>
      <c r="AA690" s="33"/>
      <c r="AB690" s="50">
        <f t="shared" si="129"/>
        <v>677</v>
      </c>
      <c r="AC690" s="48">
        <f t="shared" si="124"/>
        <v>0.23717063184201936</v>
      </c>
      <c r="AE690" s="48">
        <f t="shared" si="130"/>
        <v>0.99789892475028374</v>
      </c>
      <c r="AF690" s="48">
        <f t="shared" si="134"/>
        <v>0.23717063184201917</v>
      </c>
      <c r="AH690" s="48">
        <f t="shared" si="135"/>
        <v>0</v>
      </c>
    </row>
    <row r="691" spans="4:34" ht="13.9" customHeight="1">
      <c r="D691" s="8"/>
      <c r="E691" s="9"/>
      <c r="F691" s="18"/>
      <c r="G691" s="18"/>
      <c r="H691" s="18"/>
      <c r="J691" s="40"/>
      <c r="K691" s="40"/>
      <c r="L691" s="40"/>
      <c r="M691" s="38"/>
      <c r="O691" s="12">
        <f t="shared" si="125"/>
        <v>56.5</v>
      </c>
      <c r="P691" s="13">
        <v>678</v>
      </c>
      <c r="Q691" s="21">
        <v>2.5833885779608101E-2</v>
      </c>
      <c r="R691" s="18">
        <f t="shared" si="126"/>
        <v>2.5575793120332868E-2</v>
      </c>
      <c r="S691" s="21">
        <v>3.5285185120612184E-2</v>
      </c>
      <c r="T691" s="18">
        <f t="shared" si="127"/>
        <v>4.2841837107649106E-2</v>
      </c>
      <c r="U691" s="23">
        <v>3.7423905783788625E-2</v>
      </c>
      <c r="V691" s="23">
        <f t="shared" si="128"/>
        <v>4.2845761686879369E-2</v>
      </c>
      <c r="W691" s="22">
        <f t="shared" si="131"/>
        <v>3.5020957945546272E-3</v>
      </c>
      <c r="X691" s="23">
        <v>3.6995285440815984E-2</v>
      </c>
      <c r="Y691" s="23">
        <f t="shared" si="132"/>
        <v>4.284488247859275E-2</v>
      </c>
      <c r="Z691" s="22">
        <f t="shared" si="133"/>
        <v>3.5020228289144306E-3</v>
      </c>
      <c r="AA691" s="33"/>
      <c r="AB691" s="50">
        <f t="shared" si="129"/>
        <v>678</v>
      </c>
      <c r="AC691" s="48">
        <f t="shared" si="124"/>
        <v>0.23667217215864003</v>
      </c>
      <c r="AE691" s="48">
        <f t="shared" si="130"/>
        <v>0.99789830773098953</v>
      </c>
      <c r="AF691" s="48">
        <f t="shared" si="134"/>
        <v>0.23667217215864048</v>
      </c>
      <c r="AH691" s="48">
        <f t="shared" si="135"/>
        <v>4.4408920985006262E-16</v>
      </c>
    </row>
    <row r="692" spans="4:34" ht="13.9" customHeight="1">
      <c r="D692" s="8"/>
      <c r="E692" s="9"/>
      <c r="F692" s="18"/>
      <c r="G692" s="18"/>
      <c r="H692" s="18"/>
      <c r="J692" s="40"/>
      <c r="K692" s="40"/>
      <c r="L692" s="40"/>
      <c r="M692" s="38"/>
      <c r="O692" s="12">
        <f t="shared" si="125"/>
        <v>56.583333333333336</v>
      </c>
      <c r="P692" s="13">
        <v>679</v>
      </c>
      <c r="Q692" s="21">
        <v>2.5833505624845099E-2</v>
      </c>
      <c r="R692" s="18">
        <f t="shared" si="126"/>
        <v>2.5583274780435872E-2</v>
      </c>
      <c r="S692" s="21">
        <v>3.5296273850200732E-2</v>
      </c>
      <c r="T692" s="18">
        <f t="shared" si="127"/>
        <v>4.2843575071618512E-2</v>
      </c>
      <c r="U692" s="23">
        <v>3.7431870080982366E-2</v>
      </c>
      <c r="V692" s="23">
        <f t="shared" si="128"/>
        <v>4.2847364117543751E-2</v>
      </c>
      <c r="W692" s="22">
        <f t="shared" si="131"/>
        <v>3.5022256431642695E-3</v>
      </c>
      <c r="X692" s="23">
        <v>3.7003876286850979E-2</v>
      </c>
      <c r="Y692" s="23">
        <f t="shared" si="132"/>
        <v>4.2846515072450631E-2</v>
      </c>
      <c r="Z692" s="22">
        <f t="shared" si="133"/>
        <v>3.5021551399441186E-3</v>
      </c>
      <c r="AA692" s="33"/>
      <c r="AB692" s="50">
        <f t="shared" si="129"/>
        <v>679</v>
      </c>
      <c r="AC692" s="48">
        <f t="shared" si="124"/>
        <v>0.23617461528599068</v>
      </c>
      <c r="AE692" s="48">
        <f t="shared" si="130"/>
        <v>0.99789769592211996</v>
      </c>
      <c r="AF692" s="48">
        <f t="shared" si="134"/>
        <v>0.23617461528599065</v>
      </c>
      <c r="AH692" s="48">
        <f t="shared" si="135"/>
        <v>0</v>
      </c>
    </row>
    <row r="693" spans="4:34" ht="13.9" customHeight="1">
      <c r="D693" s="8"/>
      <c r="E693" s="9"/>
      <c r="F693" s="18"/>
      <c r="G693" s="18"/>
      <c r="H693" s="18"/>
      <c r="J693" s="40"/>
      <c r="K693" s="40"/>
      <c r="L693" s="40"/>
      <c r="M693" s="38"/>
      <c r="O693" s="12">
        <f t="shared" si="125"/>
        <v>56.666666666666664</v>
      </c>
      <c r="P693" s="13">
        <v>680</v>
      </c>
      <c r="Q693" s="21">
        <v>2.5833137593486599E-2</v>
      </c>
      <c r="R693" s="18">
        <f t="shared" si="126"/>
        <v>2.5590693337907977E-2</v>
      </c>
      <c r="S693" s="21">
        <v>3.5307332621485887E-2</v>
      </c>
      <c r="T693" s="18">
        <f t="shared" si="127"/>
        <v>4.2845293918141847E-2</v>
      </c>
      <c r="U693" s="23">
        <v>3.7439813358943086E-2</v>
      </c>
      <c r="V693" s="23">
        <f t="shared" si="128"/>
        <v>4.2848949882362097E-2</v>
      </c>
      <c r="W693" s="22">
        <f t="shared" si="131"/>
        <v>3.5023541410419412E-3</v>
      </c>
      <c r="X693" s="23">
        <v>3.7012444323991645E-2</v>
      </c>
      <c r="Y693" s="23">
        <f t="shared" si="132"/>
        <v>4.2848130465013012E-2</v>
      </c>
      <c r="Z693" s="22">
        <f t="shared" si="133"/>
        <v>3.5022860566880087E-3</v>
      </c>
      <c r="AA693" s="33"/>
      <c r="AB693" s="50">
        <f t="shared" si="129"/>
        <v>680</v>
      </c>
      <c r="AC693" s="48">
        <f t="shared" si="124"/>
        <v>0.23567796115547954</v>
      </c>
      <c r="AE693" s="48">
        <f t="shared" si="130"/>
        <v>0.997897089279009</v>
      </c>
      <c r="AF693" s="48">
        <f t="shared" si="134"/>
        <v>0.23567796115547981</v>
      </c>
      <c r="AH693" s="48">
        <f t="shared" si="135"/>
        <v>2.7755575615628914E-16</v>
      </c>
    </row>
    <row r="694" spans="4:34" ht="13.9" customHeight="1">
      <c r="D694" s="8"/>
      <c r="E694" s="9"/>
      <c r="F694" s="18"/>
      <c r="G694" s="18"/>
      <c r="H694" s="18"/>
      <c r="J694" s="40"/>
      <c r="K694" s="40"/>
      <c r="L694" s="40"/>
      <c r="M694" s="38"/>
      <c r="O694" s="12">
        <f t="shared" si="125"/>
        <v>56.75</v>
      </c>
      <c r="P694" s="13">
        <v>681</v>
      </c>
      <c r="Q694" s="21">
        <v>2.5832781539349314E-2</v>
      </c>
      <c r="R694" s="18">
        <f t="shared" si="126"/>
        <v>2.5598049333288131E-2</v>
      </c>
      <c r="S694" s="21">
        <v>3.5318361538130283E-2</v>
      </c>
      <c r="T694" s="18">
        <f t="shared" si="127"/>
        <v>4.2846993857858617E-2</v>
      </c>
      <c r="U694" s="23">
        <v>3.7447735685703254E-2</v>
      </c>
      <c r="V694" s="23">
        <f t="shared" si="128"/>
        <v>4.2850519154432387E-2</v>
      </c>
      <c r="W694" s="22">
        <f t="shared" si="131"/>
        <v>3.5024813023181167E-3</v>
      </c>
      <c r="X694" s="23">
        <v>3.7020989627343903E-2</v>
      </c>
      <c r="Y694" s="23">
        <f t="shared" si="132"/>
        <v>4.2849728837774492E-2</v>
      </c>
      <c r="Z694" s="22">
        <f t="shared" si="133"/>
        <v>3.5024155938854218E-3</v>
      </c>
      <c r="AA694" s="33"/>
      <c r="AB694" s="50">
        <f t="shared" si="129"/>
        <v>681</v>
      </c>
      <c r="AC694" s="48">
        <f t="shared" si="124"/>
        <v>0.23518220967884146</v>
      </c>
      <c r="AE694" s="48">
        <f t="shared" si="130"/>
        <v>0.99789648775724693</v>
      </c>
      <c r="AF694" s="48">
        <f t="shared" si="134"/>
        <v>0.23518220967884218</v>
      </c>
      <c r="AH694" s="48">
        <f t="shared" si="135"/>
        <v>7.2164496600635175E-16</v>
      </c>
    </row>
    <row r="695" spans="4:34" ht="13.9" customHeight="1">
      <c r="D695" s="8"/>
      <c r="E695" s="9"/>
      <c r="F695" s="18"/>
      <c r="G695" s="18"/>
      <c r="H695" s="18"/>
      <c r="J695" s="40"/>
      <c r="K695" s="40"/>
      <c r="L695" s="40"/>
      <c r="M695" s="38"/>
      <c r="O695" s="12">
        <f t="shared" si="125"/>
        <v>56.833333333333336</v>
      </c>
      <c r="P695" s="13">
        <v>682</v>
      </c>
      <c r="Q695" s="21">
        <v>2.5832437317902635E-2</v>
      </c>
      <c r="R695" s="18">
        <f t="shared" si="126"/>
        <v>2.5605343302124606E-2</v>
      </c>
      <c r="S695" s="21">
        <v>3.5329360703497015E-2</v>
      </c>
      <c r="T695" s="18">
        <f t="shared" si="127"/>
        <v>4.28486750997219E-2</v>
      </c>
      <c r="U695" s="23">
        <v>3.7455637129149677E-2</v>
      </c>
      <c r="V695" s="23">
        <f t="shared" si="128"/>
        <v>4.2852072106046579E-2</v>
      </c>
      <c r="W695" s="22">
        <f t="shared" si="131"/>
        <v>3.5026071408787995E-3</v>
      </c>
      <c r="X695" s="23">
        <v>3.7029512271838927E-2</v>
      </c>
      <c r="Y695" s="23">
        <f t="shared" si="132"/>
        <v>4.2851310370787488E-2</v>
      </c>
      <c r="Z695" s="22">
        <f t="shared" si="133"/>
        <v>3.5025437660958225E-3</v>
      </c>
      <c r="AA695" s="33"/>
      <c r="AB695" s="50">
        <f t="shared" si="129"/>
        <v>682</v>
      </c>
      <c r="AC695" s="48">
        <f t="shared" si="124"/>
        <v>0.23468736074840177</v>
      </c>
      <c r="AE695" s="48">
        <f t="shared" si="130"/>
        <v>0.99789589131288536</v>
      </c>
      <c r="AF695" s="48">
        <f t="shared" si="134"/>
        <v>0.2346873607484021</v>
      </c>
      <c r="AH695" s="48">
        <f t="shared" si="135"/>
        <v>3.3306690738754696E-16</v>
      </c>
    </row>
    <row r="696" spans="4:34" ht="13.9" customHeight="1">
      <c r="D696" s="8"/>
      <c r="E696" s="9"/>
      <c r="F696" s="18"/>
      <c r="G696" s="18"/>
      <c r="H696" s="18"/>
      <c r="J696" s="40"/>
      <c r="K696" s="40"/>
      <c r="L696" s="40"/>
      <c r="M696" s="38"/>
      <c r="O696" s="12">
        <f t="shared" si="125"/>
        <v>56.916666666666664</v>
      </c>
      <c r="P696" s="13">
        <v>683</v>
      </c>
      <c r="Q696" s="21">
        <v>2.583210478624931E-2</v>
      </c>
      <c r="R696" s="18">
        <f t="shared" si="126"/>
        <v>2.5612575775808555E-2</v>
      </c>
      <c r="S696" s="21">
        <v>3.5340330220648752E-2</v>
      </c>
      <c r="T696" s="18">
        <f t="shared" si="127"/>
        <v>4.2850337848715503E-2</v>
      </c>
      <c r="U696" s="23">
        <v>3.7463517757023057E-2</v>
      </c>
      <c r="V696" s="23">
        <f>(1+U697)^P697/(1+U696)^P696-1</f>
        <v>4.2853608907143181E-2</v>
      </c>
      <c r="W696" s="22">
        <f t="shared" si="131"/>
        <v>3.5027316705453782E-3</v>
      </c>
      <c r="X696" s="23">
        <v>3.7038012332231585E-2</v>
      </c>
      <c r="Y696" s="23">
        <f t="shared" si="132"/>
        <v>4.2852875241357502E-2</v>
      </c>
      <c r="Z696" s="22">
        <f t="shared" si="133"/>
        <v>3.5026705877634345E-3</v>
      </c>
      <c r="AA696" s="33"/>
      <c r="AB696" s="50">
        <f t="shared" si="129"/>
        <v>683</v>
      </c>
      <c r="AC696" s="48">
        <f t="shared" si="124"/>
        <v>0.23419341423732584</v>
      </c>
      <c r="AE696" s="48">
        <f t="shared" si="130"/>
        <v>0.99789529990238279</v>
      </c>
      <c r="AF696" s="48">
        <f t="shared" si="134"/>
        <v>0.23419341423732543</v>
      </c>
      <c r="AH696" s="48">
        <f t="shared" si="135"/>
        <v>-4.163336342344337E-16</v>
      </c>
    </row>
    <row r="697" spans="4:34" ht="13.9" customHeight="1">
      <c r="D697" s="8"/>
      <c r="E697" s="9"/>
      <c r="F697" s="18"/>
      <c r="G697" s="18"/>
      <c r="H697" s="18"/>
      <c r="J697" s="40"/>
      <c r="K697" s="40"/>
      <c r="L697" s="40"/>
      <c r="M697" s="38"/>
      <c r="O697" s="12">
        <f t="shared" si="125"/>
        <v>57</v>
      </c>
      <c r="P697" s="13">
        <v>684</v>
      </c>
      <c r="Q697" s="21">
        <v>2.5831783803107244E-2</v>
      </c>
      <c r="R697" s="18">
        <f t="shared" si="126"/>
        <v>2.5619747280671623E-2</v>
      </c>
      <c r="S697" s="21">
        <v>3.5351270192344852E-2</v>
      </c>
      <c r="T697" s="18">
        <f t="shared" si="127"/>
        <v>4.2851982309542347E-2</v>
      </c>
      <c r="U697" s="23">
        <v>3.747137763691577E-2</v>
      </c>
      <c r="V697" s="23">
        <f t="shared" si="128"/>
        <v>4.2855129725996699E-2</v>
      </c>
      <c r="W697" s="22">
        <f t="shared" si="131"/>
        <v>3.5028549049505031E-3</v>
      </c>
      <c r="X697" s="23">
        <v>3.7046489883098443E-2</v>
      </c>
      <c r="Y697" s="23">
        <f t="shared" si="132"/>
        <v>4.2854423625837912E-2</v>
      </c>
      <c r="Z697" s="22">
        <f t="shared" si="133"/>
        <v>3.5027960731115471E-3</v>
      </c>
      <c r="AA697" s="33"/>
      <c r="AB697" s="50">
        <f t="shared" si="129"/>
        <v>684</v>
      </c>
      <c r="AC697" s="48">
        <f t="shared" si="124"/>
        <v>0.23370036999985294</v>
      </c>
      <c r="AE697" s="48">
        <f t="shared" si="130"/>
        <v>0.997894713482537</v>
      </c>
      <c r="AF697" s="48">
        <f t="shared" si="134"/>
        <v>0.23370036999985297</v>
      </c>
      <c r="AH697" s="48">
        <f t="shared" si="135"/>
        <v>0</v>
      </c>
    </row>
    <row r="698" spans="4:34" ht="13.9" customHeight="1">
      <c r="D698" s="8"/>
      <c r="E698" s="9"/>
      <c r="F698" s="18"/>
      <c r="G698" s="18"/>
      <c r="H698" s="18"/>
      <c r="J698" s="40"/>
      <c r="K698" s="40"/>
      <c r="L698" s="40"/>
      <c r="M698" s="38"/>
      <c r="O698" s="12">
        <f t="shared" si="125"/>
        <v>57.083333333333336</v>
      </c>
      <c r="P698" s="13">
        <v>685</v>
      </c>
      <c r="Q698" s="21">
        <v>2.5831474228790396E-2</v>
      </c>
      <c r="R698" s="18">
        <f t="shared" si="126"/>
        <v>2.5626858338894776E-2</v>
      </c>
      <c r="S698" s="21">
        <v>3.5362180721042469E-2</v>
      </c>
      <c r="T698" s="18">
        <f t="shared" si="127"/>
        <v>4.2853608683275146E-2</v>
      </c>
      <c r="U698" s="23">
        <v>3.7479216836270535E-2</v>
      </c>
      <c r="V698" s="23">
        <f t="shared" si="128"/>
        <v>4.2856634729194099E-2</v>
      </c>
      <c r="W698" s="22">
        <f t="shared" si="131"/>
        <v>3.5029768575931541E-3</v>
      </c>
      <c r="X698" s="23">
        <v>3.7054944998837103E-2</v>
      </c>
      <c r="Y698" s="23">
        <f t="shared" si="132"/>
        <v>4.2855955697802761E-2</v>
      </c>
      <c r="Z698" s="22">
        <f t="shared" si="133"/>
        <v>3.502920236287288E-3</v>
      </c>
      <c r="AA698" s="33"/>
      <c r="AB698" s="50">
        <f t="shared" si="129"/>
        <v>685</v>
      </c>
      <c r="AC698" s="48">
        <f t="shared" si="124"/>
        <v>0.23320822787154866</v>
      </c>
      <c r="AE698" s="48">
        <f t="shared" si="130"/>
        <v>0.99789413201055843</v>
      </c>
      <c r="AF698" s="48">
        <f t="shared" si="134"/>
        <v>0.23320822787154963</v>
      </c>
      <c r="AH698" s="48">
        <f t="shared" si="135"/>
        <v>9.7144514654701197E-16</v>
      </c>
    </row>
    <row r="699" spans="4:34" ht="13.9" customHeight="1">
      <c r="D699" s="8"/>
      <c r="E699" s="9"/>
      <c r="F699" s="18"/>
      <c r="G699" s="18"/>
      <c r="H699" s="18"/>
      <c r="J699" s="40"/>
      <c r="K699" s="40"/>
      <c r="L699" s="40"/>
      <c r="M699" s="38"/>
      <c r="O699" s="12">
        <f t="shared" si="125"/>
        <v>57.166666666666664</v>
      </c>
      <c r="P699" s="13">
        <v>686</v>
      </c>
      <c r="Q699" s="21">
        <v>2.5831175925190353E-2</v>
      </c>
      <c r="R699" s="18">
        <f t="shared" si="126"/>
        <v>2.5633909467255522E-2</v>
      </c>
      <c r="S699" s="21">
        <v>3.5373061908894332E-2</v>
      </c>
      <c r="T699" s="18">
        <f t="shared" si="127"/>
        <v>4.2855217169835758E-2</v>
      </c>
      <c r="U699" s="23">
        <v>3.7487035422379078E-2</v>
      </c>
      <c r="V699" s="23">
        <f t="shared" si="128"/>
        <v>4.2858124081837756E-2</v>
      </c>
      <c r="W699" s="22">
        <f t="shared" si="131"/>
        <v>3.5030975418366417E-3</v>
      </c>
      <c r="X699" s="23">
        <v>3.7063377753664195E-2</v>
      </c>
      <c r="Y699" s="23">
        <f t="shared" si="132"/>
        <v>4.2857471629876187E-2</v>
      </c>
      <c r="Z699" s="22">
        <f t="shared" si="133"/>
        <v>3.5030430912148525E-3</v>
      </c>
      <c r="AA699" s="33"/>
      <c r="AB699" s="50">
        <f t="shared" si="129"/>
        <v>686</v>
      </c>
      <c r="AC699" s="48">
        <f t="shared" si="124"/>
        <v>0.23271698766953477</v>
      </c>
      <c r="AE699" s="48">
        <f t="shared" si="130"/>
        <v>0.99789355544399594</v>
      </c>
      <c r="AF699" s="48">
        <f t="shared" si="134"/>
        <v>0.23271698766953425</v>
      </c>
      <c r="AH699" s="48">
        <f t="shared" si="135"/>
        <v>-5.2735593669694936E-16</v>
      </c>
    </row>
    <row r="700" spans="4:34" ht="13.9" customHeight="1">
      <c r="D700" s="8"/>
      <c r="E700" s="9"/>
      <c r="F700" s="18"/>
      <c r="G700" s="18"/>
      <c r="H700" s="18"/>
      <c r="J700" s="40"/>
      <c r="K700" s="40"/>
      <c r="L700" s="40"/>
      <c r="M700" s="38"/>
      <c r="O700" s="12">
        <f t="shared" si="125"/>
        <v>57.25</v>
      </c>
      <c r="P700" s="13">
        <v>687</v>
      </c>
      <c r="Q700" s="21">
        <v>2.5830888755758341E-2</v>
      </c>
      <c r="R700" s="18">
        <f t="shared" si="126"/>
        <v>2.5640901178414666E-2</v>
      </c>
      <c r="S700" s="21">
        <v>3.5383913857748306E-2</v>
      </c>
      <c r="T700" s="18">
        <f t="shared" si="127"/>
        <v>4.2856807965573784E-2</v>
      </c>
      <c r="U700" s="23">
        <v>3.7494833462380805E-2</v>
      </c>
      <c r="V700" s="23">
        <f t="shared" si="128"/>
        <v>4.2859597946276251E-2</v>
      </c>
      <c r="W700" s="22">
        <f t="shared" si="131"/>
        <v>3.5032169709254823E-3</v>
      </c>
      <c r="X700" s="23">
        <v>3.7071788221614499E-2</v>
      </c>
      <c r="Y700" s="23">
        <f t="shared" si="132"/>
        <v>4.2858971592272255E-2</v>
      </c>
      <c r="Z700" s="22">
        <f t="shared" si="133"/>
        <v>3.5031646517418302E-3</v>
      </c>
      <c r="AA700" s="33"/>
      <c r="AB700" s="50">
        <f t="shared" si="129"/>
        <v>687</v>
      </c>
      <c r="AC700" s="48">
        <f t="shared" si="124"/>
        <v>0.23222664919273134</v>
      </c>
      <c r="AE700" s="48">
        <f t="shared" si="130"/>
        <v>0.99789298374083957</v>
      </c>
      <c r="AF700" s="48">
        <f t="shared" si="134"/>
        <v>0.2322266491927317</v>
      </c>
      <c r="AH700" s="48">
        <f t="shared" si="135"/>
        <v>3.6082248300317588E-16</v>
      </c>
    </row>
    <row r="701" spans="4:34" ht="13.9" customHeight="1">
      <c r="D701" s="8"/>
      <c r="E701" s="9"/>
      <c r="F701" s="18"/>
      <c r="G701" s="18"/>
      <c r="H701" s="18"/>
      <c r="J701" s="40"/>
      <c r="K701" s="40"/>
      <c r="L701" s="40"/>
      <c r="M701" s="38"/>
      <c r="O701" s="12">
        <f t="shared" si="125"/>
        <v>57.333333333333336</v>
      </c>
      <c r="P701" s="13">
        <v>688</v>
      </c>
      <c r="Q701" s="21">
        <v>2.5830612585486357E-2</v>
      </c>
      <c r="R701" s="18">
        <f t="shared" si="126"/>
        <v>2.5647833981146562E-2</v>
      </c>
      <c r="S701" s="21">
        <v>3.5394736669145388E-2</v>
      </c>
      <c r="T701" s="18">
        <f t="shared" si="127"/>
        <v>4.2858381265870715E-2</v>
      </c>
      <c r="U701" s="23">
        <v>3.7502611023260579E-2</v>
      </c>
      <c r="V701" s="23">
        <f t="shared" si="128"/>
        <v>4.2861056484748472E-2</v>
      </c>
      <c r="W701" s="22">
        <f t="shared" si="131"/>
        <v>3.5033351578832583E-3</v>
      </c>
      <c r="X701" s="23">
        <v>3.7080176476539384E-2</v>
      </c>
      <c r="Y701" s="23">
        <f t="shared" si="132"/>
        <v>4.2860455753461757E-2</v>
      </c>
      <c r="Z701" s="22">
        <f t="shared" si="133"/>
        <v>3.5032849315228543E-3</v>
      </c>
      <c r="AA701" s="33"/>
      <c r="AB701" s="50">
        <f t="shared" si="129"/>
        <v>688</v>
      </c>
      <c r="AC701" s="48">
        <f t="shared" si="124"/>
        <v>0.23173721222209792</v>
      </c>
      <c r="AE701" s="48">
        <f t="shared" si="130"/>
        <v>0.99789241685941432</v>
      </c>
      <c r="AF701" s="48">
        <f t="shared" si="134"/>
        <v>0.23173721222209839</v>
      </c>
      <c r="AH701" s="48">
        <f t="shared" si="135"/>
        <v>4.7184478546569153E-16</v>
      </c>
    </row>
    <row r="702" spans="4:34" ht="13.9" customHeight="1">
      <c r="D702" s="8"/>
      <c r="E702" s="9"/>
      <c r="F702" s="18"/>
      <c r="G702" s="18"/>
      <c r="H702" s="18"/>
      <c r="J702" s="40"/>
      <c r="K702" s="40"/>
      <c r="L702" s="40"/>
      <c r="M702" s="38"/>
      <c r="O702" s="12">
        <f t="shared" si="125"/>
        <v>57.416666666666664</v>
      </c>
      <c r="P702" s="13">
        <v>689</v>
      </c>
      <c r="Q702" s="21">
        <v>2.5830347280891175E-2</v>
      </c>
      <c r="R702" s="18">
        <f t="shared" si="126"/>
        <v>2.5654708378409996E-2</v>
      </c>
      <c r="S702" s="21">
        <v>3.5405530444319933E-2</v>
      </c>
      <c r="T702" s="18">
        <f t="shared" si="127"/>
        <v>4.285993726323345E-2</v>
      </c>
      <c r="U702" s="23">
        <v>3.751036817184894E-2</v>
      </c>
      <c r="V702" s="23">
        <f t="shared" si="128"/>
        <v>4.2862499856207048E-2</v>
      </c>
      <c r="W702" s="22">
        <f t="shared" si="131"/>
        <v>3.5034521157240039E-3</v>
      </c>
      <c r="X702" s="23">
        <v>3.7088542592105256E-2</v>
      </c>
      <c r="Y702" s="23">
        <f t="shared" si="132"/>
        <v>4.2861924280405583E-2</v>
      </c>
      <c r="Z702" s="22">
        <f t="shared" si="133"/>
        <v>3.5034039440720033E-3</v>
      </c>
      <c r="AA702" s="33"/>
      <c r="AB702" s="50">
        <f t="shared" si="129"/>
        <v>689</v>
      </c>
      <c r="AC702" s="48">
        <f t="shared" si="124"/>
        <v>0.23124867652084255</v>
      </c>
      <c r="AE702" s="48">
        <f t="shared" si="130"/>
        <v>0.99789185475836328</v>
      </c>
      <c r="AF702" s="48">
        <f t="shared" si="134"/>
        <v>0.23124867652084222</v>
      </c>
      <c r="AH702" s="48">
        <f t="shared" si="135"/>
        <v>-3.3306690738754696E-16</v>
      </c>
    </row>
    <row r="703" spans="4:34" ht="13.9" customHeight="1">
      <c r="D703" s="8"/>
      <c r="E703" s="9"/>
      <c r="F703" s="18"/>
      <c r="G703" s="18"/>
      <c r="H703" s="18"/>
      <c r="J703" s="40"/>
      <c r="K703" s="40"/>
      <c r="L703" s="40"/>
      <c r="M703" s="38"/>
      <c r="O703" s="12">
        <f t="shared" si="125"/>
        <v>57.5</v>
      </c>
      <c r="P703" s="13">
        <v>690</v>
      </c>
      <c r="Q703" s="21">
        <v>2.5830092709994812E-2</v>
      </c>
      <c r="R703" s="18">
        <f t="shared" si="126"/>
        <v>2.566152487008222E-2</v>
      </c>
      <c r="S703" s="21">
        <v>3.5416295284198096E-2</v>
      </c>
      <c r="T703" s="18">
        <f t="shared" si="127"/>
        <v>4.2861476149049116E-2</v>
      </c>
      <c r="U703" s="23">
        <v>3.7518104974819E-2</v>
      </c>
      <c r="V703" s="23">
        <f t="shared" si="128"/>
        <v>4.286392821945495E-2</v>
      </c>
      <c r="W703" s="22">
        <f t="shared" si="131"/>
        <v>3.5035678571990747E-3</v>
      </c>
      <c r="X703" s="23">
        <v>3.7096886641792892E-2</v>
      </c>
      <c r="Y703" s="23">
        <f t="shared" si="132"/>
        <v>4.2863377337893693E-2</v>
      </c>
      <c r="Z703" s="22">
        <f t="shared" si="133"/>
        <v>3.5035217027830079E-3</v>
      </c>
      <c r="AA703" s="33"/>
      <c r="AB703" s="50">
        <f t="shared" si="129"/>
        <v>690</v>
      </c>
      <c r="AC703" s="48">
        <f t="shared" si="124"/>
        <v>0.23076104183467647</v>
      </c>
      <c r="AE703" s="48">
        <f t="shared" si="130"/>
        <v>0.9978912973968026</v>
      </c>
      <c r="AF703" s="48">
        <f t="shared" si="134"/>
        <v>0.23076104183467677</v>
      </c>
      <c r="AH703" s="48">
        <f t="shared" si="135"/>
        <v>3.0531133177191805E-16</v>
      </c>
    </row>
    <row r="704" spans="4:34" ht="13.9" customHeight="1">
      <c r="D704" s="8"/>
      <c r="E704" s="9"/>
      <c r="F704" s="18"/>
      <c r="G704" s="18"/>
      <c r="H704" s="18"/>
      <c r="J704" s="40"/>
      <c r="K704" s="40"/>
      <c r="L704" s="40"/>
      <c r="M704" s="38"/>
      <c r="O704" s="12">
        <f t="shared" si="125"/>
        <v>57.583333333333336</v>
      </c>
      <c r="P704" s="13">
        <v>691</v>
      </c>
      <c r="Q704" s="21">
        <v>2.5829848742308537E-2</v>
      </c>
      <c r="R704" s="18">
        <f t="shared" si="126"/>
        <v>2.5668283950302628E-2</v>
      </c>
      <c r="S704" s="21">
        <v>3.5427031289397837E-2</v>
      </c>
      <c r="T704" s="18">
        <f t="shared" si="127"/>
        <v>4.2862998110838157E-2</v>
      </c>
      <c r="U704" s="23">
        <v>3.7525821498687106E-2</v>
      </c>
      <c r="V704" s="23">
        <f t="shared" si="128"/>
        <v>4.2865341729919182E-2</v>
      </c>
      <c r="W704" s="22">
        <f t="shared" si="131"/>
        <v>3.5036823950469476E-3</v>
      </c>
      <c r="X704" s="23">
        <v>3.7105208698895886E-2</v>
      </c>
      <c r="Y704" s="23">
        <f t="shared" si="132"/>
        <v>4.2864815089675767E-2</v>
      </c>
      <c r="Z704" s="22">
        <f t="shared" si="133"/>
        <v>3.5036382208746275E-3</v>
      </c>
      <c r="AA704" s="33"/>
      <c r="AB704" s="50">
        <f t="shared" si="129"/>
        <v>691</v>
      </c>
      <c r="AC704" s="48">
        <f t="shared" si="124"/>
        <v>0.23027430789202241</v>
      </c>
      <c r="AE704" s="48">
        <f t="shared" si="130"/>
        <v>0.99789074473410033</v>
      </c>
      <c r="AF704" s="48">
        <f t="shared" si="134"/>
        <v>0.2302743078920225</v>
      </c>
      <c r="AH704" s="48">
        <f t="shared" si="135"/>
        <v>0</v>
      </c>
    </row>
    <row r="705" spans="4:34" ht="13.9" customHeight="1">
      <c r="D705" s="8"/>
      <c r="E705" s="9"/>
      <c r="F705" s="18"/>
      <c r="G705" s="18"/>
      <c r="H705" s="18"/>
      <c r="J705" s="40"/>
      <c r="K705" s="40"/>
      <c r="L705" s="40"/>
      <c r="M705" s="38"/>
      <c r="O705" s="12">
        <f t="shared" si="125"/>
        <v>57.666666666666664</v>
      </c>
      <c r="P705" s="13">
        <v>692</v>
      </c>
      <c r="Q705" s="21">
        <v>2.5829615248814441E-2</v>
      </c>
      <c r="R705" s="18">
        <f t="shared" si="126"/>
        <v>2.5674986110423959E-2</v>
      </c>
      <c r="S705" s="21">
        <v>3.5437738560226917E-2</v>
      </c>
      <c r="T705" s="18">
        <f t="shared" si="127"/>
        <v>4.2864503335458881E-2</v>
      </c>
      <c r="U705" s="23">
        <v>3.7533517809809291E-2</v>
      </c>
      <c r="V705" s="23">
        <f t="shared" si="128"/>
        <v>4.2866740543166415E-2</v>
      </c>
      <c r="W705" s="22">
        <f t="shared" si="131"/>
        <v>3.5037957417354271E-3</v>
      </c>
      <c r="X705" s="23">
        <v>3.7113508836519982E-2</v>
      </c>
      <c r="Y705" s="23">
        <f t="shared" si="132"/>
        <v>4.2866237696329579E-2</v>
      </c>
      <c r="Z705" s="22">
        <f t="shared" si="133"/>
        <v>3.5037535114825769E-3</v>
      </c>
      <c r="AA705" s="33"/>
      <c r="AB705" s="50">
        <f t="shared" si="129"/>
        <v>692</v>
      </c>
      <c r="AC705" s="48">
        <f t="shared" si="124"/>
        <v>0.22978847440425618</v>
      </c>
      <c r="AE705" s="48">
        <f t="shared" si="130"/>
        <v>0.99789019673009216</v>
      </c>
      <c r="AF705" s="48">
        <f t="shared" si="134"/>
        <v>0.22978847440425615</v>
      </c>
      <c r="AH705" s="48">
        <f t="shared" si="135"/>
        <v>0</v>
      </c>
    </row>
    <row r="706" spans="4:34" ht="13.9" customHeight="1">
      <c r="D706" s="8"/>
      <c r="E706" s="9"/>
      <c r="F706" s="18"/>
      <c r="G706" s="18"/>
      <c r="H706" s="18"/>
      <c r="J706" s="40"/>
      <c r="K706" s="40"/>
      <c r="L706" s="40"/>
      <c r="M706" s="38"/>
      <c r="O706" s="12">
        <f t="shared" si="125"/>
        <v>57.75</v>
      </c>
      <c r="P706" s="13">
        <v>693</v>
      </c>
      <c r="Q706" s="21">
        <v>2.5829392101950344E-2</v>
      </c>
      <c r="R706" s="18">
        <f t="shared" si="126"/>
        <v>2.5681631836011576E-2</v>
      </c>
      <c r="S706" s="21">
        <v>3.5448417196682458E-2</v>
      </c>
      <c r="T706" s="18">
        <f t="shared" si="127"/>
        <v>4.2865992007888432E-2</v>
      </c>
      <c r="U706" s="23">
        <v>3.7541193974382381E-2</v>
      </c>
      <c r="V706" s="23">
        <f t="shared" si="128"/>
        <v>4.2868124811944464E-2</v>
      </c>
      <c r="W706" s="22">
        <f t="shared" si="131"/>
        <v>3.5039079097438641E-3</v>
      </c>
      <c r="X706" s="23">
        <v>3.7121787127580408E-2</v>
      </c>
      <c r="Y706" s="23">
        <f t="shared" si="132"/>
        <v>4.2867645318856118E-2</v>
      </c>
      <c r="Z706" s="22">
        <f t="shared" si="133"/>
        <v>3.5038675874876635E-3</v>
      </c>
      <c r="AA706" s="33"/>
      <c r="AB706" s="50">
        <f t="shared" si="129"/>
        <v>693</v>
      </c>
      <c r="AC706" s="48">
        <f t="shared" si="124"/>
        <v>0.22930354106590339</v>
      </c>
      <c r="AE706" s="48">
        <f t="shared" si="130"/>
        <v>0.99788965334484159</v>
      </c>
      <c r="AF706" s="48">
        <f t="shared" si="134"/>
        <v>0.22930354106590317</v>
      </c>
      <c r="AH706" s="48">
        <f t="shared" si="135"/>
        <v>-2.2204460492503131E-16</v>
      </c>
    </row>
    <row r="707" spans="4:34" ht="13.9" customHeight="1">
      <c r="D707" s="8"/>
      <c r="E707" s="9"/>
      <c r="F707" s="18"/>
      <c r="G707" s="18"/>
      <c r="H707" s="18"/>
      <c r="J707" s="40"/>
      <c r="K707" s="40"/>
      <c r="L707" s="40"/>
      <c r="M707" s="38"/>
      <c r="O707" s="12">
        <f t="shared" si="125"/>
        <v>57.833333333333336</v>
      </c>
      <c r="P707" s="13">
        <v>694</v>
      </c>
      <c r="Q707" s="21">
        <v>2.5829179175591133E-2</v>
      </c>
      <c r="R707" s="18">
        <f t="shared" si="126"/>
        <v>2.5688221609149631E-2</v>
      </c>
      <c r="S707" s="21">
        <v>3.545906729845183E-2</v>
      </c>
      <c r="T707" s="18">
        <f t="shared" si="127"/>
        <v>4.286746430936561E-2</v>
      </c>
      <c r="U707" s="23">
        <v>3.7548850058441552E-2</v>
      </c>
      <c r="V707" s="23">
        <f t="shared" si="128"/>
        <v>4.2869494687657772E-2</v>
      </c>
      <c r="W707" s="22">
        <f t="shared" si="131"/>
        <v>3.5040189113249021E-3</v>
      </c>
      <c r="X707" s="23">
        <v>3.7130043644803434E-2</v>
      </c>
      <c r="Y707" s="23">
        <f t="shared" si="132"/>
        <v>4.2869038114459412E-2</v>
      </c>
      <c r="Z707" s="22">
        <f t="shared" si="133"/>
        <v>3.5039804618051118E-3</v>
      </c>
      <c r="AA707" s="33"/>
      <c r="AB707" s="50">
        <f t="shared" si="129"/>
        <v>694</v>
      </c>
      <c r="AC707" s="48">
        <f t="shared" si="124"/>
        <v>0.2288195075548845</v>
      </c>
      <c r="AE707" s="48">
        <f t="shared" si="130"/>
        <v>0.99788911453888307</v>
      </c>
      <c r="AF707" s="48">
        <f t="shared" si="134"/>
        <v>0.22881950755488453</v>
      </c>
      <c r="AH707" s="48">
        <f t="shared" si="135"/>
        <v>0</v>
      </c>
    </row>
    <row r="708" spans="4:34" ht="13.9" customHeight="1">
      <c r="D708" s="8"/>
      <c r="E708" s="9"/>
      <c r="F708" s="18"/>
      <c r="G708" s="18"/>
      <c r="H708" s="18"/>
      <c r="J708" s="40"/>
      <c r="K708" s="40"/>
      <c r="L708" s="40"/>
      <c r="M708" s="38"/>
      <c r="O708" s="12">
        <f t="shared" si="125"/>
        <v>57.916666666666664</v>
      </c>
      <c r="P708" s="13">
        <v>695</v>
      </c>
      <c r="Q708" s="21">
        <v>2.5828976345033228E-2</v>
      </c>
      <c r="R708" s="18">
        <f t="shared" si="126"/>
        <v>2.5694755908096445E-2</v>
      </c>
      <c r="S708" s="21">
        <v>3.5469688964909096E-2</v>
      </c>
      <c r="T708" s="18">
        <f t="shared" si="127"/>
        <v>4.2868920421367029E-2</v>
      </c>
      <c r="U708" s="23">
        <v>3.7556486127859001E-2</v>
      </c>
      <c r="V708" s="23">
        <f t="shared" si="128"/>
        <v>4.2870850320595677E-2</v>
      </c>
      <c r="W708" s="22">
        <f t="shared" si="131"/>
        <v>3.5041287586234926E-3</v>
      </c>
      <c r="X708" s="23">
        <v>3.7138278460722596E-2</v>
      </c>
      <c r="Y708" s="23">
        <f t="shared" si="132"/>
        <v>4.2870416240152753E-2</v>
      </c>
      <c r="Z708" s="22">
        <f t="shared" si="133"/>
        <v>3.504092147044835E-3</v>
      </c>
      <c r="AA708" s="33"/>
      <c r="AB708" s="50">
        <f t="shared" si="129"/>
        <v>695</v>
      </c>
      <c r="AC708" s="48">
        <f t="shared" si="124"/>
        <v>0.22833637353271832</v>
      </c>
      <c r="AE708" s="48">
        <f t="shared" si="130"/>
        <v>0.9978885802730354</v>
      </c>
      <c r="AF708" s="48">
        <f t="shared" si="134"/>
        <v>0.22833637353271882</v>
      </c>
      <c r="AH708" s="48">
        <f t="shared" si="135"/>
        <v>4.9960036108132044E-16</v>
      </c>
    </row>
    <row r="709" spans="4:34" ht="13.9" customHeight="1">
      <c r="D709" s="8"/>
      <c r="E709" s="9"/>
      <c r="F709" s="18"/>
      <c r="G709" s="18"/>
      <c r="H709" s="18"/>
      <c r="J709" s="40"/>
      <c r="K709" s="40"/>
      <c r="L709" s="40"/>
      <c r="M709" s="38"/>
      <c r="O709" s="12">
        <f t="shared" si="125"/>
        <v>58</v>
      </c>
      <c r="P709" s="13">
        <v>696</v>
      </c>
      <c r="Q709" s="21">
        <v>2.5828783486978812E-2</v>
      </c>
      <c r="R709" s="18">
        <f t="shared" si="126"/>
        <v>2.5701235205594086E-2</v>
      </c>
      <c r="S709" s="21">
        <v>3.5480282295117238E-2</v>
      </c>
      <c r="T709" s="18">
        <f t="shared" si="127"/>
        <v>4.2870360521209294E-2</v>
      </c>
      <c r="U709" s="23">
        <v>3.7564102248343945E-2</v>
      </c>
      <c r="V709" s="23">
        <f t="shared" si="128"/>
        <v>4.2872191858502218E-2</v>
      </c>
      <c r="W709" s="22">
        <f t="shared" si="131"/>
        <v>3.5042374636953255E-3</v>
      </c>
      <c r="X709" s="23">
        <v>3.714649164767958E-2</v>
      </c>
      <c r="Y709" s="23">
        <f t="shared" si="132"/>
        <v>4.2871779850412572E-2</v>
      </c>
      <c r="Z709" s="22">
        <f t="shared" si="133"/>
        <v>3.5042026558018691E-3</v>
      </c>
      <c r="AA709" s="33"/>
      <c r="AB709" s="50">
        <f t="shared" si="129"/>
        <v>696</v>
      </c>
      <c r="AC709" s="48">
        <f t="shared" si="124"/>
        <v>0.2278541386447292</v>
      </c>
      <c r="AE709" s="48">
        <f t="shared" si="130"/>
        <v>0.99788805050842944</v>
      </c>
      <c r="AF709" s="48">
        <f t="shared" si="134"/>
        <v>0.22785413864472934</v>
      </c>
      <c r="AH709" s="48">
        <f t="shared" si="135"/>
        <v>0</v>
      </c>
    </row>
    <row r="710" spans="4:34" ht="13.9" customHeight="1">
      <c r="D710" s="8"/>
      <c r="E710" s="9"/>
      <c r="F710" s="18"/>
      <c r="G710" s="18"/>
      <c r="H710" s="18"/>
      <c r="J710" s="40"/>
      <c r="K710" s="40"/>
      <c r="L710" s="40"/>
      <c r="M710" s="38"/>
      <c r="O710" s="12">
        <f t="shared" si="125"/>
        <v>58.083333333333336</v>
      </c>
      <c r="P710" s="13">
        <v>697</v>
      </c>
      <c r="Q710" s="21">
        <v>2.5828600479518071E-2</v>
      </c>
      <c r="R710" s="18">
        <f t="shared" si="126"/>
        <v>2.5707659971483166E-2</v>
      </c>
      <c r="S710" s="21">
        <v>3.5490847387825264E-2</v>
      </c>
      <c r="T710" s="18">
        <f t="shared" si="127"/>
        <v>4.2871784786192801E-2</v>
      </c>
      <c r="U710" s="23">
        <v>3.7571698485440175E-2</v>
      </c>
      <c r="V710" s="23">
        <f t="shared" si="128"/>
        <v>4.2873519448924258E-2</v>
      </c>
      <c r="W710" s="22">
        <f t="shared" si="131"/>
        <v>3.5043450383915875E-3</v>
      </c>
      <c r="X710" s="23">
        <v>3.7154683277822231E-2</v>
      </c>
      <c r="Y710" s="23">
        <f t="shared" si="132"/>
        <v>4.2873129098503826E-2</v>
      </c>
      <c r="Z710" s="22">
        <f t="shared" si="133"/>
        <v>3.5043120004678574E-3</v>
      </c>
      <c r="AA710" s="33"/>
      <c r="AB710" s="50">
        <f t="shared" si="129"/>
        <v>697</v>
      </c>
      <c r="AC710" s="48">
        <f t="shared" si="124"/>
        <v>0.22737280252028064</v>
      </c>
      <c r="AE710" s="48">
        <f t="shared" si="130"/>
        <v>0.99788752520664525</v>
      </c>
      <c r="AF710" s="48">
        <f t="shared" si="134"/>
        <v>0.22737280252028078</v>
      </c>
      <c r="AH710" s="48">
        <f t="shared" si="135"/>
        <v>0</v>
      </c>
    </row>
    <row r="711" spans="4:34" ht="13.9" customHeight="1">
      <c r="D711" s="8"/>
      <c r="E711" s="9"/>
      <c r="F711" s="18"/>
      <c r="G711" s="18"/>
      <c r="H711" s="18"/>
      <c r="J711" s="40"/>
      <c r="K711" s="40"/>
      <c r="L711" s="40"/>
      <c r="M711" s="38"/>
      <c r="O711" s="12">
        <f t="shared" si="125"/>
        <v>58.166666666666664</v>
      </c>
      <c r="P711" s="13">
        <v>698</v>
      </c>
      <c r="Q711" s="21">
        <v>2.5828427202114757E-2</v>
      </c>
      <c r="R711" s="18">
        <f t="shared" si="126"/>
        <v>2.571403067106437E-2</v>
      </c>
      <c r="S711" s="21">
        <v>3.5501384341469544E-2</v>
      </c>
      <c r="T711" s="18">
        <f t="shared" si="127"/>
        <v>4.2873193390105202E-2</v>
      </c>
      <c r="U711" s="23">
        <v>3.7579274904526505E-2</v>
      </c>
      <c r="V711" s="23">
        <f t="shared" si="128"/>
        <v>4.2874833236787868E-2</v>
      </c>
      <c r="W711" s="22">
        <f t="shared" si="131"/>
        <v>3.5044514945477001E-3</v>
      </c>
      <c r="X711" s="23">
        <v>3.7162853423104103E-2</v>
      </c>
      <c r="Y711" s="23">
        <f t="shared" si="132"/>
        <v>4.2874464136228418E-2</v>
      </c>
      <c r="Z711" s="22">
        <f t="shared" si="133"/>
        <v>3.5044201933365215E-3</v>
      </c>
      <c r="AA711" s="33"/>
      <c r="AB711" s="50">
        <f t="shared" si="129"/>
        <v>698</v>
      </c>
      <c r="AC711" s="48">
        <f t="shared" si="124"/>
        <v>0.22689236477296515</v>
      </c>
      <c r="AE711" s="48">
        <f t="shared" si="130"/>
        <v>0.99788700432949951</v>
      </c>
      <c r="AF711" s="48">
        <f t="shared" si="134"/>
        <v>0.22689236477296587</v>
      </c>
      <c r="AH711" s="48">
        <f t="shared" si="135"/>
        <v>7.2164496600635175E-16</v>
      </c>
    </row>
    <row r="712" spans="4:34" ht="13.9" customHeight="1">
      <c r="D712" s="8"/>
      <c r="E712" s="9"/>
      <c r="F712" s="18"/>
      <c r="G712" s="18"/>
      <c r="H712" s="18"/>
      <c r="J712" s="40"/>
      <c r="K712" s="40"/>
      <c r="L712" s="40"/>
      <c r="M712" s="38"/>
      <c r="O712" s="12">
        <f t="shared" si="125"/>
        <v>58.25</v>
      </c>
      <c r="P712" s="13">
        <v>699</v>
      </c>
      <c r="Q712" s="21">
        <v>2.5828263535589757E-2</v>
      </c>
      <c r="R712" s="18">
        <f t="shared" si="126"/>
        <v>2.5720347765242568E-2</v>
      </c>
      <c r="S712" s="21">
        <v>3.5511893254171811E-2</v>
      </c>
      <c r="T712" s="18">
        <f t="shared" si="127"/>
        <v>4.2874586505435408E-2</v>
      </c>
      <c r="U712" s="23">
        <v>3.7586831570814772E-2</v>
      </c>
      <c r="V712" s="23">
        <f t="shared" si="128"/>
        <v>4.2876133365735258E-2</v>
      </c>
      <c r="W712" s="22">
        <f t="shared" si="131"/>
        <v>3.5045568437890307E-3</v>
      </c>
      <c r="X712" s="23">
        <v>3.7171002155283572E-2</v>
      </c>
      <c r="Y712" s="23">
        <f t="shared" si="132"/>
        <v>4.2875785112925557E-2</v>
      </c>
      <c r="Z712" s="22">
        <f t="shared" si="133"/>
        <v>3.5045272465847876E-3</v>
      </c>
      <c r="AA712" s="33"/>
      <c r="AB712" s="50">
        <f t="shared" si="129"/>
        <v>699</v>
      </c>
      <c r="AC712" s="48">
        <f t="shared" si="124"/>
        <v>0.22641282500082088</v>
      </c>
      <c r="AE712" s="48">
        <f t="shared" si="130"/>
        <v>0.99788648783917921</v>
      </c>
      <c r="AF712" s="48">
        <f t="shared" si="134"/>
        <v>0.22641282500082083</v>
      </c>
      <c r="AH712" s="48">
        <f t="shared" si="135"/>
        <v>0</v>
      </c>
    </row>
    <row r="713" spans="4:34" ht="13.9" customHeight="1">
      <c r="D713" s="8"/>
      <c r="E713" s="9"/>
      <c r="F713" s="18"/>
      <c r="G713" s="18"/>
      <c r="H713" s="18"/>
      <c r="J713" s="40"/>
      <c r="K713" s="40"/>
      <c r="L713" s="40"/>
      <c r="M713" s="38"/>
      <c r="O713" s="12">
        <f t="shared" si="125"/>
        <v>58.333333333333336</v>
      </c>
      <c r="P713" s="13">
        <v>700</v>
      </c>
      <c r="Q713" s="21">
        <v>2.5828109362105556E-2</v>
      </c>
      <c r="R713" s="18">
        <f t="shared" si="126"/>
        <v>2.5726611711567982E-2</v>
      </c>
      <c r="S713" s="21">
        <v>3.5522374223739162E-2</v>
      </c>
      <c r="T713" s="18">
        <f t="shared" si="127"/>
        <v>4.2875964303349168E-2</v>
      </c>
      <c r="U713" s="23">
        <v>3.7594368549348944E-2</v>
      </c>
      <c r="V713" s="23">
        <f t="shared" si="128"/>
        <v>4.2877419978209597E-2</v>
      </c>
      <c r="W713" s="22">
        <f t="shared" si="131"/>
        <v>3.5046610976374737E-3</v>
      </c>
      <c r="X713" s="23">
        <v>3.7179129545922063E-2</v>
      </c>
      <c r="Y713" s="23">
        <f t="shared" si="132"/>
        <v>4.2877092177486587E-2</v>
      </c>
      <c r="Z713" s="22">
        <f t="shared" si="133"/>
        <v>3.5046331721917401E-3</v>
      </c>
      <c r="AA713" s="33"/>
      <c r="AB713" s="50">
        <f t="shared" si="129"/>
        <v>700</v>
      </c>
      <c r="AC713" s="48">
        <f t="shared" si="124"/>
        <v>0.22593418278653676</v>
      </c>
      <c r="AE713" s="48">
        <f t="shared" si="130"/>
        <v>0.99788597569822945</v>
      </c>
      <c r="AF713" s="48">
        <f t="shared" si="134"/>
        <v>0.22593418278653657</v>
      </c>
      <c r="AH713" s="48">
        <f t="shared" si="135"/>
        <v>0</v>
      </c>
    </row>
    <row r="714" spans="4:34" ht="13.9" customHeight="1">
      <c r="D714" s="8"/>
      <c r="E714" s="9"/>
      <c r="F714" s="18"/>
      <c r="G714" s="18"/>
      <c r="H714" s="18"/>
      <c r="J714" s="40"/>
      <c r="K714" s="40"/>
      <c r="L714" s="40"/>
      <c r="M714" s="38"/>
      <c r="O714" s="12">
        <f t="shared" si="125"/>
        <v>58.416666666666664</v>
      </c>
      <c r="P714" s="13">
        <v>701</v>
      </c>
      <c r="Q714" s="21">
        <v>2.5827964565151351E-2</v>
      </c>
      <c r="R714" s="18">
        <f t="shared" si="126"/>
        <v>2.5732822962589275E-2</v>
      </c>
      <c r="S714" s="21">
        <v>3.5532827347664275E-2</v>
      </c>
      <c r="T714" s="18">
        <f t="shared" si="127"/>
        <v>4.2877326951974659E-2</v>
      </c>
      <c r="U714" s="23">
        <v>3.7601885905004462E-2</v>
      </c>
      <c r="V714" s="23">
        <f t="shared" si="128"/>
        <v>4.2878693214810415E-2</v>
      </c>
      <c r="W714" s="22">
        <f t="shared" si="131"/>
        <v>3.5047642675190005E-3</v>
      </c>
      <c r="X714" s="23">
        <v>3.718723566638471E-2</v>
      </c>
      <c r="Y714" s="23">
        <f t="shared" si="132"/>
        <v>4.2878385476263103E-2</v>
      </c>
      <c r="Z714" s="22">
        <f t="shared" si="133"/>
        <v>3.50473798210027E-3</v>
      </c>
      <c r="AA714" s="33"/>
      <c r="AB714" s="50">
        <f t="shared" si="129"/>
        <v>701</v>
      </c>
      <c r="AC714" s="48">
        <f t="shared" si="124"/>
        <v>0.22545643769764931</v>
      </c>
      <c r="AE714" s="48">
        <f t="shared" si="130"/>
        <v>0.99788546786946908</v>
      </c>
      <c r="AF714" s="48">
        <f t="shared" si="134"/>
        <v>0.2254564376976492</v>
      </c>
      <c r="AH714" s="48">
        <f t="shared" si="135"/>
        <v>0</v>
      </c>
    </row>
    <row r="715" spans="4:34" ht="13.9" customHeight="1">
      <c r="D715" s="8"/>
      <c r="E715" s="9"/>
      <c r="F715" s="18"/>
      <c r="G715" s="18"/>
      <c r="H715" s="18"/>
      <c r="J715" s="40"/>
      <c r="K715" s="40"/>
      <c r="L715" s="40"/>
      <c r="M715" s="38"/>
      <c r="O715" s="12">
        <f t="shared" si="125"/>
        <v>58.5</v>
      </c>
      <c r="P715" s="13">
        <v>702</v>
      </c>
      <c r="Q715" s="21">
        <v>2.5827829029526628E-2</v>
      </c>
      <c r="R715" s="18">
        <f t="shared" si="126"/>
        <v>2.5738981968167929E-2</v>
      </c>
      <c r="S715" s="21">
        <v>3.5543252723123864E-2</v>
      </c>
      <c r="T715" s="18">
        <f t="shared" si="127"/>
        <v>4.2878674618203716E-2</v>
      </c>
      <c r="U715" s="23">
        <v>3.7609383702487342E-2</v>
      </c>
      <c r="V715" s="23">
        <f t="shared" si="128"/>
        <v>4.2879953214909783E-2</v>
      </c>
      <c r="W715" s="22">
        <f t="shared" si="131"/>
        <v>3.5048663647114786E-3</v>
      </c>
      <c r="X715" s="23">
        <v>3.7195320587837921E-2</v>
      </c>
      <c r="Y715" s="23">
        <f t="shared" si="132"/>
        <v>4.287966515519348E-2</v>
      </c>
      <c r="Z715" s="22">
        <f t="shared" si="133"/>
        <v>3.5048416880500977E-3</v>
      </c>
      <c r="AA715" s="33"/>
      <c r="AB715" s="50">
        <f t="shared" si="129"/>
        <v>702</v>
      </c>
      <c r="AC715" s="48">
        <f t="shared" si="124"/>
        <v>0.22497958928675904</v>
      </c>
      <c r="AE715" s="48">
        <f t="shared" si="130"/>
        <v>0.99788496431612361</v>
      </c>
      <c r="AF715" s="48">
        <f t="shared" si="134"/>
        <v>0.22497958928675901</v>
      </c>
      <c r="AH715" s="48">
        <f t="shared" si="135"/>
        <v>0</v>
      </c>
    </row>
    <row r="716" spans="4:34" ht="13.9" customHeight="1">
      <c r="D716" s="8"/>
      <c r="E716" s="9"/>
      <c r="F716" s="18"/>
      <c r="G716" s="18"/>
      <c r="H716" s="18"/>
      <c r="J716" s="40"/>
      <c r="K716" s="40"/>
      <c r="L716" s="40"/>
      <c r="M716" s="38"/>
      <c r="O716" s="12">
        <f t="shared" si="125"/>
        <v>58.583333333333336</v>
      </c>
      <c r="P716" s="13">
        <v>703</v>
      </c>
      <c r="Q716" s="21">
        <v>2.5827702641328054E-2</v>
      </c>
      <c r="R716" s="18">
        <f t="shared" si="126"/>
        <v>2.5745089173276892E-2</v>
      </c>
      <c r="S716" s="21">
        <v>3.5553650446978891E-2</v>
      </c>
      <c r="T716" s="18">
        <f t="shared" si="127"/>
        <v>4.2880007467727577E-2</v>
      </c>
      <c r="U716" s="23">
        <v>3.7616862006332852E-2</v>
      </c>
      <c r="V716" s="23">
        <f t="shared" si="128"/>
        <v>4.2881200116563489E-2</v>
      </c>
      <c r="W716" s="22">
        <f t="shared" si="131"/>
        <v>3.5049674003944098E-3</v>
      </c>
      <c r="X716" s="23">
        <v>3.7203384381250482E-2</v>
      </c>
      <c r="Y716" s="23">
        <f t="shared" si="132"/>
        <v>4.2880931356885643E-2</v>
      </c>
      <c r="Z716" s="22">
        <f t="shared" si="133"/>
        <v>3.5049443017471926E-3</v>
      </c>
      <c r="AA716" s="33"/>
      <c r="AB716" s="50">
        <f t="shared" si="129"/>
        <v>703</v>
      </c>
      <c r="AC716" s="48">
        <f t="shared" si="124"/>
        <v>0.22450363709170529</v>
      </c>
      <c r="AE716" s="48">
        <f t="shared" si="130"/>
        <v>0.99788446500163897</v>
      </c>
      <c r="AF716" s="48">
        <f t="shared" si="134"/>
        <v>0.22450363709170598</v>
      </c>
      <c r="AH716" s="48">
        <f t="shared" si="135"/>
        <v>6.9388939039072284E-16</v>
      </c>
    </row>
    <row r="717" spans="4:34" ht="13.9" customHeight="1">
      <c r="D717" s="8"/>
      <c r="E717" s="9"/>
      <c r="F717" s="18"/>
      <c r="G717" s="18"/>
      <c r="H717" s="18"/>
      <c r="J717" s="40"/>
      <c r="K717" s="40"/>
      <c r="L717" s="40"/>
      <c r="M717" s="38"/>
      <c r="O717" s="12">
        <f t="shared" si="125"/>
        <v>58.666666666666664</v>
      </c>
      <c r="P717" s="13">
        <v>704</v>
      </c>
      <c r="Q717" s="21">
        <v>2.5827585287933053E-2</v>
      </c>
      <c r="R717" s="18">
        <f t="shared" si="126"/>
        <v>2.575114501906195E-2</v>
      </c>
      <c r="S717" s="21">
        <v>3.5564020615774794E-2</v>
      </c>
      <c r="T717" s="18">
        <f t="shared" si="127"/>
        <v>4.2881325662585956E-2</v>
      </c>
      <c r="U717" s="23">
        <v>3.7624320880905726E-2</v>
      </c>
      <c r="V717" s="23">
        <f t="shared" si="128"/>
        <v>4.2882434056058294E-2</v>
      </c>
      <c r="W717" s="22">
        <f t="shared" si="131"/>
        <v>3.5050673856413805E-3</v>
      </c>
      <c r="X717" s="23">
        <v>3.7211427117390228E-2</v>
      </c>
      <c r="Y717" s="23">
        <f t="shared" si="132"/>
        <v>4.2882184224523723E-2</v>
      </c>
      <c r="Z717" s="22">
        <f t="shared" si="133"/>
        <v>3.5050458346304048E-3</v>
      </c>
      <c r="AA717" s="33"/>
      <c r="AB717" s="50">
        <f t="shared" si="129"/>
        <v>704</v>
      </c>
      <c r="AC717" s="48">
        <f t="shared" ref="AC717:AC780" si="136">1/(1+Q717)^(P717/12)</f>
        <v>0.22402858063578293</v>
      </c>
      <c r="AE717" s="48">
        <f t="shared" si="130"/>
        <v>0.99788396988985806</v>
      </c>
      <c r="AF717" s="48">
        <f t="shared" si="134"/>
        <v>0.22402858063578354</v>
      </c>
      <c r="AH717" s="48">
        <f t="shared" si="135"/>
        <v>6.106226635438361E-16</v>
      </c>
    </row>
    <row r="718" spans="4:34" ht="13.9" customHeight="1">
      <c r="D718" s="8"/>
      <c r="E718" s="9"/>
      <c r="F718" s="18"/>
      <c r="G718" s="18"/>
      <c r="H718" s="18"/>
      <c r="J718" s="40"/>
      <c r="K718" s="40"/>
      <c r="L718" s="40"/>
      <c r="M718" s="38"/>
      <c r="O718" s="12">
        <f t="shared" ref="O718:O781" si="137">P718/12</f>
        <v>58.75</v>
      </c>
      <c r="P718" s="13">
        <v>705</v>
      </c>
      <c r="Q718" s="21">
        <v>2.5827476857985587E-2</v>
      </c>
      <c r="R718" s="18">
        <f t="shared" ref="R718:R781" si="138">(1+Q719)^P719/(1+Q718)^P718-1</f>
        <v>2.5757149943720137E-2</v>
      </c>
      <c r="S718" s="21">
        <v>3.5574363325739489E-2</v>
      </c>
      <c r="T718" s="18">
        <f t="shared" ref="T718:T781" si="139">(1+S719)^P719/(1+S718)^P718-1</f>
        <v>4.2882629365034175E-2</v>
      </c>
      <c r="U718" s="23">
        <v>3.7631760390398172E-2</v>
      </c>
      <c r="V718" s="23">
        <f t="shared" ref="V718:V781" si="140">(1+U719)^P719/(1+U718)^P718-1</f>
        <v>4.2883655168021395E-2</v>
      </c>
      <c r="W718" s="22">
        <f t="shared" si="131"/>
        <v>3.5051663313845349E-3</v>
      </c>
      <c r="X718" s="23">
        <v>3.7219448866826266E-2</v>
      </c>
      <c r="Y718" s="23">
        <f t="shared" si="132"/>
        <v>4.2883423898153694E-2</v>
      </c>
      <c r="Z718" s="22">
        <f t="shared" si="133"/>
        <v>3.5051462981849912E-3</v>
      </c>
      <c r="AA718" s="33"/>
      <c r="AB718" s="50">
        <f t="shared" ref="AB718:AB781" si="141">+P718</f>
        <v>705</v>
      </c>
      <c r="AC718" s="48">
        <f t="shared" si="136"/>
        <v>0.22355441942793108</v>
      </c>
      <c r="AE718" s="48">
        <f t="shared" ref="AE718:AE781" si="142">1/(1+R717)^(1/12)</f>
        <v>0.99788347894493634</v>
      </c>
      <c r="AF718" s="48">
        <f t="shared" si="134"/>
        <v>0.22355441942793189</v>
      </c>
      <c r="AH718" s="48">
        <f t="shared" si="135"/>
        <v>8.0491169285323849E-16</v>
      </c>
    </row>
    <row r="719" spans="4:34" ht="13.9" customHeight="1">
      <c r="D719" s="8"/>
      <c r="E719" s="9"/>
      <c r="F719" s="18"/>
      <c r="G719" s="18"/>
      <c r="H719" s="18"/>
      <c r="J719" s="40"/>
      <c r="K719" s="40"/>
      <c r="L719" s="40"/>
      <c r="M719" s="38"/>
      <c r="O719" s="12">
        <f t="shared" si="137"/>
        <v>58.833333333333336</v>
      </c>
      <c r="P719" s="13">
        <v>706</v>
      </c>
      <c r="Q719" s="21">
        <v>2.5827377241382621E-2</v>
      </c>
      <c r="R719" s="18">
        <f t="shared" si="138"/>
        <v>2.5763104379725066E-2</v>
      </c>
      <c r="S719" s="21">
        <v>3.558467867278492E-2</v>
      </c>
      <c r="T719" s="18">
        <f t="shared" si="139"/>
        <v>4.2883918734268889E-2</v>
      </c>
      <c r="U719" s="23">
        <v>3.7639180598829425E-2</v>
      </c>
      <c r="V719" s="23">
        <f t="shared" si="140"/>
        <v>4.2884863586270194E-2</v>
      </c>
      <c r="W719" s="22">
        <f t="shared" ref="W719:W782" si="143">(1+V718)^(1/12)-1</f>
        <v>3.5052642484225682E-3</v>
      </c>
      <c r="X719" s="23">
        <v>3.7227449699925863E-2</v>
      </c>
      <c r="Y719" s="23">
        <f t="shared" ref="Y719:Y782" si="144">(1+X720)^P720/(1+X719)^P719-1</f>
        <v>4.2884650517059919E-2</v>
      </c>
      <c r="Z719" s="22">
        <f t="shared" ref="Z719:Z782" si="145">(1+Y718)^(1/12)-1</f>
        <v>3.5052457036441886E-3</v>
      </c>
      <c r="AA719" s="33"/>
      <c r="AB719" s="50">
        <f t="shared" si="141"/>
        <v>706</v>
      </c>
      <c r="AC719" s="48">
        <f t="shared" si="136"/>
        <v>0.22308115296291389</v>
      </c>
      <c r="AE719" s="48">
        <f t="shared" si="142"/>
        <v>0.99788299213127019</v>
      </c>
      <c r="AF719" s="48">
        <f t="shared" ref="AF719:AF782" si="146">+AF718*AE719</f>
        <v>0.22308115296291364</v>
      </c>
      <c r="AH719" s="48">
        <f t="shared" ref="AH719:AH782" si="147">+AF719-AC719</f>
        <v>-2.4980018054066022E-16</v>
      </c>
    </row>
    <row r="720" spans="4:34" ht="13.9" customHeight="1">
      <c r="D720" s="8"/>
      <c r="E720" s="9"/>
      <c r="F720" s="18"/>
      <c r="G720" s="18"/>
      <c r="H720" s="18"/>
      <c r="J720" s="40"/>
      <c r="K720" s="40"/>
      <c r="L720" s="40"/>
      <c r="M720" s="38"/>
      <c r="O720" s="12">
        <f t="shared" si="137"/>
        <v>58.916666666666664</v>
      </c>
      <c r="P720" s="13">
        <v>707</v>
      </c>
      <c r="Q720" s="21">
        <v>2.5827286329257682E-2</v>
      </c>
      <c r="R720" s="18">
        <f t="shared" si="138"/>
        <v>2.5769008758718126E-2</v>
      </c>
      <c r="S720" s="21">
        <v>3.5594966752505286E-2</v>
      </c>
      <c r="T720" s="18">
        <f t="shared" si="139"/>
        <v>4.2885193928415166E-2</v>
      </c>
      <c r="U720" s="23">
        <v>3.7646581570045079E-2</v>
      </c>
      <c r="V720" s="23">
        <f t="shared" si="140"/>
        <v>4.2886059443098645E-2</v>
      </c>
      <c r="W720" s="22">
        <f t="shared" si="143"/>
        <v>3.5053611474888946E-3</v>
      </c>
      <c r="X720" s="23">
        <v>3.7235429686854893E-2</v>
      </c>
      <c r="Y720" s="23">
        <f t="shared" si="144"/>
        <v>4.2885864219181835E-2</v>
      </c>
      <c r="Z720" s="22">
        <f t="shared" si="145"/>
        <v>3.5053440621803933E-3</v>
      </c>
      <c r="AA720" s="33"/>
      <c r="AB720" s="50">
        <f t="shared" si="141"/>
        <v>707</v>
      </c>
      <c r="AC720" s="48">
        <f t="shared" si="136"/>
        <v>0.2226087807215375</v>
      </c>
      <c r="AE720" s="48">
        <f t="shared" si="142"/>
        <v>0.9978825094137207</v>
      </c>
      <c r="AF720" s="48">
        <f t="shared" si="146"/>
        <v>0.22260878072153834</v>
      </c>
      <c r="AH720" s="48">
        <f t="shared" si="147"/>
        <v>8.3266726846886741E-16</v>
      </c>
    </row>
    <row r="721" spans="4:34" ht="13.9" customHeight="1">
      <c r="D721" s="8"/>
      <c r="E721" s="9"/>
      <c r="F721" s="18"/>
      <c r="G721" s="18"/>
      <c r="H721" s="18"/>
      <c r="J721" s="40"/>
      <c r="K721" s="40"/>
      <c r="L721" s="40"/>
      <c r="M721" s="38"/>
      <c r="O721" s="12">
        <f t="shared" si="137"/>
        <v>59</v>
      </c>
      <c r="P721" s="13">
        <v>708</v>
      </c>
      <c r="Q721" s="21">
        <v>2.5827204013969984E-2</v>
      </c>
      <c r="R721" s="18">
        <f t="shared" si="138"/>
        <v>2.5774863505134249E-2</v>
      </c>
      <c r="S721" s="21">
        <v>3.5605227660178373E-2</v>
      </c>
      <c r="T721" s="18">
        <f t="shared" si="139"/>
        <v>4.2886455103103183E-2</v>
      </c>
      <c r="U721" s="23">
        <v>3.7653963367716869E-2</v>
      </c>
      <c r="V721" s="23">
        <f t="shared" si="140"/>
        <v>4.28872428693301E-2</v>
      </c>
      <c r="W721" s="22">
        <f t="shared" si="143"/>
        <v>3.5054570391950257E-3</v>
      </c>
      <c r="X721" s="23">
        <v>3.7243388897577168E-2</v>
      </c>
      <c r="Y721" s="23">
        <f t="shared" si="144"/>
        <v>4.2887065140483793E-2</v>
      </c>
      <c r="Z721" s="22">
        <f t="shared" si="145"/>
        <v>3.5054413848576438E-3</v>
      </c>
      <c r="AA721" s="33"/>
      <c r="AB721" s="50">
        <f t="shared" si="141"/>
        <v>708</v>
      </c>
      <c r="AC721" s="48">
        <f t="shared" si="136"/>
        <v>0.22213730217079683</v>
      </c>
      <c r="AE721" s="48">
        <f t="shared" si="142"/>
        <v>0.99788203075721837</v>
      </c>
      <c r="AF721" s="48">
        <f t="shared" si="146"/>
        <v>0.222137302170797</v>
      </c>
      <c r="AH721" s="48">
        <f t="shared" si="147"/>
        <v>0</v>
      </c>
    </row>
    <row r="722" spans="4:34" ht="13.9" customHeight="1">
      <c r="D722" s="8"/>
      <c r="E722" s="9"/>
      <c r="F722" s="18"/>
      <c r="G722" s="18"/>
      <c r="H722" s="18"/>
      <c r="J722" s="40"/>
      <c r="K722" s="40"/>
      <c r="L722" s="40"/>
      <c r="M722" s="38"/>
      <c r="O722" s="12">
        <f t="shared" si="137"/>
        <v>59.083333333333336</v>
      </c>
      <c r="P722" s="13">
        <v>709</v>
      </c>
      <c r="Q722" s="21">
        <v>2.5827130189086667E-2</v>
      </c>
      <c r="R722" s="18">
        <f t="shared" si="138"/>
        <v>2.5780669042432036E-2</v>
      </c>
      <c r="S722" s="21">
        <v>3.5615461490763556E-2</v>
      </c>
      <c r="T722" s="18">
        <f t="shared" si="139"/>
        <v>4.2887702412985673E-2</v>
      </c>
      <c r="U722" s="23">
        <v>3.7661326055341116E-2</v>
      </c>
      <c r="V722" s="23">
        <f t="shared" si="140"/>
        <v>4.288841399410015E-2</v>
      </c>
      <c r="W722" s="22">
        <f t="shared" si="143"/>
        <v>3.5055519340345676E-3</v>
      </c>
      <c r="X722" s="23">
        <v>3.7251327401853551E-2</v>
      </c>
      <c r="Y722" s="23">
        <f t="shared" si="144"/>
        <v>4.288825341578395E-2</v>
      </c>
      <c r="Z722" s="22">
        <f t="shared" si="145"/>
        <v>3.5055376825818829E-3</v>
      </c>
      <c r="AA722" s="33"/>
      <c r="AB722" s="50">
        <f t="shared" si="141"/>
        <v>709</v>
      </c>
      <c r="AC722" s="48">
        <f t="shared" si="136"/>
        <v>0.22166671676411054</v>
      </c>
      <c r="AE722" s="48">
        <f t="shared" si="142"/>
        <v>0.99788155612727969</v>
      </c>
      <c r="AF722" s="48">
        <f t="shared" si="146"/>
        <v>0.22166671676411065</v>
      </c>
      <c r="AH722" s="48">
        <f t="shared" si="147"/>
        <v>0</v>
      </c>
    </row>
    <row r="723" spans="4:34" ht="13.9" customHeight="1">
      <c r="D723" s="8"/>
      <c r="E723" s="9"/>
      <c r="F723" s="18"/>
      <c r="G723" s="18"/>
      <c r="H723" s="18"/>
      <c r="J723" s="40"/>
      <c r="K723" s="40"/>
      <c r="L723" s="40"/>
      <c r="M723" s="38"/>
      <c r="O723" s="12">
        <f t="shared" si="137"/>
        <v>59.166666666666664</v>
      </c>
      <c r="P723" s="13">
        <v>710</v>
      </c>
      <c r="Q723" s="21">
        <v>2.5827064749372131E-2</v>
      </c>
      <c r="R723" s="18">
        <f t="shared" si="138"/>
        <v>2.578642578941337E-2</v>
      </c>
      <c r="S723" s="21">
        <v>3.5625668338902905E-2</v>
      </c>
      <c r="T723" s="18">
        <f t="shared" si="139"/>
        <v>4.2888936010998968E-2</v>
      </c>
      <c r="U723" s="23">
        <v>3.7668669696238499E-2</v>
      </c>
      <c r="V723" s="23">
        <f t="shared" si="140"/>
        <v>4.2889572945598919E-2</v>
      </c>
      <c r="W723" s="22">
        <f t="shared" si="143"/>
        <v>3.5056458423654568E-3</v>
      </c>
      <c r="X723" s="23">
        <v>3.7259245269241292E-2</v>
      </c>
      <c r="Y723" s="23">
        <f t="shared" si="144"/>
        <v>4.2889429178717187E-2</v>
      </c>
      <c r="Z723" s="22">
        <f t="shared" si="145"/>
        <v>3.5056329661671271E-3</v>
      </c>
      <c r="AA723" s="33"/>
      <c r="AB723" s="50">
        <f t="shared" si="141"/>
        <v>710</v>
      </c>
      <c r="AC723" s="48">
        <f t="shared" si="136"/>
        <v>0.22119702394146395</v>
      </c>
      <c r="AE723" s="48">
        <f t="shared" si="142"/>
        <v>0.9978810854895015</v>
      </c>
      <c r="AF723" s="48">
        <f t="shared" si="146"/>
        <v>0.22119702394146462</v>
      </c>
      <c r="AH723" s="48">
        <f t="shared" si="147"/>
        <v>6.6613381477509392E-16</v>
      </c>
    </row>
    <row r="724" spans="4:34" ht="13.9" customHeight="1">
      <c r="D724" s="8"/>
      <c r="E724" s="9"/>
      <c r="F724" s="18"/>
      <c r="G724" s="18"/>
      <c r="H724" s="18"/>
      <c r="J724" s="40"/>
      <c r="K724" s="40"/>
      <c r="L724" s="40"/>
      <c r="M724" s="38"/>
      <c r="O724" s="12">
        <f t="shared" si="137"/>
        <v>59.25</v>
      </c>
      <c r="P724" s="13">
        <v>711</v>
      </c>
      <c r="Q724" s="21">
        <v>2.5827007590773166E-2</v>
      </c>
      <c r="R724" s="18">
        <f t="shared" si="138"/>
        <v>2.5792134160526725E-2</v>
      </c>
      <c r="S724" s="21">
        <v>3.5635848298921191E-2</v>
      </c>
      <c r="T724" s="18">
        <f t="shared" si="139"/>
        <v>4.289015604743418E-2</v>
      </c>
      <c r="U724" s="23">
        <v>3.7675994353553177E-2</v>
      </c>
      <c r="V724" s="23">
        <f t="shared" si="140"/>
        <v>4.2890719850565695E-2</v>
      </c>
      <c r="W724" s="22">
        <f t="shared" si="143"/>
        <v>3.5057387744699131E-3</v>
      </c>
      <c r="X724" s="23">
        <v>3.7267142569094025E-2</v>
      </c>
      <c r="Y724" s="23">
        <f t="shared" si="144"/>
        <v>4.289059256090777E-2</v>
      </c>
      <c r="Z724" s="22">
        <f t="shared" si="145"/>
        <v>3.5057272463319133E-3</v>
      </c>
      <c r="AA724" s="33"/>
      <c r="AB724" s="50">
        <f t="shared" si="141"/>
        <v>711</v>
      </c>
      <c r="AC724" s="48">
        <f t="shared" si="136"/>
        <v>0.2207282231296081</v>
      </c>
      <c r="AE724" s="48">
        <f t="shared" si="142"/>
        <v>0.99788061880985934</v>
      </c>
      <c r="AF724" s="48">
        <f t="shared" si="146"/>
        <v>0.22072822312960799</v>
      </c>
      <c r="AH724" s="48">
        <f t="shared" si="147"/>
        <v>0</v>
      </c>
    </row>
    <row r="725" spans="4:34" ht="13.9" customHeight="1">
      <c r="D725" s="8"/>
      <c r="E725" s="9"/>
      <c r="F725" s="18"/>
      <c r="G725" s="18"/>
      <c r="H725" s="18"/>
      <c r="J725" s="40"/>
      <c r="K725" s="40"/>
      <c r="L725" s="40"/>
      <c r="M725" s="38"/>
      <c r="O725" s="12">
        <f t="shared" si="137"/>
        <v>59.333333333333336</v>
      </c>
      <c r="P725" s="13">
        <v>712</v>
      </c>
      <c r="Q725" s="21">
        <v>2.582695861040496E-2</v>
      </c>
      <c r="R725" s="18">
        <f t="shared" si="138"/>
        <v>2.5797794567882892E-2</v>
      </c>
      <c r="S725" s="21">
        <v>3.5646001464824328E-2</v>
      </c>
      <c r="T725" s="18">
        <f t="shared" si="139"/>
        <v>4.2891362672004441E-2</v>
      </c>
      <c r="U725" s="23">
        <v>3.7683300090252336E-2</v>
      </c>
      <c r="V725" s="23">
        <f t="shared" si="140"/>
        <v>4.2891854834677057E-2</v>
      </c>
      <c r="W725" s="22">
        <f t="shared" si="143"/>
        <v>3.5058307405135825E-3</v>
      </c>
      <c r="X725" s="23">
        <v>3.7275019370560658E-2</v>
      </c>
      <c r="Y725" s="23">
        <f t="shared" si="144"/>
        <v>4.2891743693096895E-2</v>
      </c>
      <c r="Z725" s="22">
        <f t="shared" si="145"/>
        <v>3.5058205336340187E-3</v>
      </c>
      <c r="AA725" s="33"/>
      <c r="AB725" s="50">
        <f t="shared" si="141"/>
        <v>712</v>
      </c>
      <c r="AC725" s="48">
        <f t="shared" si="136"/>
        <v>0.22026031374224583</v>
      </c>
      <c r="AE725" s="48">
        <f t="shared" si="142"/>
        <v>0.99788015605468405</v>
      </c>
      <c r="AF725" s="48">
        <f t="shared" si="146"/>
        <v>0.22026031374224633</v>
      </c>
      <c r="AH725" s="48">
        <f t="shared" si="147"/>
        <v>4.9960036108132044E-16</v>
      </c>
    </row>
    <row r="726" spans="4:34" ht="13.9" customHeight="1">
      <c r="D726" s="8"/>
      <c r="E726" s="9"/>
      <c r="F726" s="18"/>
      <c r="G726" s="18"/>
      <c r="H726" s="18"/>
      <c r="J726" s="40"/>
      <c r="K726" s="40"/>
      <c r="L726" s="40"/>
      <c r="M726" s="38"/>
      <c r="O726" s="12">
        <f t="shared" si="137"/>
        <v>59.416666666666664</v>
      </c>
      <c r="P726" s="13">
        <v>713</v>
      </c>
      <c r="Q726" s="21">
        <v>2.5826917706538888E-2</v>
      </c>
      <c r="R726" s="18">
        <f t="shared" si="138"/>
        <v>2.5803407418841573E-2</v>
      </c>
      <c r="S726" s="21">
        <v>3.5656127930300707E-2</v>
      </c>
      <c r="T726" s="18">
        <f t="shared" si="139"/>
        <v>4.2892556032320561E-2</v>
      </c>
      <c r="U726" s="23">
        <v>3.7690586969125972E-2</v>
      </c>
      <c r="V726" s="23">
        <f t="shared" si="140"/>
        <v>4.2892978021510375E-2</v>
      </c>
      <c r="W726" s="22">
        <f t="shared" si="143"/>
        <v>3.5059217505770679E-3</v>
      </c>
      <c r="X726" s="23">
        <v>3.7282875742584931E-2</v>
      </c>
      <c r="Y726" s="23">
        <f t="shared" si="144"/>
        <v>4.2892882704628654E-2</v>
      </c>
      <c r="Z726" s="22">
        <f t="shared" si="145"/>
        <v>3.5059128385599436E-3</v>
      </c>
      <c r="AA726" s="33"/>
      <c r="AB726" s="50">
        <f t="shared" si="141"/>
        <v>713</v>
      </c>
      <c r="AC726" s="48">
        <f t="shared" si="136"/>
        <v>0.219793295180196</v>
      </c>
      <c r="AE726" s="48">
        <f t="shared" si="142"/>
        <v>0.9978796971904963</v>
      </c>
      <c r="AF726" s="48">
        <f t="shared" si="146"/>
        <v>0.21979329518019647</v>
      </c>
      <c r="AH726" s="48">
        <f t="shared" si="147"/>
        <v>4.7184478546569153E-16</v>
      </c>
    </row>
    <row r="727" spans="4:34" ht="13.9" customHeight="1">
      <c r="D727" s="8"/>
      <c r="E727" s="9"/>
      <c r="F727" s="18"/>
      <c r="G727" s="18"/>
      <c r="H727" s="18"/>
      <c r="J727" s="40"/>
      <c r="K727" s="40"/>
      <c r="L727" s="40"/>
      <c r="M727" s="38"/>
      <c r="O727" s="12">
        <f t="shared" si="137"/>
        <v>59.5</v>
      </c>
      <c r="P727" s="13">
        <v>714</v>
      </c>
      <c r="Q727" s="21">
        <v>2.5826884778588299E-2</v>
      </c>
      <c r="R727" s="18">
        <f t="shared" si="138"/>
        <v>2.5808973118603085E-2</v>
      </c>
      <c r="S727" s="21">
        <v>3.5666227788720528E-2</v>
      </c>
      <c r="T727" s="18">
        <f t="shared" si="139"/>
        <v>4.2893736274610683E-2</v>
      </c>
      <c r="U727" s="23">
        <v>3.7697855052785112E-2</v>
      </c>
      <c r="V727" s="23">
        <f t="shared" si="140"/>
        <v>4.2894089534263991E-2</v>
      </c>
      <c r="W727" s="22">
        <f t="shared" si="143"/>
        <v>3.5060118145719965E-3</v>
      </c>
      <c r="X727" s="23">
        <v>3.7290711753905414E-2</v>
      </c>
      <c r="Y727" s="23">
        <f t="shared" si="144"/>
        <v>4.2894009722931559E-2</v>
      </c>
      <c r="Z727" s="22">
        <f t="shared" si="145"/>
        <v>3.5060041714845003E-3</v>
      </c>
      <c r="AA727" s="33"/>
      <c r="AB727" s="50">
        <f t="shared" si="141"/>
        <v>714</v>
      </c>
      <c r="AC727" s="48">
        <f t="shared" si="136"/>
        <v>0.21932716683158282</v>
      </c>
      <c r="AE727" s="48">
        <f t="shared" si="142"/>
        <v>0.99787924218420399</v>
      </c>
      <c r="AF727" s="48">
        <f t="shared" si="146"/>
        <v>0.21932716683158351</v>
      </c>
      <c r="AH727" s="48">
        <f t="shared" si="147"/>
        <v>6.9388939039072284E-16</v>
      </c>
    </row>
    <row r="728" spans="4:34" ht="13.9" customHeight="1">
      <c r="D728" s="8"/>
      <c r="E728" s="9"/>
      <c r="F728" s="18"/>
      <c r="G728" s="18"/>
      <c r="H728" s="18"/>
      <c r="J728" s="40"/>
      <c r="K728" s="40"/>
      <c r="L728" s="40"/>
      <c r="M728" s="38"/>
      <c r="O728" s="12">
        <f t="shared" si="137"/>
        <v>59.583333333333336</v>
      </c>
      <c r="P728" s="13">
        <v>715</v>
      </c>
      <c r="Q728" s="21">
        <v>2.5826859727097196E-2</v>
      </c>
      <c r="R728" s="18">
        <f t="shared" si="138"/>
        <v>2.5814492067003592E-2</v>
      </c>
      <c r="S728" s="21">
        <v>3.5676301133136024E-2</v>
      </c>
      <c r="T728" s="18">
        <f t="shared" si="139"/>
        <v>4.2894903542686214E-2</v>
      </c>
      <c r="U728" s="23">
        <v>3.7705104403662482E-2</v>
      </c>
      <c r="V728" s="23">
        <f t="shared" si="140"/>
        <v>4.2895189494392305E-2</v>
      </c>
      <c r="W728" s="22">
        <f t="shared" si="143"/>
        <v>3.5061009423802414E-3</v>
      </c>
      <c r="X728" s="23">
        <v>3.7298527473054177E-2</v>
      </c>
      <c r="Y728" s="23">
        <f t="shared" si="144"/>
        <v>4.2895124874666068E-2</v>
      </c>
      <c r="Z728" s="22">
        <f t="shared" si="145"/>
        <v>3.5060945426284018E-3</v>
      </c>
      <c r="AA728" s="33"/>
      <c r="AB728" s="50">
        <f t="shared" si="141"/>
        <v>715</v>
      </c>
      <c r="AC728" s="48">
        <f t="shared" si="136"/>
        <v>0.21886192807198915</v>
      </c>
      <c r="AE728" s="48">
        <f t="shared" si="142"/>
        <v>0.99787879100289101</v>
      </c>
      <c r="AF728" s="48">
        <f t="shared" si="146"/>
        <v>0.21886192807198993</v>
      </c>
      <c r="AH728" s="48">
        <f t="shared" si="147"/>
        <v>7.7715611723760958E-16</v>
      </c>
    </row>
    <row r="729" spans="4:34" ht="13.9" customHeight="1">
      <c r="D729" s="8"/>
      <c r="E729" s="9"/>
      <c r="F729" s="18"/>
      <c r="G729" s="18"/>
      <c r="H729" s="18"/>
      <c r="J729" s="40"/>
      <c r="K729" s="40"/>
      <c r="L729" s="40"/>
      <c r="M729" s="38"/>
      <c r="O729" s="12">
        <f t="shared" si="137"/>
        <v>59.666666666666664</v>
      </c>
      <c r="P729" s="13">
        <v>716</v>
      </c>
      <c r="Q729" s="21">
        <v>2.5826842453724908E-2</v>
      </c>
      <c r="R729" s="18">
        <f t="shared" si="138"/>
        <v>2.5819964662155082E-2</v>
      </c>
      <c r="S729" s="21">
        <v>3.5686348056280792E-2</v>
      </c>
      <c r="T729" s="18">
        <f t="shared" si="139"/>
        <v>4.2896057980096103E-2</v>
      </c>
      <c r="U729" s="23">
        <v>3.7712335084011617E-2</v>
      </c>
      <c r="V729" s="23">
        <f t="shared" si="140"/>
        <v>4.2896278022054979E-2</v>
      </c>
      <c r="W729" s="22">
        <f t="shared" si="143"/>
        <v>3.5061891437435655E-3</v>
      </c>
      <c r="X729" s="23">
        <v>3.7306322968357009E-2</v>
      </c>
      <c r="Y729" s="23">
        <f t="shared" si="144"/>
        <v>4.2896228285125737E-2</v>
      </c>
      <c r="Z729" s="22">
        <f t="shared" si="145"/>
        <v>3.5061839621510771E-3</v>
      </c>
      <c r="AA729" s="33"/>
      <c r="AB729" s="50">
        <f t="shared" si="141"/>
        <v>716</v>
      </c>
      <c r="AC729" s="48">
        <f t="shared" si="136"/>
        <v>0.21839757826466027</v>
      </c>
      <c r="AE729" s="48">
        <f t="shared" si="142"/>
        <v>0.9978783436140779</v>
      </c>
      <c r="AF729" s="48">
        <f t="shared" si="146"/>
        <v>0.21839757826466077</v>
      </c>
      <c r="AH729" s="48">
        <f t="shared" si="147"/>
        <v>4.9960036108132044E-16</v>
      </c>
    </row>
    <row r="730" spans="4:34" ht="13.9" customHeight="1">
      <c r="D730" s="8"/>
      <c r="E730" s="9"/>
      <c r="F730" s="18"/>
      <c r="G730" s="18"/>
      <c r="H730" s="18"/>
      <c r="J730" s="40"/>
      <c r="K730" s="40"/>
      <c r="L730" s="40"/>
      <c r="M730" s="38"/>
      <c r="O730" s="12">
        <f t="shared" si="137"/>
        <v>59.75</v>
      </c>
      <c r="P730" s="13">
        <v>717</v>
      </c>
      <c r="Q730" s="21">
        <v>2.5826832861235882E-2</v>
      </c>
      <c r="R730" s="18">
        <f t="shared" si="138"/>
        <v>2.5825391297718658E-2</v>
      </c>
      <c r="S730" s="21">
        <v>3.5696368650570909E-2</v>
      </c>
      <c r="T730" s="18">
        <f t="shared" si="139"/>
        <v>4.2897199727558677E-2</v>
      </c>
      <c r="U730" s="23">
        <v>3.7719547155905975E-2</v>
      </c>
      <c r="V730" s="23">
        <f t="shared" si="140"/>
        <v>4.2897355236419576E-2</v>
      </c>
      <c r="W730" s="22">
        <f t="shared" si="143"/>
        <v>3.5062764282998149E-3</v>
      </c>
      <c r="X730" s="23">
        <v>3.7314098307933197E-2</v>
      </c>
      <c r="Y730" s="23">
        <f t="shared" si="144"/>
        <v>4.2897320078053358E-2</v>
      </c>
      <c r="Z730" s="22">
        <f t="shared" si="145"/>
        <v>3.5062724401018208E-3</v>
      </c>
      <c r="AA730" s="33"/>
      <c r="AB730" s="50">
        <f t="shared" si="141"/>
        <v>717</v>
      </c>
      <c r="AC730" s="48">
        <f t="shared" si="136"/>
        <v>0.2179341167606425</v>
      </c>
      <c r="AE730" s="48">
        <f t="shared" si="142"/>
        <v>0.99787789998542586</v>
      </c>
      <c r="AF730" s="48">
        <f t="shared" si="146"/>
        <v>0.21793411676064239</v>
      </c>
      <c r="AH730" s="48">
        <f t="shared" si="147"/>
        <v>0</v>
      </c>
    </row>
    <row r="731" spans="4:34" ht="13.9" customHeight="1">
      <c r="D731" s="8"/>
      <c r="E731" s="9"/>
      <c r="F731" s="18"/>
      <c r="G731" s="18"/>
      <c r="H731" s="18"/>
      <c r="J731" s="40"/>
      <c r="K731" s="40"/>
      <c r="L731" s="40"/>
      <c r="M731" s="38"/>
      <c r="O731" s="12">
        <f t="shared" si="137"/>
        <v>59.833333333333336</v>
      </c>
      <c r="P731" s="13">
        <v>718</v>
      </c>
      <c r="Q731" s="21">
        <v>2.5826830853485916E-2</v>
      </c>
      <c r="R731" s="18">
        <f t="shared" si="138"/>
        <v>2.5830772363833798E-2</v>
      </c>
      <c r="S731" s="21">
        <v>3.5706363008103814E-2</v>
      </c>
      <c r="T731" s="18">
        <f t="shared" si="139"/>
        <v>4.2898328924898754E-2</v>
      </c>
      <c r="U731" s="23">
        <v>3.7726740681238935E-2</v>
      </c>
      <c r="V731" s="23">
        <f t="shared" si="140"/>
        <v>4.2898421254945696E-2</v>
      </c>
      <c r="W731" s="22">
        <f t="shared" si="143"/>
        <v>3.5063628056068996E-3</v>
      </c>
      <c r="X731" s="23">
        <v>3.732185355969464E-2</v>
      </c>
      <c r="Y731" s="23">
        <f t="shared" si="144"/>
        <v>4.2898400375481094E-2</v>
      </c>
      <c r="Z731" s="22">
        <f t="shared" si="145"/>
        <v>3.5063599864060269E-3</v>
      </c>
      <c r="AA731" s="33"/>
      <c r="AB731" s="50">
        <f t="shared" si="141"/>
        <v>718</v>
      </c>
      <c r="AC731" s="48">
        <f t="shared" si="136"/>
        <v>0.21747154289896775</v>
      </c>
      <c r="AE731" s="48">
        <f t="shared" si="142"/>
        <v>0.99787746008495848</v>
      </c>
      <c r="AF731" s="48">
        <f t="shared" si="146"/>
        <v>0.21747154289896861</v>
      </c>
      <c r="AH731" s="48">
        <f t="shared" si="147"/>
        <v>8.6042284408449632E-16</v>
      </c>
    </row>
    <row r="732" spans="4:34" ht="13.9" customHeight="1">
      <c r="D732" s="8"/>
      <c r="E732" s="9"/>
      <c r="F732" s="18"/>
      <c r="G732" s="18"/>
      <c r="H732" s="18"/>
      <c r="J732" s="40"/>
      <c r="K732" s="40"/>
      <c r="L732" s="40"/>
      <c r="M732" s="38"/>
      <c r="O732" s="12">
        <f t="shared" si="137"/>
        <v>59.916666666666664</v>
      </c>
      <c r="P732" s="13">
        <v>719</v>
      </c>
      <c r="Q732" s="21">
        <v>2.5826836335409054E-2</v>
      </c>
      <c r="R732" s="18">
        <f t="shared" si="138"/>
        <v>2.5836108248363798E-2</v>
      </c>
      <c r="S732" s="21">
        <v>3.5716331220659203E-2</v>
      </c>
      <c r="T732" s="18">
        <f t="shared" si="139"/>
        <v>4.2899445710196993E-2</v>
      </c>
      <c r="U732" s="23">
        <v>3.773391572172291E-2</v>
      </c>
      <c r="V732" s="23">
        <f t="shared" si="140"/>
        <v>4.2899476194341535E-2</v>
      </c>
      <c r="W732" s="22">
        <f t="shared" si="143"/>
        <v>3.5064482850859502E-3</v>
      </c>
      <c r="X732" s="23">
        <v>3.7329588791344959E-2</v>
      </c>
      <c r="Y732" s="23">
        <f t="shared" si="144"/>
        <v>4.2899469299302551E-2</v>
      </c>
      <c r="Z732" s="22">
        <f t="shared" si="145"/>
        <v>3.5064466108514214E-3</v>
      </c>
      <c r="AA732" s="33"/>
      <c r="AB732" s="50">
        <f t="shared" si="141"/>
        <v>719</v>
      </c>
      <c r="AC732" s="48">
        <f t="shared" si="136"/>
        <v>0.21700985600682898</v>
      </c>
      <c r="AE732" s="48">
        <f t="shared" si="142"/>
        <v>0.99787702388098587</v>
      </c>
      <c r="AF732" s="48">
        <f t="shared" si="146"/>
        <v>0.21700985600682896</v>
      </c>
      <c r="AH732" s="48">
        <f t="shared" si="147"/>
        <v>0</v>
      </c>
    </row>
    <row r="733" spans="4:34" ht="13.9" customHeight="1">
      <c r="D733" s="8"/>
      <c r="E733" s="9"/>
      <c r="F733" s="18"/>
      <c r="G733" s="18"/>
      <c r="H733" s="18"/>
      <c r="J733" s="40"/>
      <c r="K733" s="40"/>
      <c r="L733" s="40"/>
      <c r="M733" s="38"/>
      <c r="O733" s="12">
        <f t="shared" si="137"/>
        <v>60</v>
      </c>
      <c r="P733" s="13">
        <v>720</v>
      </c>
      <c r="Q733" s="21">
        <v>2.5826849213007819E-2</v>
      </c>
      <c r="R733" s="18">
        <f t="shared" si="138"/>
        <v>2.5841399334171511E-2</v>
      </c>
      <c r="S733" s="21">
        <v>3.5726273379698359E-2</v>
      </c>
      <c r="T733" s="18">
        <f t="shared" si="139"/>
        <v>4.2900550220492661E-2</v>
      </c>
      <c r="U733" s="23">
        <v>3.7741072338889126E-2</v>
      </c>
      <c r="V733" s="23">
        <f t="shared" si="140"/>
        <v>4.2900520170042755E-2</v>
      </c>
      <c r="W733" s="22">
        <f t="shared" si="143"/>
        <v>3.5065328760979231E-3</v>
      </c>
      <c r="X733" s="23">
        <v>3.7337304070380828E-2</v>
      </c>
      <c r="Y733" s="23">
        <f t="shared" si="144"/>
        <v>4.2900526969260833E-2</v>
      </c>
      <c r="Z733" s="22">
        <f t="shared" si="145"/>
        <v>3.5065323232150725E-3</v>
      </c>
      <c r="AA733" s="33"/>
      <c r="AB733" s="50">
        <f t="shared" si="141"/>
        <v>720</v>
      </c>
      <c r="AC733" s="48">
        <f t="shared" si="136"/>
        <v>0.21654905539971345</v>
      </c>
      <c r="AE733" s="48">
        <f t="shared" si="142"/>
        <v>0.99787659134200402</v>
      </c>
      <c r="AF733" s="48">
        <f t="shared" si="146"/>
        <v>0.21654905539971359</v>
      </c>
      <c r="AH733" s="48">
        <f t="shared" si="147"/>
        <v>0</v>
      </c>
    </row>
    <row r="734" spans="4:34" ht="13.9" customHeight="1">
      <c r="D734" s="8"/>
      <c r="E734" s="9"/>
      <c r="F734" s="18"/>
      <c r="G734" s="18"/>
      <c r="H734" s="18"/>
      <c r="J734" s="40"/>
      <c r="K734" s="40"/>
      <c r="L734" s="40"/>
      <c r="M734" s="38"/>
      <c r="O734" s="12">
        <f t="shared" si="137"/>
        <v>60.083333333333336</v>
      </c>
      <c r="P734" s="13">
        <v>721</v>
      </c>
      <c r="Q734" s="21">
        <v>2.5826869393338114E-2</v>
      </c>
      <c r="R734" s="18">
        <f t="shared" si="138"/>
        <v>2.5846646002198215E-2</v>
      </c>
      <c r="S734" s="21">
        <v>3.5736189576365707E-2</v>
      </c>
      <c r="T734" s="18">
        <f t="shared" si="139"/>
        <v>4.290164259032303E-2</v>
      </c>
      <c r="U734" s="23">
        <v>3.7748210594087395E-2</v>
      </c>
      <c r="V734" s="23">
        <f t="shared" si="140"/>
        <v>4.2901553295946915E-2</v>
      </c>
      <c r="W734" s="22">
        <f t="shared" si="143"/>
        <v>3.5066165879018563E-3</v>
      </c>
      <c r="X734" s="23">
        <v>3.7344999464090201E-2</v>
      </c>
      <c r="Y734" s="23">
        <f t="shared" si="144"/>
        <v>4.2901573503503432E-2</v>
      </c>
      <c r="Z734" s="22">
        <f t="shared" si="145"/>
        <v>3.5066171331008533E-3</v>
      </c>
      <c r="AA734" s="33"/>
      <c r="AB734" s="50">
        <f t="shared" si="141"/>
        <v>721</v>
      </c>
      <c r="AC734" s="48">
        <f t="shared" si="136"/>
        <v>0.21608914038160493</v>
      </c>
      <c r="AE734" s="48">
        <f t="shared" si="142"/>
        <v>0.99787616243691568</v>
      </c>
      <c r="AF734" s="48">
        <f t="shared" si="146"/>
        <v>0.21608914038160526</v>
      </c>
      <c r="AH734" s="48">
        <f t="shared" si="147"/>
        <v>3.3306690738754696E-16</v>
      </c>
    </row>
    <row r="735" spans="4:34" ht="13.9" customHeight="1">
      <c r="D735" s="8"/>
      <c r="E735" s="9"/>
      <c r="F735" s="18"/>
      <c r="G735" s="18"/>
      <c r="H735" s="18"/>
      <c r="J735" s="40"/>
      <c r="K735" s="40"/>
      <c r="L735" s="40"/>
      <c r="M735" s="38"/>
      <c r="O735" s="12">
        <f t="shared" si="137"/>
        <v>60.166666666666664</v>
      </c>
      <c r="P735" s="13">
        <v>722</v>
      </c>
      <c r="Q735" s="21">
        <v>2.5826896784499453E-2</v>
      </c>
      <c r="R735" s="18">
        <f t="shared" si="138"/>
        <v>2.5851848629532714E-2</v>
      </c>
      <c r="S735" s="21">
        <v>3.5746079901486594E-2</v>
      </c>
      <c r="T735" s="18">
        <f t="shared" si="139"/>
        <v>4.2902722953382044E-2</v>
      </c>
      <c r="U735" s="23">
        <v>3.7755330548485455E-2</v>
      </c>
      <c r="V735" s="23">
        <f t="shared" si="140"/>
        <v>4.2902575685143107E-2</v>
      </c>
      <c r="W735" s="22">
        <f t="shared" si="143"/>
        <v>3.5066994296326648E-3</v>
      </c>
      <c r="X735" s="23">
        <v>3.7352675039552086E-2</v>
      </c>
      <c r="Y735" s="23">
        <f t="shared" si="144"/>
        <v>4.2902609019920712E-2</v>
      </c>
      <c r="Z735" s="22">
        <f t="shared" si="145"/>
        <v>3.5067010499851836E-3</v>
      </c>
      <c r="AA735" s="33"/>
      <c r="AB735" s="50">
        <f t="shared" si="141"/>
        <v>722</v>
      </c>
      <c r="AC735" s="48">
        <f t="shared" si="136"/>
        <v>0.21563011024511516</v>
      </c>
      <c r="AE735" s="48">
        <f t="shared" si="142"/>
        <v>0.99787573713478039</v>
      </c>
      <c r="AF735" s="48">
        <f t="shared" si="146"/>
        <v>0.21563011024511539</v>
      </c>
      <c r="AH735" s="48">
        <f t="shared" si="147"/>
        <v>2.2204460492503131E-16</v>
      </c>
    </row>
    <row r="736" spans="4:34" ht="13.9" customHeight="1">
      <c r="D736" s="8"/>
      <c r="E736" s="9"/>
      <c r="F736" s="18"/>
      <c r="G736" s="18"/>
      <c r="H736" s="18"/>
      <c r="J736" s="40"/>
      <c r="K736" s="40"/>
      <c r="L736" s="40"/>
      <c r="M736" s="38"/>
      <c r="O736" s="12">
        <f t="shared" si="137"/>
        <v>60.25</v>
      </c>
      <c r="P736" s="13">
        <v>723</v>
      </c>
      <c r="Q736" s="21">
        <v>2.5826931295622524E-2</v>
      </c>
      <c r="R736" s="18">
        <f t="shared" si="138"/>
        <v>2.5857007589620284E-2</v>
      </c>
      <c r="S736" s="21">
        <v>3.575594444556951E-2</v>
      </c>
      <c r="T736" s="18">
        <f t="shared" si="139"/>
        <v>4.2903791442162609E-2</v>
      </c>
      <c r="U736" s="23">
        <v>3.7762432263068524E-2</v>
      </c>
      <c r="V736" s="23">
        <f t="shared" si="140"/>
        <v>4.2903587448999803E-2</v>
      </c>
      <c r="W736" s="22">
        <f t="shared" si="143"/>
        <v>3.5067814103608708E-3</v>
      </c>
      <c r="X736" s="23">
        <v>3.7360330863636992E-2</v>
      </c>
      <c r="Y736" s="23">
        <f t="shared" si="144"/>
        <v>4.2903633634549632E-2</v>
      </c>
      <c r="Z736" s="22">
        <f t="shared" si="145"/>
        <v>3.5067840833236108E-3</v>
      </c>
      <c r="AA736" s="33"/>
      <c r="AB736" s="50">
        <f t="shared" si="141"/>
        <v>723</v>
      </c>
      <c r="AC736" s="48">
        <f t="shared" si="136"/>
        <v>0.2151719642716533</v>
      </c>
      <c r="AE736" s="48">
        <f t="shared" si="142"/>
        <v>0.99787531540497121</v>
      </c>
      <c r="AF736" s="48">
        <f t="shared" si="146"/>
        <v>0.21517196427165322</v>
      </c>
      <c r="AH736" s="48">
        <f t="shared" si="147"/>
        <v>0</v>
      </c>
    </row>
    <row r="737" spans="4:34" ht="13.9" customHeight="1">
      <c r="D737" s="8"/>
      <c r="E737" s="9"/>
      <c r="F737" s="18"/>
      <c r="G737" s="18"/>
      <c r="H737" s="18"/>
      <c r="J737" s="40"/>
      <c r="K737" s="40"/>
      <c r="L737" s="40"/>
      <c r="M737" s="38"/>
      <c r="O737" s="12">
        <f t="shared" si="137"/>
        <v>60.333333333333336</v>
      </c>
      <c r="P737" s="13">
        <v>724</v>
      </c>
      <c r="Q737" s="21">
        <v>2.5826972836856976E-2</v>
      </c>
      <c r="R737" s="18">
        <f t="shared" si="138"/>
        <v>2.58621232534888E-2</v>
      </c>
      <c r="S737" s="21">
        <v>3.576578329880542E-2</v>
      </c>
      <c r="T737" s="18">
        <f t="shared" si="139"/>
        <v>4.2904848187132805E-2</v>
      </c>
      <c r="U737" s="23">
        <v>3.7769515798638853E-2</v>
      </c>
      <c r="V737" s="23">
        <f t="shared" si="140"/>
        <v>4.2904588698669865E-2</v>
      </c>
      <c r="W737" s="22">
        <f t="shared" si="143"/>
        <v>3.5068625390191066E-3</v>
      </c>
      <c r="X737" s="23">
        <v>3.7367967003006264E-2</v>
      </c>
      <c r="Y737" s="23">
        <f t="shared" si="144"/>
        <v>4.2904647462342016E-2</v>
      </c>
      <c r="Z737" s="22">
        <f t="shared" si="145"/>
        <v>3.5068662424229124E-3</v>
      </c>
      <c r="AA737" s="33"/>
      <c r="AB737" s="50">
        <f t="shared" si="141"/>
        <v>724</v>
      </c>
      <c r="AC737" s="48">
        <f t="shared" si="136"/>
        <v>0.21471470173158927</v>
      </c>
      <c r="AE737" s="48">
        <f t="shared" si="142"/>
        <v>0.99787489721715739</v>
      </c>
      <c r="AF737" s="48">
        <f t="shared" si="146"/>
        <v>0.21471470173158982</v>
      </c>
      <c r="AH737" s="48">
        <f t="shared" si="147"/>
        <v>5.5511151231257827E-16</v>
      </c>
    </row>
    <row r="738" spans="4:34" ht="13.9" customHeight="1">
      <c r="D738" s="8"/>
      <c r="E738" s="9"/>
      <c r="F738" s="18"/>
      <c r="G738" s="18"/>
      <c r="H738" s="18"/>
      <c r="J738" s="40"/>
      <c r="K738" s="40"/>
      <c r="L738" s="40"/>
      <c r="M738" s="38"/>
      <c r="O738" s="12">
        <f t="shared" si="137"/>
        <v>60.416666666666664</v>
      </c>
      <c r="P738" s="13">
        <v>725</v>
      </c>
      <c r="Q738" s="21">
        <v>2.5827021319360766E-2</v>
      </c>
      <c r="R738" s="18">
        <f t="shared" si="138"/>
        <v>2.5867195988051872E-2</v>
      </c>
      <c r="S738" s="21">
        <v>3.5775596551068212E-2</v>
      </c>
      <c r="T738" s="18">
        <f t="shared" si="139"/>
        <v>4.2905893317616073E-2</v>
      </c>
      <c r="U738" s="23">
        <v>3.7776581215816174E-2</v>
      </c>
      <c r="V738" s="23">
        <f t="shared" si="140"/>
        <v>4.2905579543191408E-2</v>
      </c>
      <c r="W738" s="22">
        <f t="shared" si="143"/>
        <v>3.5069428245224632E-3</v>
      </c>
      <c r="X738" s="23">
        <v>3.7375583524111855E-2</v>
      </c>
      <c r="Y738" s="23">
        <f t="shared" si="144"/>
        <v>4.2905650617033553E-2</v>
      </c>
      <c r="Z738" s="22">
        <f t="shared" si="145"/>
        <v>3.5069475365028246E-3</v>
      </c>
      <c r="AA738" s="33"/>
      <c r="AB738" s="50">
        <f t="shared" si="141"/>
        <v>725</v>
      </c>
      <c r="AC738" s="48">
        <f t="shared" si="136"/>
        <v>0.21425832188439919</v>
      </c>
      <c r="AE738" s="48">
        <f t="shared" si="142"/>
        <v>0.99787448254120592</v>
      </c>
      <c r="AF738" s="48">
        <f t="shared" si="146"/>
        <v>0.21425832188439956</v>
      </c>
      <c r="AH738" s="48">
        <f t="shared" si="147"/>
        <v>3.6082248300317588E-16</v>
      </c>
    </row>
    <row r="739" spans="4:34" ht="13.9" customHeight="1">
      <c r="D739" s="8"/>
      <c r="E739" s="9"/>
      <c r="F739" s="18"/>
      <c r="G739" s="18"/>
      <c r="H739" s="18"/>
      <c r="J739" s="40"/>
      <c r="K739" s="40"/>
      <c r="L739" s="40"/>
      <c r="M739" s="38"/>
      <c r="O739" s="12">
        <f t="shared" si="137"/>
        <v>60.5</v>
      </c>
      <c r="P739" s="13">
        <v>726</v>
      </c>
      <c r="Q739" s="21">
        <v>2.5827076655287939E-2</v>
      </c>
      <c r="R739" s="18">
        <f t="shared" si="138"/>
        <v>2.5872226158114353E-2</v>
      </c>
      <c r="S739" s="21">
        <v>3.578538429191469E-2</v>
      </c>
      <c r="T739" s="18">
        <f t="shared" si="139"/>
        <v>4.290692696109466E-2</v>
      </c>
      <c r="U739" s="23">
        <v>3.7783628575036587E-2</v>
      </c>
      <c r="V739" s="23">
        <f t="shared" si="140"/>
        <v>4.2906560090808954E-2</v>
      </c>
      <c r="W739" s="22">
        <f t="shared" si="143"/>
        <v>3.5070222756163894E-3</v>
      </c>
      <c r="X739" s="23">
        <v>3.7383180493196111E-2</v>
      </c>
      <c r="Y739" s="23">
        <f t="shared" si="144"/>
        <v>4.2906643211062967E-2</v>
      </c>
      <c r="Z739" s="22">
        <f t="shared" si="145"/>
        <v>3.5070279746858279E-3</v>
      </c>
      <c r="AA739" s="33"/>
      <c r="AB739" s="50">
        <f t="shared" si="141"/>
        <v>726</v>
      </c>
      <c r="AC739" s="48">
        <f t="shared" si="136"/>
        <v>0.21380282397882927</v>
      </c>
      <c r="AE739" s="48">
        <f t="shared" si="142"/>
        <v>0.99787407134731798</v>
      </c>
      <c r="AF739" s="48">
        <f t="shared" si="146"/>
        <v>0.21380282397882994</v>
      </c>
      <c r="AH739" s="48">
        <f t="shared" si="147"/>
        <v>6.6613381477509392E-16</v>
      </c>
    </row>
    <row r="740" spans="4:34" ht="13.9" customHeight="1">
      <c r="D740" s="8"/>
      <c r="E740" s="9"/>
      <c r="F740" s="18"/>
      <c r="G740" s="18"/>
      <c r="H740" s="18"/>
      <c r="J740" s="40"/>
      <c r="K740" s="40"/>
      <c r="L740" s="40"/>
      <c r="M740" s="38"/>
      <c r="O740" s="12">
        <f t="shared" si="137"/>
        <v>60.583333333333336</v>
      </c>
      <c r="P740" s="13">
        <v>727</v>
      </c>
      <c r="Q740" s="21">
        <v>2.5827138757778423E-2</v>
      </c>
      <c r="R740" s="18">
        <f t="shared" si="138"/>
        <v>2.5877214123932513E-2</v>
      </c>
      <c r="S740" s="21">
        <v>3.5795146610584139E-2</v>
      </c>
      <c r="T740" s="18">
        <f t="shared" si="139"/>
        <v>4.2907949244416654E-2</v>
      </c>
      <c r="U740" s="23">
        <v>3.7790657936551897E-2</v>
      </c>
      <c r="V740" s="23">
        <f t="shared" si="140"/>
        <v>4.2907530448843323E-2</v>
      </c>
      <c r="W740" s="22">
        <f t="shared" si="143"/>
        <v>3.507100900982385E-3</v>
      </c>
      <c r="X740" s="23">
        <v>3.7390757976291544E-2</v>
      </c>
      <c r="Y740" s="23">
        <f t="shared" si="144"/>
        <v>4.2907625355701251E-2</v>
      </c>
      <c r="Z740" s="22">
        <f t="shared" si="145"/>
        <v>3.5071075659900419E-3</v>
      </c>
      <c r="AA740" s="33"/>
      <c r="AB740" s="50">
        <f t="shared" si="141"/>
        <v>727</v>
      </c>
      <c r="AC740" s="48">
        <f t="shared" si="136"/>
        <v>0.21334820725303574</v>
      </c>
      <c r="AE740" s="48">
        <f t="shared" si="142"/>
        <v>0.99787366360586693</v>
      </c>
      <c r="AF740" s="48">
        <f t="shared" si="146"/>
        <v>0.21334820725303533</v>
      </c>
      <c r="AH740" s="48">
        <f t="shared" si="147"/>
        <v>-4.163336342344337E-16</v>
      </c>
    </row>
    <row r="741" spans="4:34" ht="13.9" customHeight="1">
      <c r="D741" s="8"/>
      <c r="E741" s="9"/>
      <c r="F741" s="18"/>
      <c r="G741" s="18"/>
      <c r="H741" s="18"/>
      <c r="J741" s="40"/>
      <c r="K741" s="40"/>
      <c r="L741" s="40"/>
      <c r="M741" s="38"/>
      <c r="O741" s="12">
        <f t="shared" si="137"/>
        <v>60.666666666666664</v>
      </c>
      <c r="P741" s="13">
        <v>728</v>
      </c>
      <c r="Q741" s="21">
        <v>2.5827207540945585E-2</v>
      </c>
      <c r="R741" s="18">
        <f t="shared" si="138"/>
        <v>2.5882160243782426E-2</v>
      </c>
      <c r="S741" s="21">
        <v>3.5804883596000314E-2</v>
      </c>
      <c r="T741" s="18">
        <f t="shared" si="139"/>
        <v>4.2908960292590059E-2</v>
      </c>
      <c r="U741" s="23">
        <v>3.7797669360430719E-2</v>
      </c>
      <c r="V741" s="23">
        <f t="shared" si="140"/>
        <v>4.2908490723276183E-2</v>
      </c>
      <c r="W741" s="22">
        <f t="shared" si="143"/>
        <v>3.5071787092284534E-3</v>
      </c>
      <c r="X741" s="23">
        <v>3.7398316039220614E-2</v>
      </c>
      <c r="Y741" s="23">
        <f t="shared" si="144"/>
        <v>4.290859716106965E-2</v>
      </c>
      <c r="Z741" s="22">
        <f t="shared" si="145"/>
        <v>3.5071863193396613E-3</v>
      </c>
      <c r="AA741" s="33"/>
      <c r="AB741" s="50">
        <f t="shared" si="141"/>
        <v>728</v>
      </c>
      <c r="AC741" s="48">
        <f t="shared" si="136"/>
        <v>0.21289447093475186</v>
      </c>
      <c r="AE741" s="48">
        <f t="shared" si="142"/>
        <v>0.99787325928759607</v>
      </c>
      <c r="AF741" s="48">
        <f t="shared" si="146"/>
        <v>0.21289447093475192</v>
      </c>
      <c r="AH741" s="48">
        <f t="shared" si="147"/>
        <v>0</v>
      </c>
    </row>
    <row r="742" spans="4:34" ht="13.9" customHeight="1">
      <c r="D742" s="8"/>
      <c r="E742" s="9"/>
      <c r="F742" s="18"/>
      <c r="G742" s="18"/>
      <c r="H742" s="18"/>
      <c r="J742" s="40"/>
      <c r="K742" s="40"/>
      <c r="L742" s="40"/>
      <c r="M742" s="38"/>
      <c r="O742" s="12">
        <f t="shared" si="137"/>
        <v>60.75</v>
      </c>
      <c r="P742" s="13">
        <v>729</v>
      </c>
      <c r="Q742" s="21">
        <v>2.5827282919866024E-2</v>
      </c>
      <c r="R742" s="18">
        <f t="shared" si="138"/>
        <v>2.5887064872947452E-2</v>
      </c>
      <c r="S742" s="21">
        <v>3.5814595336770338E-2</v>
      </c>
      <c r="T742" s="18">
        <f t="shared" si="139"/>
        <v>4.2909960228740163E-2</v>
      </c>
      <c r="U742" s="23">
        <v>3.780466290655693E-2</v>
      </c>
      <c r="V742" s="23">
        <f t="shared" si="140"/>
        <v>4.2909441018936567E-2</v>
      </c>
      <c r="W742" s="22">
        <f t="shared" si="143"/>
        <v>3.5072557088546841E-3</v>
      </c>
      <c r="X742" s="23">
        <v>3.7405854747595502E-2</v>
      </c>
      <c r="Y742" s="23">
        <f t="shared" si="144"/>
        <v>4.2909558736654585E-2</v>
      </c>
      <c r="Z742" s="22">
        <f t="shared" si="145"/>
        <v>3.5072642435673984E-3</v>
      </c>
      <c r="AA742" s="33"/>
      <c r="AB742" s="50">
        <f t="shared" si="141"/>
        <v>729</v>
      </c>
      <c r="AC742" s="48">
        <f t="shared" si="136"/>
        <v>0.2124416142414271</v>
      </c>
      <c r="AE742" s="48">
        <f t="shared" si="142"/>
        <v>0.99787285836341</v>
      </c>
      <c r="AF742" s="48">
        <f t="shared" si="146"/>
        <v>0.2124416142414268</v>
      </c>
      <c r="AH742" s="48">
        <f t="shared" si="147"/>
        <v>-3.0531133177191805E-16</v>
      </c>
    </row>
    <row r="743" spans="4:34" ht="13.9" customHeight="1">
      <c r="D743" s="8"/>
      <c r="E743" s="9"/>
      <c r="F743" s="18"/>
      <c r="G743" s="18"/>
      <c r="H743" s="18"/>
      <c r="J743" s="40"/>
      <c r="K743" s="40"/>
      <c r="L743" s="40"/>
      <c r="M743" s="38"/>
      <c r="O743" s="12">
        <f t="shared" si="137"/>
        <v>60.833333333333336</v>
      </c>
      <c r="P743" s="13">
        <v>730</v>
      </c>
      <c r="Q743" s="21">
        <v>2.5827364810569575E-2</v>
      </c>
      <c r="R743" s="18">
        <f t="shared" si="138"/>
        <v>2.5891928362052896E-2</v>
      </c>
      <c r="S743" s="21">
        <v>3.5824281921184919E-2</v>
      </c>
      <c r="T743" s="18">
        <f t="shared" si="139"/>
        <v>4.2910949175563262E-2</v>
      </c>
      <c r="U743" s="23">
        <v>3.7811638634629885E-2</v>
      </c>
      <c r="V743" s="23">
        <f t="shared" si="140"/>
        <v>4.2910381439816403E-2</v>
      </c>
      <c r="W743" s="22">
        <f t="shared" si="143"/>
        <v>3.5073319082687959E-3</v>
      </c>
      <c r="X743" s="23">
        <v>3.741337416681878E-2</v>
      </c>
      <c r="Y743" s="23">
        <f t="shared" si="144"/>
        <v>4.2910510189437368E-2</v>
      </c>
      <c r="Z743" s="22">
        <f t="shared" si="145"/>
        <v>3.5073413474542292E-3</v>
      </c>
      <c r="AA743" s="33"/>
      <c r="AB743" s="50">
        <f t="shared" si="141"/>
        <v>730</v>
      </c>
      <c r="AC743" s="48">
        <f t="shared" si="136"/>
        <v>0.21198963638036392</v>
      </c>
      <c r="AE743" s="48">
        <f t="shared" si="142"/>
        <v>0.99787246080445702</v>
      </c>
      <c r="AF743" s="48">
        <f t="shared" si="146"/>
        <v>0.21198963638036375</v>
      </c>
      <c r="AH743" s="48">
        <f t="shared" si="147"/>
        <v>0</v>
      </c>
    </row>
    <row r="744" spans="4:34" ht="13.9" customHeight="1">
      <c r="D744" s="8"/>
      <c r="E744" s="9"/>
      <c r="F744" s="18"/>
      <c r="G744" s="18"/>
      <c r="H744" s="18"/>
      <c r="J744" s="40"/>
      <c r="K744" s="40"/>
      <c r="L744" s="40"/>
      <c r="M744" s="38"/>
      <c r="O744" s="12">
        <f t="shared" si="137"/>
        <v>60.916666666666664</v>
      </c>
      <c r="P744" s="13">
        <v>731</v>
      </c>
      <c r="Q744" s="21">
        <v>2.582745313002599E-2</v>
      </c>
      <c r="R744" s="18">
        <f t="shared" si="138"/>
        <v>2.5896751061048606E-2</v>
      </c>
      <c r="S744" s="21">
        <v>3.5833943437219462E-2</v>
      </c>
      <c r="T744" s="18">
        <f t="shared" si="139"/>
        <v>4.2911927253843851E-2</v>
      </c>
      <c r="U744" s="23">
        <v>3.7818596604164645E-2</v>
      </c>
      <c r="V744" s="23">
        <f t="shared" si="140"/>
        <v>4.2911312088431242E-2</v>
      </c>
      <c r="W744" s="22">
        <f t="shared" si="143"/>
        <v>3.5074073158114505E-3</v>
      </c>
      <c r="X744" s="23">
        <v>3.7420874362081413E-2</v>
      </c>
      <c r="Y744" s="23">
        <f t="shared" si="144"/>
        <v>4.2911451626634012E-2</v>
      </c>
      <c r="Z744" s="22">
        <f t="shared" si="145"/>
        <v>3.5074176395804013E-3</v>
      </c>
      <c r="AA744" s="33"/>
      <c r="AB744" s="50">
        <f t="shared" si="141"/>
        <v>731</v>
      </c>
      <c r="AC744" s="48">
        <f t="shared" si="136"/>
        <v>0.21153853654889576</v>
      </c>
      <c r="AE744" s="48">
        <f t="shared" si="142"/>
        <v>0.99787206658226424</v>
      </c>
      <c r="AF744" s="48">
        <f t="shared" si="146"/>
        <v>0.21153853654889632</v>
      </c>
      <c r="AH744" s="48">
        <f t="shared" si="147"/>
        <v>5.5511151231257827E-16</v>
      </c>
    </row>
    <row r="745" spans="4:34" ht="13.9" customHeight="1">
      <c r="D745" s="8"/>
      <c r="E745" s="9"/>
      <c r="F745" s="18"/>
      <c r="G745" s="18"/>
      <c r="H745" s="18"/>
      <c r="J745" s="40"/>
      <c r="K745" s="40"/>
      <c r="L745" s="40"/>
      <c r="M745" s="38"/>
      <c r="O745" s="12">
        <f t="shared" si="137"/>
        <v>61</v>
      </c>
      <c r="P745" s="13">
        <v>732</v>
      </c>
      <c r="Q745" s="21">
        <v>2.5827547796137607E-2</v>
      </c>
      <c r="R745" s="18">
        <f t="shared" si="138"/>
        <v>2.5901533314557579E-2</v>
      </c>
      <c r="S745" s="21">
        <v>3.5843579972534068E-2</v>
      </c>
      <c r="T745" s="18">
        <f t="shared" si="139"/>
        <v>4.2912894583521988E-2</v>
      </c>
      <c r="U745" s="23">
        <v>3.782553687449064E-2</v>
      </c>
      <c r="V745" s="23">
        <f t="shared" si="140"/>
        <v>4.2912233066846994E-2</v>
      </c>
      <c r="W745" s="22">
        <f t="shared" si="143"/>
        <v>3.5074819397047374E-3</v>
      </c>
      <c r="X745" s="23">
        <v>3.7428355398364754E-2</v>
      </c>
      <c r="Y745" s="23">
        <f t="shared" si="144"/>
        <v>4.2912383153892897E-2</v>
      </c>
      <c r="Z745" s="22">
        <f t="shared" si="145"/>
        <v>3.5074931285454802E-3</v>
      </c>
      <c r="AA745" s="33"/>
      <c r="AB745" s="50">
        <f t="shared" si="141"/>
        <v>732</v>
      </c>
      <c r="AC745" s="48">
        <f t="shared" si="136"/>
        <v>0.2110883139344911</v>
      </c>
      <c r="AE745" s="48">
        <f t="shared" si="142"/>
        <v>0.99787167566841439</v>
      </c>
      <c r="AF745" s="48">
        <f t="shared" si="146"/>
        <v>0.21108831393449129</v>
      </c>
      <c r="AH745" s="48">
        <f t="shared" si="147"/>
        <v>0</v>
      </c>
    </row>
    <row r="746" spans="4:34" ht="13.9" customHeight="1">
      <c r="D746" s="8"/>
      <c r="E746" s="9"/>
      <c r="F746" s="18"/>
      <c r="G746" s="18"/>
      <c r="H746" s="18"/>
      <c r="J746" s="40"/>
      <c r="K746" s="40"/>
      <c r="L746" s="40"/>
      <c r="M746" s="38"/>
      <c r="O746" s="12">
        <f t="shared" si="137"/>
        <v>61.083333333333336</v>
      </c>
      <c r="P746" s="13">
        <v>733</v>
      </c>
      <c r="Q746" s="21">
        <v>2.5827648727725805E-2</v>
      </c>
      <c r="R746" s="18">
        <f t="shared" si="138"/>
        <v>2.5906275466045292E-2</v>
      </c>
      <c r="S746" s="21">
        <v>3.5853191614473978E-2</v>
      </c>
      <c r="T746" s="18">
        <f t="shared" si="139"/>
        <v>4.2913851282063709E-2</v>
      </c>
      <c r="U746" s="23">
        <v>3.783245950475278E-2</v>
      </c>
      <c r="V746" s="23">
        <f t="shared" si="140"/>
        <v>4.2913144475247522E-2</v>
      </c>
      <c r="W746" s="22">
        <f t="shared" si="143"/>
        <v>3.5075557881347752E-3</v>
      </c>
      <c r="X746" s="23">
        <v>3.7435817340439437E-2</v>
      </c>
      <c r="Y746" s="23">
        <f t="shared" si="144"/>
        <v>4.2913304875384028E-2</v>
      </c>
      <c r="Z746" s="22">
        <f t="shared" si="145"/>
        <v>3.507567822822466E-3</v>
      </c>
      <c r="AA746" s="33"/>
      <c r="AB746" s="50">
        <f t="shared" si="141"/>
        <v>733</v>
      </c>
      <c r="AC746" s="48">
        <f t="shared" si="136"/>
        <v>0.21063896771493026</v>
      </c>
      <c r="AE746" s="48">
        <f t="shared" si="142"/>
        <v>0.99787128803492298</v>
      </c>
      <c r="AF746" s="48">
        <f t="shared" si="146"/>
        <v>0.21063896771493101</v>
      </c>
      <c r="AH746" s="48">
        <f t="shared" si="147"/>
        <v>7.4940054162198066E-16</v>
      </c>
    </row>
    <row r="747" spans="4:34" ht="13.9" customHeight="1">
      <c r="D747" s="8"/>
      <c r="E747" s="9"/>
      <c r="F747" s="18"/>
      <c r="G747" s="18"/>
      <c r="H747" s="18"/>
      <c r="J747" s="40"/>
      <c r="K747" s="40"/>
      <c r="L747" s="40"/>
      <c r="M747" s="38"/>
      <c r="O747" s="12">
        <f t="shared" si="137"/>
        <v>61.166666666666664</v>
      </c>
      <c r="P747" s="13">
        <v>734</v>
      </c>
      <c r="Q747" s="21">
        <v>2.5827755844523237E-2</v>
      </c>
      <c r="R747" s="18">
        <f t="shared" si="138"/>
        <v>2.5910977854620487E-2</v>
      </c>
      <c r="S747" s="21">
        <v>3.5862778450068911E-2</v>
      </c>
      <c r="T747" s="18">
        <f t="shared" si="139"/>
        <v>4.2914797467239918E-2</v>
      </c>
      <c r="U747" s="23">
        <v>3.7839364553910348E-2</v>
      </c>
      <c r="V747" s="23">
        <f t="shared" si="140"/>
        <v>4.2914046413156992E-2</v>
      </c>
      <c r="W747" s="22">
        <f t="shared" si="143"/>
        <v>3.5076288691366919E-3</v>
      </c>
      <c r="X747" s="23">
        <v>3.7443260252864929E-2</v>
      </c>
      <c r="Y747" s="23">
        <f t="shared" si="144"/>
        <v>4.2914216894735624E-2</v>
      </c>
      <c r="Z747" s="22">
        <f t="shared" si="145"/>
        <v>3.507641730766009E-3</v>
      </c>
      <c r="AA747" s="33"/>
      <c r="AB747" s="50">
        <f t="shared" si="141"/>
        <v>734</v>
      </c>
      <c r="AC747" s="48">
        <f t="shared" si="136"/>
        <v>0.21019049705842235</v>
      </c>
      <c r="AE747" s="48">
        <f t="shared" si="142"/>
        <v>0.9978709036539003</v>
      </c>
      <c r="AF747" s="48">
        <f t="shared" si="146"/>
        <v>0.21019049705842294</v>
      </c>
      <c r="AH747" s="48">
        <f t="shared" si="147"/>
        <v>5.8286708792820718E-16</v>
      </c>
    </row>
    <row r="748" spans="4:34" ht="13.9" customHeight="1">
      <c r="D748" s="8"/>
      <c r="E748" s="9"/>
      <c r="F748" s="18"/>
      <c r="G748" s="18"/>
      <c r="H748" s="18"/>
      <c r="J748" s="40"/>
      <c r="K748" s="40"/>
      <c r="L748" s="40"/>
      <c r="M748" s="38"/>
      <c r="O748" s="12">
        <f t="shared" si="137"/>
        <v>61.25</v>
      </c>
      <c r="P748" s="13">
        <v>735</v>
      </c>
      <c r="Q748" s="21">
        <v>2.5827869067161391E-2</v>
      </c>
      <c r="R748" s="18">
        <f t="shared" si="138"/>
        <v>2.5915640817486318E-2</v>
      </c>
      <c r="S748" s="21">
        <v>3.5872340566035277E-2</v>
      </c>
      <c r="T748" s="18">
        <f t="shared" si="139"/>
        <v>4.2915733254483168E-2</v>
      </c>
      <c r="U748" s="23">
        <v>3.7846252080736775E-2</v>
      </c>
      <c r="V748" s="23">
        <f t="shared" si="140"/>
        <v>4.2914938979657258E-2</v>
      </c>
      <c r="W748" s="22">
        <f t="shared" si="143"/>
        <v>3.507701190692547E-3</v>
      </c>
      <c r="X748" s="23">
        <v>3.7450684199990425E-2</v>
      </c>
      <c r="Y748" s="23">
        <f t="shared" si="144"/>
        <v>4.2915119313701844E-2</v>
      </c>
      <c r="Z748" s="22">
        <f t="shared" si="145"/>
        <v>3.5077148606879049E-3</v>
      </c>
      <c r="AA748" s="33"/>
      <c r="AB748" s="50">
        <f t="shared" si="141"/>
        <v>735</v>
      </c>
      <c r="AC748" s="48">
        <f t="shared" si="136"/>
        <v>0.20974290112376365</v>
      </c>
      <c r="AE748" s="48">
        <f t="shared" si="142"/>
        <v>0.99787052249781105</v>
      </c>
      <c r="AF748" s="48">
        <f t="shared" si="146"/>
        <v>0.20974290112376312</v>
      </c>
      <c r="AH748" s="48">
        <f t="shared" si="147"/>
        <v>-5.2735593669694936E-16</v>
      </c>
    </row>
    <row r="749" spans="4:34" ht="13.9" customHeight="1">
      <c r="D749" s="8"/>
      <c r="E749" s="9"/>
      <c r="F749" s="18"/>
      <c r="G749" s="18"/>
      <c r="H749" s="18"/>
      <c r="J749" s="40"/>
      <c r="K749" s="40"/>
      <c r="L749" s="40"/>
      <c r="M749" s="38"/>
      <c r="O749" s="12">
        <f t="shared" si="137"/>
        <v>61.333333333333336</v>
      </c>
      <c r="P749" s="13">
        <v>736</v>
      </c>
      <c r="Q749" s="21">
        <v>2.5827988317162376E-2</v>
      </c>
      <c r="R749" s="18">
        <f t="shared" si="138"/>
        <v>2.592026468818287E-2</v>
      </c>
      <c r="S749" s="21">
        <v>3.5881878048775295E-2</v>
      </c>
      <c r="T749" s="18">
        <f t="shared" si="139"/>
        <v>4.2916658757734094E-2</v>
      </c>
      <c r="U749" s="23">
        <v>3.785312214382075E-2</v>
      </c>
      <c r="V749" s="23">
        <f t="shared" si="140"/>
        <v>4.2915822271696769E-2</v>
      </c>
      <c r="W749" s="22">
        <f t="shared" si="143"/>
        <v>3.5077727607488729E-3</v>
      </c>
      <c r="X749" s="23">
        <v>3.745808924595373E-2</v>
      </c>
      <c r="Y749" s="23">
        <f t="shared" si="144"/>
        <v>4.2916012234083256E-2</v>
      </c>
      <c r="Z749" s="22">
        <f t="shared" si="145"/>
        <v>3.5077872207489591E-3</v>
      </c>
      <c r="AA749" s="33"/>
      <c r="AB749" s="50">
        <f t="shared" si="141"/>
        <v>736</v>
      </c>
      <c r="AC749" s="48">
        <f t="shared" si="136"/>
        <v>0.20929617906045619</v>
      </c>
      <c r="AE749" s="48">
        <f t="shared" si="142"/>
        <v>0.99787014453927503</v>
      </c>
      <c r="AF749" s="48">
        <f t="shared" si="146"/>
        <v>0.20929617906045639</v>
      </c>
      <c r="AH749" s="48">
        <f t="shared" si="147"/>
        <v>0</v>
      </c>
    </row>
    <row r="750" spans="4:34" ht="13.9" customHeight="1">
      <c r="D750" s="8"/>
      <c r="E750" s="9"/>
      <c r="F750" s="18"/>
      <c r="G750" s="18"/>
      <c r="H750" s="18"/>
      <c r="J750" s="40"/>
      <c r="K750" s="40"/>
      <c r="L750" s="40"/>
      <c r="M750" s="38"/>
      <c r="O750" s="12">
        <f t="shared" si="137"/>
        <v>61.416666666666664</v>
      </c>
      <c r="P750" s="13">
        <v>737</v>
      </c>
      <c r="Q750" s="21">
        <v>2.5828113516927154E-2</v>
      </c>
      <c r="R750" s="18">
        <f t="shared" si="138"/>
        <v>2.5924849798131699E-2</v>
      </c>
      <c r="S750" s="21">
        <v>3.5891390984377214E-2</v>
      </c>
      <c r="T750" s="18">
        <f t="shared" si="139"/>
        <v>4.2917574090863164E-2</v>
      </c>
      <c r="U750" s="23">
        <v>3.7859974801564444E-2</v>
      </c>
      <c r="V750" s="23">
        <f t="shared" si="140"/>
        <v>4.2916696386345876E-2</v>
      </c>
      <c r="W750" s="22">
        <f t="shared" si="143"/>
        <v>3.5078435870814495E-3</v>
      </c>
      <c r="X750" s="23">
        <v>3.7465475454682373E-2</v>
      </c>
      <c r="Y750" s="23">
        <f t="shared" si="144"/>
        <v>4.2916895755434448E-2</v>
      </c>
      <c r="Z750" s="22">
        <f t="shared" si="145"/>
        <v>3.5078588191135296E-3</v>
      </c>
      <c r="AA750" s="33"/>
      <c r="AB750" s="50">
        <f t="shared" si="141"/>
        <v>737</v>
      </c>
      <c r="AC750" s="48">
        <f t="shared" si="136"/>
        <v>0.20885033000886527</v>
      </c>
      <c r="AE750" s="48">
        <f t="shared" si="142"/>
        <v>0.99786976975121</v>
      </c>
      <c r="AF750" s="48">
        <f t="shared" si="146"/>
        <v>0.20885033000886563</v>
      </c>
      <c r="AH750" s="48">
        <f t="shared" si="147"/>
        <v>3.6082248300317588E-16</v>
      </c>
    </row>
    <row r="751" spans="4:34" ht="13.9" customHeight="1">
      <c r="D751" s="8"/>
      <c r="E751" s="9"/>
      <c r="F751" s="18"/>
      <c r="G751" s="18"/>
      <c r="H751" s="18"/>
      <c r="J751" s="40"/>
      <c r="K751" s="40"/>
      <c r="L751" s="40"/>
      <c r="M751" s="38"/>
      <c r="O751" s="12">
        <f t="shared" si="137"/>
        <v>61.5</v>
      </c>
      <c r="P751" s="13">
        <v>738</v>
      </c>
      <c r="Q751" s="21">
        <v>2.5828244589727323E-2</v>
      </c>
      <c r="R751" s="18">
        <f t="shared" si="138"/>
        <v>2.5929396475224298E-2</v>
      </c>
      <c r="S751" s="21">
        <v>3.5900879458617085E-2</v>
      </c>
      <c r="T751" s="18">
        <f t="shared" si="139"/>
        <v>4.2918479364951079E-2</v>
      </c>
      <c r="U751" s="23">
        <v>3.7866810112184845E-2</v>
      </c>
      <c r="V751" s="23">
        <f t="shared" si="140"/>
        <v>4.2917561417975314E-2</v>
      </c>
      <c r="W751" s="22">
        <f t="shared" si="143"/>
        <v>3.5079136774753827E-3</v>
      </c>
      <c r="X751" s="23">
        <v>3.7472842889892499E-2</v>
      </c>
      <c r="Y751" s="23">
        <f t="shared" si="144"/>
        <v>4.2917769977115716E-2</v>
      </c>
      <c r="Z751" s="22">
        <f t="shared" si="145"/>
        <v>3.5079296637665625E-3</v>
      </c>
      <c r="AA751" s="33"/>
      <c r="AB751" s="50">
        <f t="shared" si="141"/>
        <v>738</v>
      </c>
      <c r="AC751" s="48">
        <f t="shared" si="136"/>
        <v>0.20840535310033326</v>
      </c>
      <c r="AE751" s="48">
        <f t="shared" si="142"/>
        <v>0.99786939810670605</v>
      </c>
      <c r="AF751" s="48">
        <f t="shared" si="146"/>
        <v>0.20840535310033367</v>
      </c>
      <c r="AH751" s="48">
        <f t="shared" si="147"/>
        <v>4.163336342344337E-16</v>
      </c>
    </row>
    <row r="752" spans="4:34" ht="13.9" customHeight="1">
      <c r="D752" s="8"/>
      <c r="E752" s="9"/>
      <c r="F752" s="18"/>
      <c r="G752" s="18"/>
      <c r="H752" s="18"/>
      <c r="J752" s="40"/>
      <c r="K752" s="40"/>
      <c r="L752" s="40"/>
      <c r="M752" s="38"/>
      <c r="O752" s="12">
        <f t="shared" si="137"/>
        <v>61.583333333333336</v>
      </c>
      <c r="P752" s="13">
        <v>739</v>
      </c>
      <c r="Q752" s="21">
        <v>2.5828381459694238E-2</v>
      </c>
      <c r="R752" s="18">
        <f t="shared" si="138"/>
        <v>2.5933905044703831E-2</v>
      </c>
      <c r="S752" s="21">
        <v>3.5910343556957214E-2</v>
      </c>
      <c r="T752" s="18">
        <f t="shared" si="139"/>
        <v>4.2919374691690715E-2</v>
      </c>
      <c r="U752" s="23">
        <v>3.7873628133711756E-2</v>
      </c>
      <c r="V752" s="23">
        <f t="shared" si="140"/>
        <v>4.291841746219105E-2</v>
      </c>
      <c r="W752" s="22">
        <f t="shared" si="143"/>
        <v>3.507983039499285E-3</v>
      </c>
      <c r="X752" s="23">
        <v>3.7480191615089753E-2</v>
      </c>
      <c r="Y752" s="23">
        <f t="shared" si="144"/>
        <v>4.2918634997179961E-2</v>
      </c>
      <c r="Z752" s="22">
        <f t="shared" si="145"/>
        <v>3.5079997626765724E-3</v>
      </c>
      <c r="AA752" s="33"/>
      <c r="AB752" s="50">
        <f t="shared" si="141"/>
        <v>739</v>
      </c>
      <c r="AC752" s="48">
        <f t="shared" si="136"/>
        <v>0.2079612474573273</v>
      </c>
      <c r="AE752" s="48">
        <f t="shared" si="142"/>
        <v>0.99786902957914114</v>
      </c>
      <c r="AF752" s="48">
        <f t="shared" si="146"/>
        <v>0.20796124745732822</v>
      </c>
      <c r="AH752" s="48">
        <f t="shared" si="147"/>
        <v>9.1593399531575415E-16</v>
      </c>
    </row>
    <row r="753" spans="4:34" ht="13.9" customHeight="1">
      <c r="D753" s="8"/>
      <c r="E753" s="9"/>
      <c r="F753" s="18"/>
      <c r="G753" s="18"/>
      <c r="H753" s="18"/>
      <c r="J753" s="40"/>
      <c r="K753" s="40"/>
      <c r="L753" s="40"/>
      <c r="M753" s="38"/>
      <c r="O753" s="12">
        <f t="shared" si="137"/>
        <v>61.666666666666664</v>
      </c>
      <c r="P753" s="13">
        <v>740</v>
      </c>
      <c r="Q753" s="21">
        <v>2.5828524051809465E-2</v>
      </c>
      <c r="R753" s="18">
        <f t="shared" si="138"/>
        <v>2.5938375829104743E-2</v>
      </c>
      <c r="S753" s="21">
        <v>3.5919783364549041E-2</v>
      </c>
      <c r="T753" s="18">
        <f t="shared" si="139"/>
        <v>4.2920260179577285E-2</v>
      </c>
      <c r="U753" s="23">
        <v>3.7880428923990239E-2</v>
      </c>
      <c r="V753" s="23">
        <f t="shared" si="140"/>
        <v>4.2919264612240715E-2</v>
      </c>
      <c r="W753" s="22">
        <f t="shared" si="143"/>
        <v>3.5080516808212447E-3</v>
      </c>
      <c r="X753" s="23">
        <v>3.7487521693569059E-2</v>
      </c>
      <c r="Y753" s="23">
        <f t="shared" si="144"/>
        <v>4.2919490912346925E-2</v>
      </c>
      <c r="Z753" s="22">
        <f t="shared" si="145"/>
        <v>3.5080691237079353E-3</v>
      </c>
      <c r="AA753" s="33"/>
      <c r="AB753" s="50">
        <f t="shared" si="141"/>
        <v>740</v>
      </c>
      <c r="AC753" s="48">
        <f t="shared" si="136"/>
        <v>0.2075180121935698</v>
      </c>
      <c r="AE753" s="48">
        <f t="shared" si="142"/>
        <v>0.99786866414210751</v>
      </c>
      <c r="AF753" s="48">
        <f t="shared" si="146"/>
        <v>0.20751801219357036</v>
      </c>
      <c r="AH753" s="48">
        <f t="shared" si="147"/>
        <v>5.5511151231257827E-16</v>
      </c>
    </row>
    <row r="754" spans="4:34" ht="13.9" customHeight="1">
      <c r="D754" s="8"/>
      <c r="E754" s="9"/>
      <c r="F754" s="18"/>
      <c r="G754" s="18"/>
      <c r="H754" s="18"/>
      <c r="J754" s="40"/>
      <c r="K754" s="40"/>
      <c r="L754" s="40"/>
      <c r="M754" s="38"/>
      <c r="O754" s="12">
        <f t="shared" si="137"/>
        <v>61.75</v>
      </c>
      <c r="P754" s="13">
        <v>741</v>
      </c>
      <c r="Q754" s="21">
        <v>2.5828672291895671E-2</v>
      </c>
      <c r="R754" s="18">
        <f t="shared" si="138"/>
        <v>2.5942809148504553E-2</v>
      </c>
      <c r="S754" s="21">
        <v>3.5929198966231368E-2</v>
      </c>
      <c r="T754" s="18">
        <f t="shared" si="139"/>
        <v>4.2921135937048716E-2</v>
      </c>
      <c r="U754" s="23">
        <v>3.7887212540678838E-2</v>
      </c>
      <c r="V754" s="23">
        <f t="shared" si="140"/>
        <v>4.2920102960194217E-2</v>
      </c>
      <c r="W754" s="22">
        <f t="shared" si="143"/>
        <v>3.5081196089197242E-3</v>
      </c>
      <c r="X754" s="23">
        <v>3.7494833188413956E-2</v>
      </c>
      <c r="Y754" s="23">
        <f t="shared" si="144"/>
        <v>4.2920337818777909E-2</v>
      </c>
      <c r="Z754" s="22">
        <f t="shared" si="145"/>
        <v>3.5081377546173353E-3</v>
      </c>
      <c r="AA754" s="33"/>
      <c r="AB754" s="50">
        <f t="shared" si="141"/>
        <v>741</v>
      </c>
      <c r="AC754" s="48">
        <f t="shared" si="136"/>
        <v>0.20707564641416285</v>
      </c>
      <c r="AE754" s="48">
        <f t="shared" si="142"/>
        <v>0.99786830176941921</v>
      </c>
      <c r="AF754" s="48">
        <f t="shared" si="146"/>
        <v>0.20707564641416368</v>
      </c>
      <c r="AH754" s="48">
        <f t="shared" si="147"/>
        <v>8.3266726846886741E-16</v>
      </c>
    </row>
    <row r="755" spans="4:34" ht="13.9" customHeight="1">
      <c r="D755" s="8"/>
      <c r="E755" s="9"/>
      <c r="F755" s="18"/>
      <c r="G755" s="18"/>
      <c r="H755" s="18"/>
      <c r="J755" s="40"/>
      <c r="K755" s="40"/>
      <c r="L755" s="40"/>
      <c r="M755" s="38"/>
      <c r="O755" s="12">
        <f t="shared" si="137"/>
        <v>61.833333333333336</v>
      </c>
      <c r="P755" s="13">
        <v>742</v>
      </c>
      <c r="Q755" s="21">
        <v>2.5828826106607305E-2</v>
      </c>
      <c r="R755" s="18">
        <f t="shared" si="138"/>
        <v>2.5947205319467148E-2</v>
      </c>
      <c r="S755" s="21">
        <v>3.5938590446531915E-2</v>
      </c>
      <c r="T755" s="18">
        <f t="shared" si="139"/>
        <v>4.2922002071610121E-2</v>
      </c>
      <c r="U755" s="23">
        <v>3.7893979041249581E-2</v>
      </c>
      <c r="V755" s="23">
        <f t="shared" si="140"/>
        <v>4.2920932597979577E-2</v>
      </c>
      <c r="W755" s="22">
        <f t="shared" si="143"/>
        <v>3.5081868311788167E-3</v>
      </c>
      <c r="X755" s="23">
        <v>3.7502126162497929E-2</v>
      </c>
      <c r="Y755" s="23">
        <f t="shared" si="144"/>
        <v>4.2921175811291956E-2</v>
      </c>
      <c r="Z755" s="22">
        <f t="shared" si="145"/>
        <v>3.5082056631172698E-3</v>
      </c>
      <c r="AA755" s="33"/>
      <c r="AB755" s="50">
        <f t="shared" si="141"/>
        <v>742</v>
      </c>
      <c r="AC755" s="48">
        <f t="shared" si="136"/>
        <v>0.20663414921571666</v>
      </c>
      <c r="AE755" s="48">
        <f t="shared" si="142"/>
        <v>0.99786794243508925</v>
      </c>
      <c r="AF755" s="48">
        <f t="shared" si="146"/>
        <v>0.20663414921571757</v>
      </c>
      <c r="AH755" s="48">
        <f t="shared" si="147"/>
        <v>9.1593399531575415E-16</v>
      </c>
    </row>
    <row r="756" spans="4:34" ht="13.9" customHeight="1">
      <c r="D756" s="8"/>
      <c r="E756" s="9"/>
      <c r="F756" s="18"/>
      <c r="G756" s="18"/>
      <c r="H756" s="18"/>
      <c r="J756" s="40"/>
      <c r="K756" s="40"/>
      <c r="L756" s="40"/>
      <c r="M756" s="38"/>
      <c r="O756" s="12">
        <f t="shared" si="137"/>
        <v>61.916666666666664</v>
      </c>
      <c r="P756" s="13">
        <v>743</v>
      </c>
      <c r="Q756" s="21">
        <v>2.5828985423420381E-2</v>
      </c>
      <c r="R756" s="18">
        <f t="shared" si="138"/>
        <v>2.5951564656038872E-2</v>
      </c>
      <c r="S756" s="21">
        <v>3.5947957889667981E-2</v>
      </c>
      <c r="T756" s="18">
        <f t="shared" si="139"/>
        <v>4.2922858688549503E-2</v>
      </c>
      <c r="U756" s="23">
        <v>3.7900728482988644E-2</v>
      </c>
      <c r="V756" s="23">
        <f t="shared" si="140"/>
        <v>4.292175361606132E-2</v>
      </c>
      <c r="W756" s="22">
        <f t="shared" si="143"/>
        <v>3.5082533549712913E-3</v>
      </c>
      <c r="X756" s="23">
        <v>3.7509400678483296E-2</v>
      </c>
      <c r="Y756" s="23">
        <f t="shared" si="144"/>
        <v>4.2922004983670048E-2</v>
      </c>
      <c r="Z756" s="22">
        <f t="shared" si="145"/>
        <v>3.5082728568125443E-3</v>
      </c>
      <c r="AA756" s="33"/>
      <c r="AB756" s="50">
        <f t="shared" si="141"/>
        <v>743</v>
      </c>
      <c r="AC756" s="48">
        <f t="shared" si="136"/>
        <v>0.20619351968648791</v>
      </c>
      <c r="AE756" s="48">
        <f t="shared" si="142"/>
        <v>0.99786758611341675</v>
      </c>
      <c r="AF756" s="48">
        <f t="shared" si="146"/>
        <v>0.20619351968648766</v>
      </c>
      <c r="AH756" s="48">
        <f t="shared" si="147"/>
        <v>-2.4980018054066022E-16</v>
      </c>
    </row>
    <row r="757" spans="4:34" ht="13.9" customHeight="1">
      <c r="D757" s="8"/>
      <c r="E757" s="9"/>
      <c r="F757" s="18"/>
      <c r="G757" s="18"/>
      <c r="H757" s="18"/>
      <c r="J757" s="40"/>
      <c r="K757" s="40"/>
      <c r="L757" s="40"/>
      <c r="M757" s="38"/>
      <c r="O757" s="12">
        <f t="shared" si="137"/>
        <v>62</v>
      </c>
      <c r="P757" s="13">
        <v>744</v>
      </c>
      <c r="Q757" s="21">
        <v>2.5829150170623816E-2</v>
      </c>
      <c r="R757" s="18">
        <f t="shared" si="138"/>
        <v>2.5955887470353378E-2</v>
      </c>
      <c r="S757" s="21">
        <v>3.5957301379546447E-2</v>
      </c>
      <c r="T757" s="18">
        <f t="shared" si="139"/>
        <v>4.2923705892987662E-2</v>
      </c>
      <c r="U757" s="23">
        <v>3.7907460922995684E-2</v>
      </c>
      <c r="V757" s="23">
        <f t="shared" si="140"/>
        <v>4.2922566104394599E-2</v>
      </c>
      <c r="W757" s="22">
        <f t="shared" si="143"/>
        <v>3.5083191875524555E-3</v>
      </c>
      <c r="X757" s="23">
        <v>3.7516656798821657E-2</v>
      </c>
      <c r="Y757" s="23">
        <f t="shared" si="144"/>
        <v>4.2922825429016154E-2</v>
      </c>
      <c r="Z757" s="22">
        <f t="shared" si="145"/>
        <v>3.5083393432240317E-3</v>
      </c>
      <c r="AA757" s="33"/>
      <c r="AB757" s="50">
        <f t="shared" si="141"/>
        <v>744</v>
      </c>
      <c r="AC757" s="48">
        <f t="shared" si="136"/>
        <v>0.20575375690649811</v>
      </c>
      <c r="AE757" s="48">
        <f t="shared" si="142"/>
        <v>0.99786723277890588</v>
      </c>
      <c r="AF757" s="48">
        <f t="shared" si="146"/>
        <v>0.2057537569064983</v>
      </c>
      <c r="AH757" s="48">
        <f t="shared" si="147"/>
        <v>0</v>
      </c>
    </row>
    <row r="758" spans="4:34" ht="13.9" customHeight="1">
      <c r="D758" s="8"/>
      <c r="E758" s="9"/>
      <c r="F758" s="18"/>
      <c r="G758" s="18"/>
      <c r="H758" s="18"/>
      <c r="J758" s="40"/>
      <c r="K758" s="40"/>
      <c r="L758" s="40"/>
      <c r="M758" s="38"/>
      <c r="O758" s="12">
        <f t="shared" si="137"/>
        <v>62.083333333333336</v>
      </c>
      <c r="P758" s="13">
        <v>745</v>
      </c>
      <c r="Q758" s="21">
        <v>2.5829320277310996E-2</v>
      </c>
      <c r="R758" s="18">
        <f t="shared" si="138"/>
        <v>2.5960174070668973E-2</v>
      </c>
      <c r="S758" s="21">
        <v>3.5966620999764665E-2</v>
      </c>
      <c r="T758" s="18">
        <f t="shared" si="139"/>
        <v>4.2924543787962843E-2</v>
      </c>
      <c r="U758" s="23">
        <v>3.7914176418184731E-2</v>
      </c>
      <c r="V758" s="23">
        <f t="shared" si="140"/>
        <v>4.2923370150963036E-2</v>
      </c>
      <c r="W758" s="22">
        <f t="shared" si="143"/>
        <v>3.5083843361369826E-3</v>
      </c>
      <c r="X758" s="23">
        <v>3.7523894585754336E-2</v>
      </c>
      <c r="Y758" s="23">
        <f t="shared" si="144"/>
        <v>4.2923637239497214E-2</v>
      </c>
      <c r="Z758" s="22">
        <f t="shared" si="145"/>
        <v>3.5084051298188701E-3</v>
      </c>
      <c r="AA758" s="33"/>
      <c r="AB758" s="50">
        <f t="shared" si="141"/>
        <v>745</v>
      </c>
      <c r="AC758" s="48">
        <f t="shared" si="136"/>
        <v>0.20531485994765394</v>
      </c>
      <c r="AE758" s="48">
        <f t="shared" si="142"/>
        <v>0.99786688240621579</v>
      </c>
      <c r="AF758" s="48">
        <f t="shared" si="146"/>
        <v>0.20531485994765386</v>
      </c>
      <c r="AH758" s="48">
        <f t="shared" si="147"/>
        <v>0</v>
      </c>
    </row>
    <row r="759" spans="4:34" ht="13.9" customHeight="1">
      <c r="D759" s="8"/>
      <c r="E759" s="9"/>
      <c r="F759" s="18"/>
      <c r="G759" s="18"/>
      <c r="H759" s="18"/>
      <c r="J759" s="40"/>
      <c r="K759" s="40"/>
      <c r="L759" s="40"/>
      <c r="M759" s="38"/>
      <c r="O759" s="12">
        <f t="shared" si="137"/>
        <v>62.166666666666664</v>
      </c>
      <c r="P759" s="13">
        <v>746</v>
      </c>
      <c r="Q759" s="21">
        <v>2.582949567336934E-2</v>
      </c>
      <c r="R759" s="18">
        <f t="shared" si="138"/>
        <v>2.5964424763875948E-2</v>
      </c>
      <c r="S759" s="21">
        <v>3.5975916833610455E-2</v>
      </c>
      <c r="T759" s="18">
        <f t="shared" si="139"/>
        <v>4.2925372476421586E-2</v>
      </c>
      <c r="U759" s="23">
        <v>3.7920875025282408E-2</v>
      </c>
      <c r="V759" s="23">
        <f t="shared" si="140"/>
        <v>4.2924165844451689E-2</v>
      </c>
      <c r="W759" s="22">
        <f t="shared" si="143"/>
        <v>3.5084488077807841E-3</v>
      </c>
      <c r="X759" s="23">
        <v>3.7531114101312379E-2</v>
      </c>
      <c r="Y759" s="23">
        <f t="shared" si="144"/>
        <v>4.2924440505692996E-2</v>
      </c>
      <c r="Z759" s="22">
        <f t="shared" si="145"/>
        <v>3.5084702239891463E-3</v>
      </c>
      <c r="AA759" s="33"/>
      <c r="AB759" s="50">
        <f t="shared" si="141"/>
        <v>746</v>
      </c>
      <c r="AC759" s="48">
        <f t="shared" si="136"/>
        <v>0.20487682787388128</v>
      </c>
      <c r="AE759" s="48">
        <f t="shared" si="142"/>
        <v>0.99786653497032185</v>
      </c>
      <c r="AF759" s="48">
        <f t="shared" si="146"/>
        <v>0.20487682787388228</v>
      </c>
      <c r="AH759" s="48">
        <f t="shared" si="147"/>
        <v>9.9920072216264089E-16</v>
      </c>
    </row>
    <row r="760" spans="4:34" ht="13.9" customHeight="1">
      <c r="D760" s="8"/>
      <c r="E760" s="9"/>
      <c r="F760" s="18"/>
      <c r="G760" s="18"/>
      <c r="H760" s="18"/>
      <c r="J760" s="40"/>
      <c r="K760" s="40"/>
      <c r="L760" s="40"/>
      <c r="M760" s="38"/>
      <c r="O760" s="12">
        <f t="shared" si="137"/>
        <v>62.25</v>
      </c>
      <c r="P760" s="13">
        <v>747</v>
      </c>
      <c r="Q760" s="21">
        <v>2.5829676289472969E-2</v>
      </c>
      <c r="R760" s="18">
        <f t="shared" si="138"/>
        <v>2.5968639852856468E-2</v>
      </c>
      <c r="S760" s="21">
        <v>3.5985188964063441E-2</v>
      </c>
      <c r="T760" s="18">
        <f t="shared" si="139"/>
        <v>4.2926192059401513E-2</v>
      </c>
      <c r="U760" s="23">
        <v>3.7927556800830375E-2</v>
      </c>
      <c r="V760" s="23">
        <f t="shared" si="140"/>
        <v>4.2924953271308963E-2</v>
      </c>
      <c r="W760" s="22">
        <f t="shared" si="143"/>
        <v>3.5085126095968366E-3</v>
      </c>
      <c r="X760" s="23">
        <v>3.7538315407316114E-2</v>
      </c>
      <c r="Y760" s="23">
        <f t="shared" si="144"/>
        <v>4.2925235317851973E-2</v>
      </c>
      <c r="Z760" s="22">
        <f t="shared" si="145"/>
        <v>3.5085346329990497E-3</v>
      </c>
      <c r="AA760" s="33"/>
      <c r="AB760" s="50">
        <f t="shared" si="141"/>
        <v>747</v>
      </c>
      <c r="AC760" s="48">
        <f t="shared" si="136"/>
        <v>0.20443965974123465</v>
      </c>
      <c r="AE760" s="48">
        <f t="shared" si="142"/>
        <v>0.99786619044630998</v>
      </c>
      <c r="AF760" s="48">
        <f t="shared" si="146"/>
        <v>0.20443965974123529</v>
      </c>
      <c r="AH760" s="48">
        <f t="shared" si="147"/>
        <v>6.3837823915946501E-16</v>
      </c>
    </row>
    <row r="761" spans="4:34" ht="13.9" customHeight="1">
      <c r="D761" s="8"/>
      <c r="E761" s="9"/>
      <c r="F761" s="18"/>
      <c r="G761" s="18"/>
      <c r="H761" s="18"/>
      <c r="J761" s="40"/>
      <c r="K761" s="40"/>
      <c r="L761" s="40"/>
      <c r="M761" s="38"/>
      <c r="O761" s="12">
        <f t="shared" si="137"/>
        <v>62.333333333333336</v>
      </c>
      <c r="P761" s="13">
        <v>748</v>
      </c>
      <c r="Q761" s="21">
        <v>2.5829862057072495E-2</v>
      </c>
      <c r="R761" s="18">
        <f t="shared" si="138"/>
        <v>2.5972819638550471E-2</v>
      </c>
      <c r="S761" s="21">
        <v>3.5994437473795271E-2</v>
      </c>
      <c r="T761" s="18">
        <f t="shared" si="139"/>
        <v>4.2927002636913292E-2</v>
      </c>
      <c r="U761" s="23">
        <v>3.7934221801183332E-2</v>
      </c>
      <c r="V761" s="23">
        <f t="shared" si="140"/>
        <v>4.2925732517133941E-2</v>
      </c>
      <c r="W761" s="22">
        <f t="shared" si="143"/>
        <v>3.5085757485180391E-3</v>
      </c>
      <c r="X761" s="23">
        <v>3.7545498565376034E-2</v>
      </c>
      <c r="Y761" s="23">
        <f t="shared" si="144"/>
        <v>4.2926021764914113E-2</v>
      </c>
      <c r="Z761" s="22">
        <f t="shared" si="145"/>
        <v>3.5085983640865681E-3</v>
      </c>
      <c r="AA761" s="33"/>
      <c r="AB761" s="50">
        <f t="shared" si="141"/>
        <v>748</v>
      </c>
      <c r="AC761" s="48">
        <f t="shared" si="136"/>
        <v>0.20400335459803218</v>
      </c>
      <c r="AE761" s="48">
        <f t="shared" si="142"/>
        <v>0.99786584880959217</v>
      </c>
      <c r="AF761" s="48">
        <f t="shared" si="146"/>
        <v>0.20400335459803196</v>
      </c>
      <c r="AH761" s="48">
        <f t="shared" si="147"/>
        <v>-2.2204460492503131E-16</v>
      </c>
    </row>
    <row r="762" spans="4:34" ht="13.9" customHeight="1">
      <c r="D762" s="8"/>
      <c r="E762" s="9"/>
      <c r="F762" s="18"/>
      <c r="G762" s="18"/>
      <c r="H762" s="18"/>
      <c r="J762" s="40"/>
      <c r="K762" s="40"/>
      <c r="L762" s="40"/>
      <c r="M762" s="38"/>
      <c r="O762" s="12">
        <f t="shared" si="137"/>
        <v>62.416666666666664</v>
      </c>
      <c r="P762" s="13">
        <v>749</v>
      </c>
      <c r="Q762" s="21">
        <v>2.5830052908387025E-2</v>
      </c>
      <c r="R762" s="18">
        <f t="shared" si="138"/>
        <v>2.5976964420001636E-2</v>
      </c>
      <c r="S762" s="21">
        <v>3.6003662445169615E-2</v>
      </c>
      <c r="T762" s="18">
        <f t="shared" si="139"/>
        <v>4.2927804308139805E-2</v>
      </c>
      <c r="U762" s="23">
        <v>3.7940870082509681E-2</v>
      </c>
      <c r="V762" s="23">
        <f t="shared" si="140"/>
        <v>4.2926503667899629E-2</v>
      </c>
      <c r="W762" s="22">
        <f t="shared" si="143"/>
        <v>3.5086382314095665E-3</v>
      </c>
      <c r="X762" s="23">
        <v>3.7552663636892136E-2</v>
      </c>
      <c r="Y762" s="23">
        <f t="shared" si="144"/>
        <v>4.2926799935138371E-2</v>
      </c>
      <c r="Z762" s="22">
        <f t="shared" si="145"/>
        <v>3.5086614243848846E-3</v>
      </c>
      <c r="AA762" s="33"/>
      <c r="AB762" s="50">
        <f t="shared" si="141"/>
        <v>749</v>
      </c>
      <c r="AC762" s="48">
        <f t="shared" si="136"/>
        <v>0.2035679114849667</v>
      </c>
      <c r="AE762" s="48">
        <f t="shared" si="142"/>
        <v>0.99786551003573876</v>
      </c>
      <c r="AF762" s="48">
        <f t="shared" si="146"/>
        <v>0.20356791148496683</v>
      </c>
      <c r="AH762" s="48">
        <f t="shared" si="147"/>
        <v>0</v>
      </c>
    </row>
    <row r="763" spans="4:34" ht="13.9" customHeight="1">
      <c r="D763" s="8"/>
      <c r="E763" s="9"/>
      <c r="F763" s="18"/>
      <c r="G763" s="18"/>
      <c r="H763" s="18"/>
      <c r="J763" s="40"/>
      <c r="K763" s="40"/>
      <c r="L763" s="40"/>
      <c r="M763" s="38"/>
      <c r="O763" s="12">
        <f t="shared" si="137"/>
        <v>62.5</v>
      </c>
      <c r="P763" s="13">
        <v>750</v>
      </c>
      <c r="Q763" s="21">
        <v>2.583024877639617E-2</v>
      </c>
      <c r="R763" s="18">
        <f t="shared" si="138"/>
        <v>2.5981074492126277E-2</v>
      </c>
      <c r="S763" s="21">
        <v>3.6012863960243724E-2</v>
      </c>
      <c r="T763" s="18">
        <f t="shared" si="139"/>
        <v>4.2928597170915461E-2</v>
      </c>
      <c r="U763" s="23">
        <v>3.7947501700792641E-2</v>
      </c>
      <c r="V763" s="23">
        <f t="shared" si="140"/>
        <v>4.2927266807101017E-2</v>
      </c>
      <c r="W763" s="22">
        <f t="shared" si="143"/>
        <v>3.508700065166348E-3</v>
      </c>
      <c r="X763" s="23">
        <v>3.7559810683054806E-2</v>
      </c>
      <c r="Y763" s="23">
        <f t="shared" si="144"/>
        <v>4.2927569915638175E-2</v>
      </c>
      <c r="Z763" s="22">
        <f t="shared" si="145"/>
        <v>3.5087238209718929E-3</v>
      </c>
      <c r="AA763" s="33"/>
      <c r="AB763" s="50">
        <f t="shared" si="141"/>
        <v>750</v>
      </c>
      <c r="AC763" s="48">
        <f t="shared" si="136"/>
        <v>0.2031333294352165</v>
      </c>
      <c r="AE763" s="48">
        <f t="shared" si="142"/>
        <v>0.99786517410047415</v>
      </c>
      <c r="AF763" s="48">
        <f t="shared" si="146"/>
        <v>0.20313332943521634</v>
      </c>
      <c r="AH763" s="48">
        <f t="shared" si="147"/>
        <v>0</v>
      </c>
    </row>
    <row r="764" spans="4:34" ht="13.9" customHeight="1">
      <c r="D764" s="8"/>
      <c r="E764" s="9"/>
      <c r="F764" s="18"/>
      <c r="G764" s="18"/>
      <c r="H764" s="18"/>
      <c r="J764" s="40"/>
      <c r="K764" s="40"/>
      <c r="L764" s="40"/>
      <c r="M764" s="38"/>
      <c r="O764" s="12">
        <f t="shared" si="137"/>
        <v>62.583333333333336</v>
      </c>
      <c r="P764" s="13">
        <v>751</v>
      </c>
      <c r="Q764" s="21">
        <v>2.5830449594830052E-2</v>
      </c>
      <c r="R764" s="18">
        <f t="shared" si="138"/>
        <v>2.5985150149001823E-2</v>
      </c>
      <c r="S764" s="21">
        <v>3.6022042100768203E-2</v>
      </c>
      <c r="T764" s="18">
        <f t="shared" si="139"/>
        <v>4.2929381322338811E-2</v>
      </c>
      <c r="U764" s="23">
        <v>3.7954116711828245E-2</v>
      </c>
      <c r="V764" s="23">
        <f t="shared" si="140"/>
        <v>4.2928022018183132E-2</v>
      </c>
      <c r="W764" s="22">
        <f t="shared" si="143"/>
        <v>3.5087612564845827E-3</v>
      </c>
      <c r="X764" s="23">
        <v>3.756693976484482E-2</v>
      </c>
      <c r="Y764" s="23">
        <f t="shared" si="144"/>
        <v>4.2928331792719598E-2</v>
      </c>
      <c r="Z764" s="22">
        <f t="shared" si="145"/>
        <v>3.5087855608344487E-3</v>
      </c>
      <c r="AA764" s="33"/>
      <c r="AB764" s="50">
        <f t="shared" si="141"/>
        <v>751</v>
      </c>
      <c r="AC764" s="48">
        <f t="shared" si="136"/>
        <v>0.20269960747458046</v>
      </c>
      <c r="AE764" s="48">
        <f t="shared" si="142"/>
        <v>0.99786484097985861</v>
      </c>
      <c r="AF764" s="48">
        <f t="shared" si="146"/>
        <v>0.20269960747458138</v>
      </c>
      <c r="AH764" s="48">
        <f t="shared" si="147"/>
        <v>9.1593399531575415E-16</v>
      </c>
    </row>
    <row r="765" spans="4:34" ht="13.9" customHeight="1">
      <c r="D765" s="8"/>
      <c r="E765" s="9"/>
      <c r="F765" s="18"/>
      <c r="G765" s="18"/>
      <c r="H765" s="18"/>
      <c r="J765" s="40"/>
      <c r="K765" s="40"/>
      <c r="L765" s="40"/>
      <c r="M765" s="38"/>
      <c r="O765" s="12">
        <f t="shared" si="137"/>
        <v>62.666666666666664</v>
      </c>
      <c r="P765" s="13">
        <v>752</v>
      </c>
      <c r="Q765" s="21">
        <v>2.5830655298162419E-2</v>
      </c>
      <c r="R765" s="18">
        <f t="shared" si="138"/>
        <v>2.5989191680572787E-2</v>
      </c>
      <c r="S765" s="21">
        <v>3.6031196948188349E-2</v>
      </c>
      <c r="T765" s="18">
        <f t="shared" si="139"/>
        <v>4.2930156858127511E-2</v>
      </c>
      <c r="U765" s="23">
        <v>3.7960715171227344E-2</v>
      </c>
      <c r="V765" s="23">
        <f t="shared" si="140"/>
        <v>4.2928769383824283E-2</v>
      </c>
      <c r="W765" s="22">
        <f t="shared" si="143"/>
        <v>3.5088218120564729E-3</v>
      </c>
      <c r="X765" s="23">
        <v>3.7574050943033122E-2</v>
      </c>
      <c r="Y765" s="23">
        <f t="shared" si="144"/>
        <v>4.2929085651830068E-2</v>
      </c>
      <c r="Z765" s="22">
        <f t="shared" si="145"/>
        <v>3.5088466508941263E-3</v>
      </c>
      <c r="AA765" s="33"/>
      <c r="AB765" s="50">
        <f t="shared" si="141"/>
        <v>752</v>
      </c>
      <c r="AC765" s="48">
        <f t="shared" si="136"/>
        <v>0.20226674462157493</v>
      </c>
      <c r="AE765" s="48">
        <f t="shared" si="142"/>
        <v>0.99786451065002035</v>
      </c>
      <c r="AF765" s="48">
        <f t="shared" si="146"/>
        <v>0.20226674462157435</v>
      </c>
      <c r="AH765" s="48">
        <f t="shared" si="147"/>
        <v>-5.8286708792820718E-16</v>
      </c>
    </row>
    <row r="766" spans="4:34" ht="13.9" customHeight="1">
      <c r="D766" s="8"/>
      <c r="E766" s="9"/>
      <c r="F766" s="18"/>
      <c r="G766" s="18"/>
      <c r="H766" s="18"/>
      <c r="J766" s="40"/>
      <c r="K766" s="40"/>
      <c r="L766" s="40"/>
      <c r="M766" s="38"/>
      <c r="O766" s="12">
        <f t="shared" si="137"/>
        <v>62.75</v>
      </c>
      <c r="P766" s="13">
        <v>753</v>
      </c>
      <c r="Q766" s="21">
        <v>2.5830865821601323E-2</v>
      </c>
      <c r="R766" s="18">
        <f t="shared" si="138"/>
        <v>2.5993199375412335E-2</v>
      </c>
      <c r="S766" s="21">
        <v>3.6040328583644365E-2</v>
      </c>
      <c r="T766" s="18">
        <f t="shared" si="139"/>
        <v>4.2930923872740223E-2</v>
      </c>
      <c r="U766" s="23">
        <v>3.7967297134414491E-2</v>
      </c>
      <c r="V766" s="23">
        <f t="shared" si="140"/>
        <v>4.2929508985134035E-2</v>
      </c>
      <c r="W766" s="22">
        <f t="shared" si="143"/>
        <v>3.5088817385129367E-3</v>
      </c>
      <c r="X766" s="23">
        <v>3.7581144278181489E-2</v>
      </c>
      <c r="Y766" s="23">
        <f t="shared" si="144"/>
        <v>4.2929831577325883E-2</v>
      </c>
      <c r="Z766" s="22">
        <f t="shared" si="145"/>
        <v>3.5089070980034442E-3</v>
      </c>
      <c r="AA766" s="33"/>
      <c r="AB766" s="50">
        <f t="shared" si="141"/>
        <v>753</v>
      </c>
      <c r="AC766" s="48">
        <f t="shared" si="136"/>
        <v>0.20183473988756021</v>
      </c>
      <c r="AE766" s="48">
        <f t="shared" si="142"/>
        <v>0.99786418308742375</v>
      </c>
      <c r="AF766" s="48">
        <f t="shared" si="146"/>
        <v>0.20183473988755984</v>
      </c>
      <c r="AH766" s="48">
        <f t="shared" si="147"/>
        <v>-3.6082248300317588E-16</v>
      </c>
    </row>
    <row r="767" spans="4:34" ht="13.9" customHeight="1">
      <c r="D767" s="8"/>
      <c r="E767" s="9"/>
      <c r="F767" s="18"/>
      <c r="G767" s="18"/>
      <c r="H767" s="18"/>
      <c r="J767" s="40"/>
      <c r="K767" s="40"/>
      <c r="L767" s="40"/>
      <c r="M767" s="38"/>
      <c r="O767" s="12">
        <f t="shared" si="137"/>
        <v>62.833333333333336</v>
      </c>
      <c r="P767" s="13">
        <v>754</v>
      </c>
      <c r="Q767" s="21">
        <v>2.5831081101081343E-2</v>
      </c>
      <c r="R767" s="18">
        <f t="shared" si="138"/>
        <v>2.5997173519626715E-2</v>
      </c>
      <c r="S767" s="21">
        <v>3.604943708797137E-2</v>
      </c>
      <c r="T767" s="18">
        <f t="shared" si="139"/>
        <v>4.2931682460514597E-2</v>
      </c>
      <c r="U767" s="23">
        <v>3.7973862656628388E-2</v>
      </c>
      <c r="V767" s="23">
        <f t="shared" si="140"/>
        <v>4.2930240903728878E-2</v>
      </c>
      <c r="W767" s="22">
        <f t="shared" si="143"/>
        <v>3.5089410423585488E-3</v>
      </c>
      <c r="X767" s="23">
        <v>3.7588219830642311E-2</v>
      </c>
      <c r="Y767" s="23">
        <f t="shared" si="144"/>
        <v>4.2930569652660289E-2</v>
      </c>
      <c r="Z767" s="22">
        <f t="shared" si="145"/>
        <v>3.5089669089281017E-3</v>
      </c>
      <c r="AA767" s="33"/>
      <c r="AB767" s="50">
        <f t="shared" si="141"/>
        <v>754</v>
      </c>
      <c r="AC767" s="48">
        <f t="shared" si="136"/>
        <v>0.2014035922768484</v>
      </c>
      <c r="AE767" s="48">
        <f t="shared" si="142"/>
        <v>0.99786385826864477</v>
      </c>
      <c r="AF767" s="48">
        <f t="shared" si="146"/>
        <v>0.20140359227684879</v>
      </c>
      <c r="AH767" s="48">
        <f t="shared" si="147"/>
        <v>3.8857805861880479E-16</v>
      </c>
    </row>
    <row r="768" spans="4:34" ht="13.9" customHeight="1">
      <c r="D768" s="8"/>
      <c r="E768" s="9"/>
      <c r="F768" s="18"/>
      <c r="G768" s="18"/>
      <c r="H768" s="18"/>
      <c r="J768" s="40"/>
      <c r="K768" s="40"/>
      <c r="L768" s="40"/>
      <c r="M768" s="38"/>
      <c r="O768" s="12">
        <f t="shared" si="137"/>
        <v>62.916666666666664</v>
      </c>
      <c r="P768" s="13">
        <v>755</v>
      </c>
      <c r="Q768" s="21">
        <v>2.5831301073255819E-2</v>
      </c>
      <c r="R768" s="18">
        <f t="shared" si="138"/>
        <v>2.6001114395797442E-2</v>
      </c>
      <c r="S768" s="21">
        <v>3.6058522541701832E-2</v>
      </c>
      <c r="T768" s="18">
        <f t="shared" si="139"/>
        <v>4.2932432713252977E-2</v>
      </c>
      <c r="U768" s="23">
        <v>3.7980411792922775E-2</v>
      </c>
      <c r="V768" s="23">
        <f t="shared" si="140"/>
        <v>4.2930965218346717E-2</v>
      </c>
      <c r="W768" s="22">
        <f t="shared" si="143"/>
        <v>3.508999730139184E-3</v>
      </c>
      <c r="X768" s="23">
        <v>3.7595277660559034E-2</v>
      </c>
      <c r="Y768" s="23">
        <f t="shared" si="144"/>
        <v>4.2931299960854208E-2</v>
      </c>
      <c r="Z768" s="22">
        <f t="shared" si="145"/>
        <v>3.509026090360523E-3</v>
      </c>
      <c r="AA768" s="33"/>
      <c r="AB768" s="50">
        <f t="shared" si="141"/>
        <v>755</v>
      </c>
      <c r="AC768" s="48">
        <f t="shared" si="136"/>
        <v>0.20097330078681047</v>
      </c>
      <c r="AE768" s="48">
        <f t="shared" si="142"/>
        <v>0.99786353617046053</v>
      </c>
      <c r="AF768" s="48">
        <f t="shared" si="146"/>
        <v>0.20097330078680997</v>
      </c>
      <c r="AH768" s="48">
        <f t="shared" si="147"/>
        <v>-4.9960036108132044E-16</v>
      </c>
    </row>
    <row r="769" spans="4:34" ht="13.9" customHeight="1">
      <c r="D769" s="8"/>
      <c r="E769" s="9"/>
      <c r="F769" s="18"/>
      <c r="G769" s="18"/>
      <c r="H769" s="18"/>
      <c r="J769" s="40"/>
      <c r="K769" s="40"/>
      <c r="L769" s="40"/>
      <c r="M769" s="38"/>
      <c r="O769" s="12">
        <f t="shared" si="137"/>
        <v>63</v>
      </c>
      <c r="P769" s="13">
        <v>756</v>
      </c>
      <c r="Q769" s="21">
        <v>2.5831525675487965E-2</v>
      </c>
      <c r="R769" s="18">
        <f t="shared" si="138"/>
        <v>2.6005022285185753E-2</v>
      </c>
      <c r="S769" s="21">
        <v>3.6067585025063797E-2</v>
      </c>
      <c r="T769" s="18">
        <f t="shared" si="139"/>
        <v>4.2933174723752909E-2</v>
      </c>
      <c r="U769" s="23">
        <v>3.7986944598164651E-2</v>
      </c>
      <c r="V769" s="23">
        <f t="shared" si="140"/>
        <v>4.2931682009149208E-2</v>
      </c>
      <c r="W769" s="22">
        <f t="shared" si="143"/>
        <v>3.5090578081691248E-3</v>
      </c>
      <c r="X769" s="23">
        <v>3.7602317827866605E-2</v>
      </c>
      <c r="Y769" s="23">
        <f t="shared" si="144"/>
        <v>4.2932022583491491E-2</v>
      </c>
      <c r="Z769" s="22">
        <f t="shared" si="145"/>
        <v>3.5090846489589378E-3</v>
      </c>
      <c r="AA769" s="33"/>
      <c r="AB769" s="50">
        <f t="shared" si="141"/>
        <v>756</v>
      </c>
      <c r="AC769" s="48">
        <f t="shared" si="136"/>
        <v>0.20054386440799754</v>
      </c>
      <c r="AE769" s="48">
        <f t="shared" si="142"/>
        <v>0.99786321676993406</v>
      </c>
      <c r="AF769" s="48">
        <f t="shared" si="146"/>
        <v>0.20054386440799771</v>
      </c>
      <c r="AH769" s="48">
        <f t="shared" si="147"/>
        <v>0</v>
      </c>
    </row>
    <row r="770" spans="4:34" ht="13.9" customHeight="1">
      <c r="D770" s="8"/>
      <c r="E770" s="9"/>
      <c r="F770" s="18"/>
      <c r="G770" s="18"/>
      <c r="H770" s="18"/>
      <c r="J770" s="40"/>
      <c r="K770" s="40"/>
      <c r="L770" s="40"/>
      <c r="M770" s="38"/>
      <c r="O770" s="12">
        <f t="shared" si="137"/>
        <v>63.083333333333336</v>
      </c>
      <c r="P770" s="13">
        <v>757</v>
      </c>
      <c r="Q770" s="21">
        <v>2.5831754845843546E-2</v>
      </c>
      <c r="R770" s="18">
        <f t="shared" si="138"/>
        <v>2.6008897466279324E-2</v>
      </c>
      <c r="S770" s="21">
        <v>3.6076624617984221E-2</v>
      </c>
      <c r="T770" s="18">
        <f t="shared" si="139"/>
        <v>4.2933908581527902E-2</v>
      </c>
      <c r="U770" s="23">
        <v>3.7993461127036721E-2</v>
      </c>
      <c r="V770" s="23">
        <f t="shared" si="140"/>
        <v>4.2932391353615484E-2</v>
      </c>
      <c r="W770" s="22">
        <f t="shared" si="143"/>
        <v>3.5091152828774508E-3</v>
      </c>
      <c r="X770" s="23">
        <v>3.7609340392291246E-2</v>
      </c>
      <c r="Y770" s="23">
        <f t="shared" si="144"/>
        <v>4.2932737601715676E-2</v>
      </c>
      <c r="Z770" s="22">
        <f t="shared" si="145"/>
        <v>3.5091425912663343E-3</v>
      </c>
      <c r="AA770" s="33"/>
      <c r="AB770" s="50">
        <f t="shared" si="141"/>
        <v>757</v>
      </c>
      <c r="AC770" s="48">
        <f t="shared" si="136"/>
        <v>0.20011528212424265</v>
      </c>
      <c r="AE770" s="48">
        <f t="shared" si="142"/>
        <v>0.99786290004423606</v>
      </c>
      <c r="AF770" s="48">
        <f t="shared" si="146"/>
        <v>0.20011528212424265</v>
      </c>
      <c r="AH770" s="48">
        <f t="shared" si="147"/>
        <v>0</v>
      </c>
    </row>
    <row r="771" spans="4:34" ht="13.9" customHeight="1">
      <c r="D771" s="8"/>
      <c r="E771" s="9"/>
      <c r="F771" s="18"/>
      <c r="G771" s="18"/>
      <c r="H771" s="18"/>
      <c r="J771" s="40"/>
      <c r="K771" s="40"/>
      <c r="L771" s="40"/>
      <c r="M771" s="38"/>
      <c r="O771" s="12">
        <f t="shared" si="137"/>
        <v>63.166666666666664</v>
      </c>
      <c r="P771" s="13">
        <v>758</v>
      </c>
      <c r="Q771" s="21">
        <v>2.5831988523083327E-2</v>
      </c>
      <c r="R771" s="18">
        <f t="shared" si="138"/>
        <v>2.6012740215118457E-2</v>
      </c>
      <c r="S771" s="21">
        <v>3.6085641400086965E-2</v>
      </c>
      <c r="T771" s="18">
        <f t="shared" si="139"/>
        <v>4.2934634376644576E-2</v>
      </c>
      <c r="U771" s="23">
        <v>3.7999961434035834E-2</v>
      </c>
      <c r="V771" s="23">
        <f t="shared" si="140"/>
        <v>4.2933093329447614E-2</v>
      </c>
      <c r="W771" s="22">
        <f t="shared" si="143"/>
        <v>3.5091721604778581E-3</v>
      </c>
      <c r="X771" s="23">
        <v>3.7616345413350905E-2</v>
      </c>
      <c r="Y771" s="23">
        <f t="shared" si="144"/>
        <v>4.2933445095206135E-2</v>
      </c>
      <c r="Z771" s="22">
        <f t="shared" si="145"/>
        <v>3.5091999237899518E-3</v>
      </c>
      <c r="AA771" s="33"/>
      <c r="AB771" s="50">
        <f t="shared" si="141"/>
        <v>758</v>
      </c>
      <c r="AC771" s="48">
        <f t="shared" si="136"/>
        <v>0.19968755291276466</v>
      </c>
      <c r="AE771" s="48">
        <f t="shared" si="142"/>
        <v>0.99786258597076249</v>
      </c>
      <c r="AF771" s="48">
        <f t="shared" si="146"/>
        <v>0.19968755291276546</v>
      </c>
      <c r="AH771" s="48">
        <f t="shared" si="147"/>
        <v>8.0491169285323849E-16</v>
      </c>
    </row>
    <row r="772" spans="4:34" ht="13.9" customHeight="1">
      <c r="D772" s="8"/>
      <c r="E772" s="9"/>
      <c r="F772" s="18"/>
      <c r="G772" s="18"/>
      <c r="H772" s="18"/>
      <c r="J772" s="40"/>
      <c r="K772" s="40"/>
      <c r="L772" s="40"/>
      <c r="M772" s="38"/>
      <c r="O772" s="12">
        <f t="shared" si="137"/>
        <v>63.25</v>
      </c>
      <c r="P772" s="13">
        <v>759</v>
      </c>
      <c r="Q772" s="21">
        <v>2.5832226646654632E-2</v>
      </c>
      <c r="R772" s="18">
        <f t="shared" si="138"/>
        <v>2.6016550805185501E-2</v>
      </c>
      <c r="S772" s="21">
        <v>3.6094635450695245E-2</v>
      </c>
      <c r="T772" s="18">
        <f t="shared" si="139"/>
        <v>4.2935352198194332E-2</v>
      </c>
      <c r="U772" s="23">
        <v>3.8006445573473435E-2</v>
      </c>
      <c r="V772" s="23">
        <f t="shared" si="140"/>
        <v>4.2933788013209684E-2</v>
      </c>
      <c r="W772" s="22">
        <f t="shared" si="143"/>
        <v>3.5092284472015844E-3</v>
      </c>
      <c r="X772" s="23">
        <v>3.762333295035547E-2</v>
      </c>
      <c r="Y772" s="23">
        <f t="shared" si="144"/>
        <v>4.2934145143763258E-2</v>
      </c>
      <c r="Z772" s="22">
        <f t="shared" si="145"/>
        <v>3.509256652920234E-3</v>
      </c>
      <c r="AA772" s="33"/>
      <c r="AB772" s="50">
        <f t="shared" si="141"/>
        <v>759</v>
      </c>
      <c r="AC772" s="48">
        <f t="shared" si="136"/>
        <v>0.19926067574428424</v>
      </c>
      <c r="AE772" s="48">
        <f t="shared" si="142"/>
        <v>0.99786227452710896</v>
      </c>
      <c r="AF772" s="48">
        <f t="shared" si="146"/>
        <v>0.19926067574428458</v>
      </c>
      <c r="AH772" s="48">
        <f t="shared" si="147"/>
        <v>3.3306690738754696E-16</v>
      </c>
    </row>
    <row r="773" spans="4:34" ht="13.9" customHeight="1">
      <c r="D773" s="8"/>
      <c r="E773" s="9"/>
      <c r="F773" s="18"/>
      <c r="G773" s="18"/>
      <c r="H773" s="18"/>
      <c r="J773" s="40"/>
      <c r="K773" s="40"/>
      <c r="L773" s="40"/>
      <c r="M773" s="38"/>
      <c r="O773" s="12">
        <f t="shared" si="137"/>
        <v>63.333333333333336</v>
      </c>
      <c r="P773" s="13">
        <v>760</v>
      </c>
      <c r="Q773" s="21">
        <v>2.5832469156684024E-2</v>
      </c>
      <c r="R773" s="18">
        <f t="shared" si="138"/>
        <v>2.6020329507984608E-2</v>
      </c>
      <c r="S773" s="21">
        <v>3.6103606848832293E-2</v>
      </c>
      <c r="T773" s="18">
        <f t="shared" si="139"/>
        <v>4.2936062133297925E-2</v>
      </c>
      <c r="U773" s="23">
        <v>3.801291359947645E-2</v>
      </c>
      <c r="V773" s="23">
        <f t="shared" si="140"/>
        <v>4.2934475480939316E-2</v>
      </c>
      <c r="W773" s="22">
        <f t="shared" si="143"/>
        <v>3.5092841491890514E-3</v>
      </c>
      <c r="X773" s="23">
        <v>3.7630303062407222E-2</v>
      </c>
      <c r="Y773" s="23">
        <f t="shared" si="144"/>
        <v>4.293483782558094E-2</v>
      </c>
      <c r="Z773" s="22">
        <f t="shared" si="145"/>
        <v>3.5093127850569505E-3</v>
      </c>
      <c r="AA773" s="33"/>
      <c r="AB773" s="50">
        <f t="shared" si="141"/>
        <v>760</v>
      </c>
      <c r="AC773" s="48">
        <f t="shared" si="136"/>
        <v>0.19883464958312486</v>
      </c>
      <c r="AE773" s="48">
        <f t="shared" si="142"/>
        <v>0.99786196569107866</v>
      </c>
      <c r="AF773" s="48">
        <f t="shared" si="146"/>
        <v>0.19883464958312444</v>
      </c>
      <c r="AH773" s="48">
        <f t="shared" si="147"/>
        <v>-4.163336342344337E-16</v>
      </c>
    </row>
    <row r="774" spans="4:34" ht="13.9" customHeight="1">
      <c r="D774" s="8"/>
      <c r="E774" s="9"/>
      <c r="F774" s="18"/>
      <c r="G774" s="18"/>
      <c r="H774" s="18"/>
      <c r="J774" s="40"/>
      <c r="K774" s="40"/>
      <c r="L774" s="40"/>
      <c r="M774" s="38"/>
      <c r="O774" s="12">
        <f t="shared" si="137"/>
        <v>63.416666666666664</v>
      </c>
      <c r="P774" s="13">
        <v>761</v>
      </c>
      <c r="Q774" s="21">
        <v>2.5832715993969968E-2</v>
      </c>
      <c r="R774" s="18">
        <f t="shared" si="138"/>
        <v>2.6024076592513268E-2</v>
      </c>
      <c r="S774" s="21">
        <v>3.6112555673220914E-2</v>
      </c>
      <c r="T774" s="18">
        <f t="shared" si="139"/>
        <v>4.2936764268775907E-2</v>
      </c>
      <c r="U774" s="23">
        <v>3.8019365565987062E-2</v>
      </c>
      <c r="V774" s="23">
        <f t="shared" si="140"/>
        <v>4.2935155807395819E-2</v>
      </c>
      <c r="W774" s="22">
        <f t="shared" si="143"/>
        <v>3.5093392725382699E-3</v>
      </c>
      <c r="X774" s="23">
        <v>3.7637255808400827E-2</v>
      </c>
      <c r="Y774" s="23">
        <f t="shared" si="144"/>
        <v>4.2935523218058602E-2</v>
      </c>
      <c r="Z774" s="22">
        <f t="shared" si="145"/>
        <v>3.509368326470641E-3</v>
      </c>
      <c r="AA774" s="33"/>
      <c r="AB774" s="50">
        <f t="shared" si="141"/>
        <v>761</v>
      </c>
      <c r="AC774" s="48">
        <f t="shared" si="136"/>
        <v>0.19840947338731413</v>
      </c>
      <c r="AE774" s="48">
        <f t="shared" si="142"/>
        <v>0.99786165944063543</v>
      </c>
      <c r="AF774" s="48">
        <f t="shared" si="146"/>
        <v>0.1984094733873138</v>
      </c>
      <c r="AH774" s="48">
        <f t="shared" si="147"/>
        <v>-3.3306690738754696E-16</v>
      </c>
    </row>
    <row r="775" spans="4:34" ht="13.9" customHeight="1">
      <c r="D775" s="8"/>
      <c r="E775" s="9"/>
      <c r="F775" s="18"/>
      <c r="G775" s="18"/>
      <c r="H775" s="18"/>
      <c r="J775" s="40"/>
      <c r="K775" s="40"/>
      <c r="L775" s="40"/>
      <c r="M775" s="38"/>
      <c r="O775" s="12">
        <f t="shared" si="137"/>
        <v>63.5</v>
      </c>
      <c r="P775" s="13">
        <v>762</v>
      </c>
      <c r="Q775" s="21">
        <v>2.5832967099975068E-2</v>
      </c>
      <c r="R775" s="18">
        <f t="shared" si="138"/>
        <v>2.6027792325670651E-2</v>
      </c>
      <c r="S775" s="21">
        <v>3.6121482002285044E-2</v>
      </c>
      <c r="T775" s="18">
        <f t="shared" si="139"/>
        <v>4.2937458690692987E-2</v>
      </c>
      <c r="U775" s="23">
        <v>3.8025801526762493E-2</v>
      </c>
      <c r="V775" s="23">
        <f t="shared" si="140"/>
        <v>4.2935829066884645E-2</v>
      </c>
      <c r="W775" s="22">
        <f t="shared" si="143"/>
        <v>3.5093938232446664E-3</v>
      </c>
      <c r="X775" s="23">
        <v>3.7644191247023784E-2</v>
      </c>
      <c r="Y775" s="23">
        <f t="shared" si="144"/>
        <v>4.2936201398492635E-2</v>
      </c>
      <c r="Z775" s="22">
        <f t="shared" si="145"/>
        <v>3.5094232833690064E-3</v>
      </c>
      <c r="AA775" s="33"/>
      <c r="AB775" s="50">
        <f t="shared" si="141"/>
        <v>762</v>
      </c>
      <c r="AC775" s="48">
        <f t="shared" si="136"/>
        <v>0.19798514610869083</v>
      </c>
      <c r="AE775" s="48">
        <f t="shared" si="142"/>
        <v>0.99786135575394741</v>
      </c>
      <c r="AF775" s="48">
        <f t="shared" si="146"/>
        <v>0.1979851461086917</v>
      </c>
      <c r="AH775" s="48">
        <f t="shared" si="147"/>
        <v>8.6042284408449632E-16</v>
      </c>
    </row>
    <row r="776" spans="4:34" ht="13.9" customHeight="1">
      <c r="D776" s="8"/>
      <c r="E776" s="9"/>
      <c r="F776" s="18"/>
      <c r="G776" s="18"/>
      <c r="H776" s="18"/>
      <c r="J776" s="40"/>
      <c r="K776" s="40"/>
      <c r="L776" s="40"/>
      <c r="M776" s="38"/>
      <c r="O776" s="12">
        <f t="shared" si="137"/>
        <v>63.583333333333336</v>
      </c>
      <c r="P776" s="13">
        <v>763</v>
      </c>
      <c r="Q776" s="21">
        <v>2.5833222416818735E-2</v>
      </c>
      <c r="R776" s="18">
        <f t="shared" si="138"/>
        <v>2.6031476971424272E-2</v>
      </c>
      <c r="S776" s="21">
        <v>3.6130385914150631E-2</v>
      </c>
      <c r="T776" s="18">
        <f t="shared" si="139"/>
        <v>4.2938145483284229E-2</v>
      </c>
      <c r="U776" s="23">
        <v>3.8032221535375665E-2</v>
      </c>
      <c r="V776" s="23">
        <f t="shared" si="140"/>
        <v>4.2936495332812852E-2</v>
      </c>
      <c r="W776" s="22">
        <f t="shared" si="143"/>
        <v>3.509447807267474E-3</v>
      </c>
      <c r="X776" s="23">
        <v>3.7651109436756869E-2</v>
      </c>
      <c r="Y776" s="23">
        <f t="shared" si="144"/>
        <v>4.2936872441929674E-2</v>
      </c>
      <c r="Z776" s="22">
        <f t="shared" si="145"/>
        <v>3.509477661950644E-3</v>
      </c>
      <c r="AA776" s="33"/>
      <c r="AB776" s="50">
        <f t="shared" si="141"/>
        <v>763</v>
      </c>
      <c r="AC776" s="48">
        <f t="shared" si="136"/>
        <v>0.1975616666930059</v>
      </c>
      <c r="AE776" s="48">
        <f t="shared" si="142"/>
        <v>0.99786105460935293</v>
      </c>
      <c r="AF776" s="48">
        <f t="shared" si="146"/>
        <v>0.19756166669300593</v>
      </c>
      <c r="AH776" s="48">
        <f t="shared" si="147"/>
        <v>0</v>
      </c>
    </row>
    <row r="777" spans="4:34" ht="13.9" customHeight="1">
      <c r="D777" s="8"/>
      <c r="E777" s="9"/>
      <c r="F777" s="18"/>
      <c r="G777" s="18"/>
      <c r="H777" s="18"/>
      <c r="J777" s="40"/>
      <c r="K777" s="40"/>
      <c r="L777" s="40"/>
      <c r="M777" s="38"/>
      <c r="O777" s="12">
        <f t="shared" si="137"/>
        <v>63.666666666666664</v>
      </c>
      <c r="P777" s="13">
        <v>764</v>
      </c>
      <c r="Q777" s="21">
        <v>2.583348188726986E-2</v>
      </c>
      <c r="R777" s="18">
        <f t="shared" si="138"/>
        <v>2.603513079237274E-2</v>
      </c>
      <c r="S777" s="21">
        <v>3.6139267486645421E-2</v>
      </c>
      <c r="T777" s="18">
        <f t="shared" si="139"/>
        <v>4.2938824731228564E-2</v>
      </c>
      <c r="U777" s="23">
        <v>3.8038625645214985E-2</v>
      </c>
      <c r="V777" s="23">
        <f t="shared" si="140"/>
        <v>4.2937154678374778E-2</v>
      </c>
      <c r="W777" s="22">
        <f t="shared" si="143"/>
        <v>3.5095012304933171E-3</v>
      </c>
      <c r="X777" s="23">
        <v>3.7658010435873468E-2</v>
      </c>
      <c r="Y777" s="23">
        <f t="shared" si="144"/>
        <v>4.2937536424715317E-2</v>
      </c>
      <c r="Z777" s="22">
        <f t="shared" si="145"/>
        <v>3.5095314682340728E-3</v>
      </c>
      <c r="AA777" s="33"/>
      <c r="AB777" s="50">
        <f t="shared" si="141"/>
        <v>764</v>
      </c>
      <c r="AC777" s="48">
        <f t="shared" si="136"/>
        <v>0.19713903408002342</v>
      </c>
      <c r="AE777" s="48">
        <f t="shared" si="142"/>
        <v>0.99786075598542912</v>
      </c>
      <c r="AF777" s="48">
        <f t="shared" si="146"/>
        <v>0.19713903408002426</v>
      </c>
      <c r="AH777" s="48">
        <f t="shared" si="147"/>
        <v>8.3266726846886741E-16</v>
      </c>
    </row>
    <row r="778" spans="4:34" ht="13.9" customHeight="1">
      <c r="D778" s="8"/>
      <c r="E778" s="9"/>
      <c r="F778" s="18"/>
      <c r="G778" s="18"/>
      <c r="H778" s="18"/>
      <c r="J778" s="40"/>
      <c r="K778" s="40"/>
      <c r="L778" s="40"/>
      <c r="M778" s="38"/>
      <c r="O778" s="12">
        <f t="shared" si="137"/>
        <v>63.75</v>
      </c>
      <c r="P778" s="13">
        <v>765</v>
      </c>
      <c r="Q778" s="21">
        <v>2.5833745454739709E-2</v>
      </c>
      <c r="R778" s="18">
        <f t="shared" si="138"/>
        <v>2.603875404843814E-2</v>
      </c>
      <c r="S778" s="21">
        <v>3.614812679730095E-2</v>
      </c>
      <c r="T778" s="18">
        <f t="shared" si="139"/>
        <v>4.2939496516715803E-2</v>
      </c>
      <c r="U778" s="23">
        <v>3.804501390948567E-2</v>
      </c>
      <c r="V778" s="23">
        <f t="shared" si="140"/>
        <v>4.2937807174747711E-2</v>
      </c>
      <c r="W778" s="22">
        <f t="shared" si="143"/>
        <v>3.509554098792611E-3</v>
      </c>
      <c r="X778" s="23">
        <v>3.7664894302441798E-2</v>
      </c>
      <c r="Y778" s="23">
        <f t="shared" si="144"/>
        <v>4.2938193419831849E-2</v>
      </c>
      <c r="Z778" s="22">
        <f t="shared" si="145"/>
        <v>3.5095847083419507E-3</v>
      </c>
      <c r="AA778" s="33"/>
      <c r="AB778" s="50">
        <f t="shared" si="141"/>
        <v>765</v>
      </c>
      <c r="AC778" s="48">
        <f t="shared" si="136"/>
        <v>0.19671724720361905</v>
      </c>
      <c r="AE778" s="48">
        <f t="shared" si="142"/>
        <v>0.9978604598608638</v>
      </c>
      <c r="AF778" s="48">
        <f t="shared" si="146"/>
        <v>0.19671724720361949</v>
      </c>
      <c r="AH778" s="48">
        <f t="shared" si="147"/>
        <v>4.4408920985006262E-16</v>
      </c>
    </row>
    <row r="779" spans="4:34" ht="13.9" customHeight="1">
      <c r="D779" s="8"/>
      <c r="E779" s="9"/>
      <c r="F779" s="18"/>
      <c r="G779" s="18"/>
      <c r="H779" s="18"/>
      <c r="J779" s="40"/>
      <c r="K779" s="40"/>
      <c r="L779" s="40"/>
      <c r="M779" s="38"/>
      <c r="O779" s="12">
        <f t="shared" si="137"/>
        <v>63.833333333333336</v>
      </c>
      <c r="P779" s="13">
        <v>766</v>
      </c>
      <c r="Q779" s="21">
        <v>2.5834013063275041E-2</v>
      </c>
      <c r="R779" s="18">
        <f t="shared" si="138"/>
        <v>2.6042346996791199E-2</v>
      </c>
      <c r="S779" s="21">
        <v>3.6156963923351881E-2</v>
      </c>
      <c r="T779" s="18">
        <f t="shared" si="139"/>
        <v>4.2940160922537274E-2</v>
      </c>
      <c r="U779" s="23">
        <v>3.8051386381207974E-2</v>
      </c>
      <c r="V779" s="23">
        <f t="shared" si="140"/>
        <v>4.2938452893711343E-2</v>
      </c>
      <c r="W779" s="22">
        <f t="shared" si="143"/>
        <v>3.5096064178732345E-3</v>
      </c>
      <c r="X779" s="23">
        <v>3.7671761094322687E-2</v>
      </c>
      <c r="Y779" s="23">
        <f t="shared" si="144"/>
        <v>4.2938843502506874E-2</v>
      </c>
      <c r="Z779" s="22">
        <f t="shared" si="145"/>
        <v>3.5096373881271514E-3</v>
      </c>
      <c r="AA779" s="33"/>
      <c r="AB779" s="50">
        <f t="shared" si="141"/>
        <v>766</v>
      </c>
      <c r="AC779" s="48">
        <f t="shared" si="136"/>
        <v>0.19629630499187528</v>
      </c>
      <c r="AE779" s="48">
        <f t="shared" si="142"/>
        <v>0.99786016621456286</v>
      </c>
      <c r="AF779" s="48">
        <f t="shared" si="146"/>
        <v>0.196296304991875</v>
      </c>
      <c r="AH779" s="48">
        <f t="shared" si="147"/>
        <v>-2.7755575615628914E-16</v>
      </c>
    </row>
    <row r="780" spans="4:34" ht="13.9" customHeight="1">
      <c r="D780" s="8"/>
      <c r="E780" s="9"/>
      <c r="F780" s="18"/>
      <c r="G780" s="18"/>
      <c r="H780" s="18"/>
      <c r="J780" s="40"/>
      <c r="K780" s="40"/>
      <c r="L780" s="40"/>
      <c r="M780" s="38"/>
      <c r="O780" s="12">
        <f t="shared" si="137"/>
        <v>63.916666666666664</v>
      </c>
      <c r="P780" s="13">
        <v>767</v>
      </c>
      <c r="Q780" s="21">
        <v>2.5834284657550111E-2</v>
      </c>
      <c r="R780" s="18">
        <f t="shared" si="138"/>
        <v>2.6045909893675834E-2</v>
      </c>
      <c r="S780" s="21">
        <v>3.6165778941738447E-2</v>
      </c>
      <c r="T780" s="18">
        <f t="shared" si="139"/>
        <v>4.294081802875005E-2</v>
      </c>
      <c r="U780" s="23">
        <v>3.8057743113219411E-2</v>
      </c>
      <c r="V780" s="23">
        <f t="shared" si="140"/>
        <v>4.2939091905385141E-2</v>
      </c>
      <c r="W780" s="22">
        <f t="shared" si="143"/>
        <v>3.5096581934914717E-3</v>
      </c>
      <c r="X780" s="23">
        <v>3.7678610869172902E-2</v>
      </c>
      <c r="Y780" s="23">
        <f t="shared" si="144"/>
        <v>4.2939486744361766E-2</v>
      </c>
      <c r="Z780" s="22">
        <f t="shared" si="145"/>
        <v>3.509689513622849E-3</v>
      </c>
      <c r="AA780" s="33"/>
      <c r="AB780" s="50">
        <f t="shared" si="141"/>
        <v>767</v>
      </c>
      <c r="AC780" s="48">
        <f t="shared" si="136"/>
        <v>0.19587620636719044</v>
      </c>
      <c r="AE780" s="48">
        <f t="shared" si="142"/>
        <v>0.99785987502565587</v>
      </c>
      <c r="AF780" s="48">
        <f t="shared" si="146"/>
        <v>0.19587620636719041</v>
      </c>
      <c r="AH780" s="48">
        <f t="shared" si="147"/>
        <v>0</v>
      </c>
    </row>
    <row r="781" spans="4:34" ht="13.9" customHeight="1">
      <c r="D781" s="8"/>
      <c r="E781" s="9"/>
      <c r="F781" s="18"/>
      <c r="G781" s="18"/>
      <c r="H781" s="18"/>
      <c r="J781" s="40"/>
      <c r="K781" s="40"/>
      <c r="L781" s="40"/>
      <c r="M781" s="38"/>
      <c r="O781" s="12">
        <f t="shared" si="137"/>
        <v>64</v>
      </c>
      <c r="P781" s="13">
        <v>768</v>
      </c>
      <c r="Q781" s="21">
        <v>2.5834560182861122E-2</v>
      </c>
      <c r="R781" s="18">
        <f t="shared" si="138"/>
        <v>2.6049442991375793E-2</v>
      </c>
      <c r="S781" s="21">
        <v>3.6174571929104893E-2</v>
      </c>
      <c r="T781" s="18">
        <f t="shared" si="139"/>
        <v>4.2941467916829401E-2</v>
      </c>
      <c r="U781" s="23">
        <v>3.8064084158173639E-2</v>
      </c>
      <c r="V781" s="23">
        <f t="shared" si="140"/>
        <v>4.2939724279972502E-2</v>
      </c>
      <c r="W781" s="22">
        <f t="shared" si="143"/>
        <v>3.5097094312710464E-3</v>
      </c>
      <c r="X781" s="23">
        <v>3.768544368444271E-2</v>
      </c>
      <c r="Y781" s="23">
        <f t="shared" si="144"/>
        <v>4.2940123217437787E-2</v>
      </c>
      <c r="Z781" s="22">
        <f t="shared" si="145"/>
        <v>3.5097410905726711E-3</v>
      </c>
      <c r="AA781" s="33"/>
      <c r="AB781" s="50">
        <f t="shared" si="141"/>
        <v>768</v>
      </c>
      <c r="AC781" s="48">
        <f t="shared" ref="AC781:AC844" si="148">1/(1+Q781)^(P781/12)</f>
        <v>0.19545695024635734</v>
      </c>
      <c r="AE781" s="48">
        <f t="shared" si="142"/>
        <v>0.9978595862733477</v>
      </c>
      <c r="AF781" s="48">
        <f t="shared" si="146"/>
        <v>0.19545695024635751</v>
      </c>
      <c r="AH781" s="48">
        <f t="shared" si="147"/>
        <v>0</v>
      </c>
    </row>
    <row r="782" spans="4:34" ht="13.9" customHeight="1">
      <c r="D782" s="8"/>
      <c r="E782" s="9"/>
      <c r="F782" s="18"/>
      <c r="G782" s="18"/>
      <c r="H782" s="18"/>
      <c r="J782" s="40"/>
      <c r="K782" s="40"/>
      <c r="L782" s="40"/>
      <c r="M782" s="38"/>
      <c r="O782" s="12">
        <f t="shared" ref="O782:O845" si="149">P782/12</f>
        <v>64.083333333333329</v>
      </c>
      <c r="P782" s="13">
        <v>769</v>
      </c>
      <c r="Q782" s="21">
        <v>2.5834839585117342E-2</v>
      </c>
      <c r="R782" s="18">
        <f t="shared" ref="R782:R845" si="150">(1+Q783)^P783/(1+Q782)^P782-1</f>
        <v>2.6052946542232336E-2</v>
      </c>
      <c r="S782" s="21">
        <v>3.6183342961802589E-2</v>
      </c>
      <c r="T782" s="18">
        <f t="shared" ref="T782:T845" si="151">(1+S783)^P783/(1+S782)^P782-1</f>
        <v>4.2942110665460387E-2</v>
      </c>
      <c r="U782" s="23">
        <v>3.8070409568541796E-2</v>
      </c>
      <c r="V782" s="23">
        <f t="shared" ref="V782:V845" si="152">(1+U783)^P783/(1+U782)^P782-1</f>
        <v>4.2940350085795664E-2</v>
      </c>
      <c r="W782" s="22">
        <f t="shared" si="143"/>
        <v>3.5097601368416775E-3</v>
      </c>
      <c r="X782" s="23">
        <v>3.7692259597377431E-2</v>
      </c>
      <c r="Y782" s="23">
        <f t="shared" si="144"/>
        <v>4.2940752993609443E-2</v>
      </c>
      <c r="Z782" s="22">
        <f t="shared" si="145"/>
        <v>3.5097921247537744E-3</v>
      </c>
      <c r="AA782" s="33"/>
      <c r="AB782" s="50">
        <f t="shared" ref="AB782:AB845" si="153">+P782</f>
        <v>769</v>
      </c>
      <c r="AC782" s="48">
        <f t="shared" si="148"/>
        <v>0.19503853554068348</v>
      </c>
      <c r="AE782" s="48">
        <f t="shared" ref="AE782:AE845" si="154">1/(1+R781)^(1/12)</f>
        <v>0.99785929993716449</v>
      </c>
      <c r="AF782" s="48">
        <f t="shared" si="146"/>
        <v>0.19503853554068348</v>
      </c>
      <c r="AH782" s="48">
        <f t="shared" si="147"/>
        <v>0</v>
      </c>
    </row>
    <row r="783" spans="4:34" ht="13.9" customHeight="1">
      <c r="D783" s="8"/>
      <c r="E783" s="9"/>
      <c r="F783" s="18"/>
      <c r="G783" s="18"/>
      <c r="H783" s="18"/>
      <c r="J783" s="40"/>
      <c r="K783" s="40"/>
      <c r="L783" s="40"/>
      <c r="M783" s="38"/>
      <c r="O783" s="12">
        <f t="shared" si="149"/>
        <v>64.166666666666671</v>
      </c>
      <c r="P783" s="13">
        <v>770</v>
      </c>
      <c r="Q783" s="21">
        <v>2.5835122810837108E-2</v>
      </c>
      <c r="R783" s="18">
        <f t="shared" si="150"/>
        <v>2.6056420794737134E-2</v>
      </c>
      <c r="S783" s="21">
        <v>3.6192092115889807E-2</v>
      </c>
      <c r="T783" s="18">
        <f t="shared" si="151"/>
        <v>4.2942746353106465E-2</v>
      </c>
      <c r="U783" s="23">
        <v>3.8076719396611169E-2</v>
      </c>
      <c r="V783" s="23">
        <f t="shared" si="152"/>
        <v>4.2940969391880524E-2</v>
      </c>
      <c r="W783" s="22">
        <f t="shared" ref="W783:W846" si="155">(1+V782)^(1/12)-1</f>
        <v>3.5098103156827598E-3</v>
      </c>
      <c r="X783" s="23">
        <v>3.7699058665018104E-2</v>
      </c>
      <c r="Y783" s="23">
        <f t="shared" ref="Y783:Y846" si="156">(1+X784)^P784/(1+X783)^P783-1</f>
        <v>4.2941376143170729E-2</v>
      </c>
      <c r="Z783" s="22">
        <f t="shared" ref="Z783:Z846" si="157">(1+Y782)^(1/12)-1</f>
        <v>3.5098426219304368E-3</v>
      </c>
      <c r="AA783" s="33"/>
      <c r="AB783" s="50">
        <f t="shared" si="153"/>
        <v>770</v>
      </c>
      <c r="AC783" s="48">
        <f t="shared" si="148"/>
        <v>0.19462096115604963</v>
      </c>
      <c r="AE783" s="48">
        <f t="shared" si="154"/>
        <v>0.99785901599662907</v>
      </c>
      <c r="AF783" s="48">
        <f t="shared" ref="AF783:AF846" si="158">+AF782*AE783</f>
        <v>0.19462096115604999</v>
      </c>
      <c r="AH783" s="48">
        <f t="shared" ref="AH783:AH846" si="159">+AF783-AC783</f>
        <v>3.6082248300317588E-16</v>
      </c>
    </row>
    <row r="784" spans="4:34" ht="13.9" customHeight="1">
      <c r="D784" s="8"/>
      <c r="E784" s="9"/>
      <c r="F784" s="18"/>
      <c r="G784" s="18"/>
      <c r="H784" s="18"/>
      <c r="J784" s="40"/>
      <c r="K784" s="40"/>
      <c r="L784" s="40"/>
      <c r="M784" s="38"/>
      <c r="O784" s="12">
        <f t="shared" si="149"/>
        <v>64.25</v>
      </c>
      <c r="P784" s="13">
        <v>771</v>
      </c>
      <c r="Q784" s="21">
        <v>2.5835409807138721E-2</v>
      </c>
      <c r="R784" s="18">
        <f t="shared" si="150"/>
        <v>2.6059865994989995E-2</v>
      </c>
      <c r="S784" s="21">
        <v>3.6200819467131717E-2</v>
      </c>
      <c r="T784" s="18">
        <f t="shared" si="151"/>
        <v>4.2943375057677757E-2</v>
      </c>
      <c r="U784" s="23">
        <v>3.8083013694487633E-2</v>
      </c>
      <c r="V784" s="23">
        <f t="shared" si="152"/>
        <v>4.2941582265082046E-2</v>
      </c>
      <c r="W784" s="22">
        <f t="shared" si="155"/>
        <v>3.5098599733296432E-3</v>
      </c>
      <c r="X784" s="23">
        <v>3.7705840944201485E-2</v>
      </c>
      <c r="Y784" s="23">
        <f t="shared" si="156"/>
        <v>4.2941992735807233E-2</v>
      </c>
      <c r="Z784" s="22">
        <f t="shared" si="157"/>
        <v>3.5098925877399267E-3</v>
      </c>
      <c r="AA784" s="33"/>
      <c r="AB784" s="50">
        <f t="shared" si="153"/>
        <v>771</v>
      </c>
      <c r="AC784" s="48">
        <f t="shared" si="148"/>
        <v>0.19420422599303297</v>
      </c>
      <c r="AE784" s="48">
        <f t="shared" si="154"/>
        <v>0.99785873443157613</v>
      </c>
      <c r="AF784" s="48">
        <f t="shared" si="158"/>
        <v>0.19420422599303297</v>
      </c>
      <c r="AH784" s="48">
        <f t="shared" si="159"/>
        <v>0</v>
      </c>
    </row>
    <row r="785" spans="4:34" ht="13.9" customHeight="1">
      <c r="D785" s="8"/>
      <c r="E785" s="9"/>
      <c r="F785" s="18"/>
      <c r="G785" s="18"/>
      <c r="H785" s="18"/>
      <c r="J785" s="40"/>
      <c r="K785" s="40"/>
      <c r="L785" s="40"/>
      <c r="M785" s="38"/>
      <c r="O785" s="12">
        <f t="shared" si="149"/>
        <v>64.333333333333329</v>
      </c>
      <c r="P785" s="13">
        <v>772</v>
      </c>
      <c r="Q785" s="21">
        <v>2.5835700521733784E-2</v>
      </c>
      <c r="R785" s="18">
        <f t="shared" si="150"/>
        <v>2.6063282389013231E-2</v>
      </c>
      <c r="S785" s="21">
        <v>3.6209525091002615E-2</v>
      </c>
      <c r="T785" s="18">
        <f t="shared" si="151"/>
        <v>4.2943996855548949E-2</v>
      </c>
      <c r="U785" s="23">
        <v>3.8089292514093653E-2</v>
      </c>
      <c r="V785" s="23">
        <f t="shared" si="152"/>
        <v>4.2942188772863599E-2</v>
      </c>
      <c r="W785" s="22">
        <f t="shared" si="155"/>
        <v>3.5099091151435946E-3</v>
      </c>
      <c r="X785" s="23">
        <v>3.7712606491560052E-2</v>
      </c>
      <c r="Y785" s="23">
        <f t="shared" si="156"/>
        <v>4.2942602840543964E-2</v>
      </c>
      <c r="Z785" s="22">
        <f t="shared" si="157"/>
        <v>3.5099420277706628E-3</v>
      </c>
      <c r="AA785" s="33"/>
      <c r="AB785" s="50">
        <f t="shared" si="153"/>
        <v>772</v>
      </c>
      <c r="AC785" s="48">
        <f t="shared" si="148"/>
        <v>0.19378832894699832</v>
      </c>
      <c r="AE785" s="48">
        <f t="shared" si="154"/>
        <v>0.99785845522203487</v>
      </c>
      <c r="AF785" s="48">
        <f t="shared" si="158"/>
        <v>0.19378832894699882</v>
      </c>
      <c r="AH785" s="48">
        <f t="shared" si="159"/>
        <v>4.9960036108132044E-16</v>
      </c>
    </row>
    <row r="786" spans="4:34" ht="13.9" customHeight="1">
      <c r="D786" s="8"/>
      <c r="E786" s="9"/>
      <c r="F786" s="18"/>
      <c r="G786" s="18"/>
      <c r="H786" s="18"/>
      <c r="J786" s="40"/>
      <c r="K786" s="40"/>
      <c r="L786" s="40"/>
      <c r="M786" s="38"/>
      <c r="O786" s="12">
        <f t="shared" si="149"/>
        <v>64.416666666666671</v>
      </c>
      <c r="P786" s="13">
        <v>773</v>
      </c>
      <c r="Q786" s="21">
        <v>2.5835994902922765E-2</v>
      </c>
      <c r="R786" s="18">
        <f t="shared" si="150"/>
        <v>2.6066670218304111E-2</v>
      </c>
      <c r="S786" s="21">
        <v>3.6218209062685247E-2</v>
      </c>
      <c r="T786" s="18">
        <f t="shared" si="151"/>
        <v>4.2944611823301448E-2</v>
      </c>
      <c r="U786" s="23">
        <v>3.8095555907170287E-2</v>
      </c>
      <c r="V786" s="23">
        <f t="shared" si="152"/>
        <v>4.294278898110826E-2</v>
      </c>
      <c r="W786" s="22">
        <f t="shared" si="155"/>
        <v>3.509957746535397E-3</v>
      </c>
      <c r="X786" s="23">
        <v>3.7719355363522888E-2</v>
      </c>
      <c r="Y786" s="23">
        <f t="shared" si="156"/>
        <v>4.2943206526021127E-2</v>
      </c>
      <c r="Z786" s="22">
        <f t="shared" si="157"/>
        <v>3.5099909475577729E-3</v>
      </c>
      <c r="AA786" s="33"/>
      <c r="AB786" s="50">
        <f t="shared" si="153"/>
        <v>773</v>
      </c>
      <c r="AC786" s="48">
        <f t="shared" si="148"/>
        <v>0.19337326890816325</v>
      </c>
      <c r="AE786" s="48">
        <f t="shared" si="154"/>
        <v>0.99785817834804114</v>
      </c>
      <c r="AF786" s="48">
        <f t="shared" si="158"/>
        <v>0.19337326890816323</v>
      </c>
      <c r="AH786" s="48">
        <f t="shared" si="159"/>
        <v>0</v>
      </c>
    </row>
    <row r="787" spans="4:34" ht="13.9" customHeight="1">
      <c r="D787" s="8"/>
      <c r="E787" s="9"/>
      <c r="F787" s="18"/>
      <c r="G787" s="18"/>
      <c r="H787" s="18"/>
      <c r="J787" s="40"/>
      <c r="K787" s="40"/>
      <c r="L787" s="40"/>
      <c r="M787" s="38"/>
      <c r="O787" s="12">
        <f t="shared" si="149"/>
        <v>64.5</v>
      </c>
      <c r="P787" s="13">
        <v>774</v>
      </c>
      <c r="Q787" s="21">
        <v>2.5836292899585889E-2</v>
      </c>
      <c r="R787" s="18">
        <f t="shared" si="150"/>
        <v>2.607002972452821E-2</v>
      </c>
      <c r="S787" s="21">
        <v>3.6226871457073484E-2</v>
      </c>
      <c r="T787" s="18">
        <f t="shared" si="151"/>
        <v>4.2945220035599974E-2</v>
      </c>
      <c r="U787" s="23">
        <v>3.8101803925276734E-2</v>
      </c>
      <c r="V787" s="23">
        <f t="shared" si="152"/>
        <v>4.2943382955193066E-2</v>
      </c>
      <c r="W787" s="22">
        <f t="shared" si="155"/>
        <v>3.5100058727879357E-3</v>
      </c>
      <c r="X787" s="23">
        <v>3.7726087616316129E-2</v>
      </c>
      <c r="Y787" s="23">
        <f t="shared" si="156"/>
        <v>4.2943803859317953E-2</v>
      </c>
      <c r="Z787" s="22">
        <f t="shared" si="157"/>
        <v>3.5100393526061868E-3</v>
      </c>
      <c r="AA787" s="33"/>
      <c r="AB787" s="50">
        <f t="shared" si="153"/>
        <v>774</v>
      </c>
      <c r="AC787" s="48">
        <f t="shared" si="148"/>
        <v>0.19295904476171996</v>
      </c>
      <c r="AE787" s="48">
        <f t="shared" si="154"/>
        <v>0.99785790378999839</v>
      </c>
      <c r="AF787" s="48">
        <f t="shared" si="158"/>
        <v>0.19295904476171943</v>
      </c>
      <c r="AH787" s="48">
        <f t="shared" si="159"/>
        <v>-5.2735593669694936E-16</v>
      </c>
    </row>
    <row r="788" spans="4:34" ht="13.9" customHeight="1">
      <c r="D788" s="8"/>
      <c r="E788" s="9"/>
      <c r="F788" s="18"/>
      <c r="G788" s="18"/>
      <c r="H788" s="18"/>
      <c r="J788" s="40"/>
      <c r="K788" s="40"/>
      <c r="L788" s="40"/>
      <c r="M788" s="38"/>
      <c r="O788" s="12">
        <f t="shared" si="149"/>
        <v>64.583333333333329</v>
      </c>
      <c r="P788" s="13">
        <v>775</v>
      </c>
      <c r="Q788" s="21">
        <v>2.5836594461179363E-2</v>
      </c>
      <c r="R788" s="18">
        <f t="shared" si="150"/>
        <v>2.6073361145341423E-2</v>
      </c>
      <c r="S788" s="21">
        <v>3.6235512348771204E-2</v>
      </c>
      <c r="T788" s="18">
        <f t="shared" si="151"/>
        <v>4.2945821566402476E-2</v>
      </c>
      <c r="U788" s="23">
        <v>3.8108036619790342E-2</v>
      </c>
      <c r="V788" s="23">
        <f t="shared" si="152"/>
        <v>4.2943970760181527E-2</v>
      </c>
      <c r="W788" s="22">
        <f t="shared" si="155"/>
        <v>3.510053499144572E-3</v>
      </c>
      <c r="X788" s="23">
        <v>3.7732803305962515E-2</v>
      </c>
      <c r="Y788" s="23">
        <f t="shared" si="156"/>
        <v>4.2944394907785233E-2</v>
      </c>
      <c r="Z788" s="22">
        <f t="shared" si="157"/>
        <v>3.5100872482953793E-3</v>
      </c>
      <c r="AA788" s="33"/>
      <c r="AB788" s="50">
        <f t="shared" si="153"/>
        <v>775</v>
      </c>
      <c r="AC788" s="48">
        <f t="shared" si="148"/>
        <v>0.19254565538789128</v>
      </c>
      <c r="AE788" s="48">
        <f t="shared" si="154"/>
        <v>0.99785763152829654</v>
      </c>
      <c r="AF788" s="48">
        <f t="shared" si="158"/>
        <v>0.19254565538789192</v>
      </c>
      <c r="AH788" s="48">
        <f t="shared" si="159"/>
        <v>6.3837823915946501E-16</v>
      </c>
    </row>
    <row r="789" spans="4:34" ht="13.9" customHeight="1">
      <c r="D789" s="8"/>
      <c r="E789" s="9"/>
      <c r="F789" s="18"/>
      <c r="G789" s="18"/>
      <c r="H789" s="18"/>
      <c r="J789" s="40"/>
      <c r="K789" s="40"/>
      <c r="L789" s="40"/>
      <c r="M789" s="38"/>
      <c r="O789" s="12">
        <f t="shared" si="149"/>
        <v>64.666666666666671</v>
      </c>
      <c r="P789" s="13">
        <v>776</v>
      </c>
      <c r="Q789" s="21">
        <v>2.5836899537726055E-2</v>
      </c>
      <c r="R789" s="18">
        <f t="shared" si="150"/>
        <v>2.6076664717380238E-2</v>
      </c>
      <c r="S789" s="21">
        <v>3.6244131812093627E-2</v>
      </c>
      <c r="T789" s="18">
        <f t="shared" si="151"/>
        <v>4.2946416489752393E-2</v>
      </c>
      <c r="U789" s="23">
        <v>3.8114254041907492E-2</v>
      </c>
      <c r="V789" s="23">
        <f t="shared" si="152"/>
        <v>4.2944552459960761E-2</v>
      </c>
      <c r="W789" s="22">
        <f t="shared" si="155"/>
        <v>3.5101006308226879E-3</v>
      </c>
      <c r="X789" s="23">
        <v>3.773950248828295E-2</v>
      </c>
      <c r="Y789" s="23">
        <f t="shared" si="156"/>
        <v>4.2944979737235212E-2</v>
      </c>
      <c r="Z789" s="22">
        <f t="shared" si="157"/>
        <v>3.5101346400263633E-3</v>
      </c>
      <c r="AA789" s="33"/>
      <c r="AB789" s="50">
        <f t="shared" si="153"/>
        <v>776</v>
      </c>
      <c r="AC789" s="48">
        <f t="shared" si="148"/>
        <v>0.192133099662055</v>
      </c>
      <c r="AE789" s="48">
        <f t="shared" si="154"/>
        <v>0.99785736154365134</v>
      </c>
      <c r="AF789" s="48">
        <f t="shared" si="158"/>
        <v>0.19213309966205497</v>
      </c>
      <c r="AH789" s="48">
        <f t="shared" si="159"/>
        <v>0</v>
      </c>
    </row>
    <row r="790" spans="4:34" ht="13.9" customHeight="1">
      <c r="D790" s="8"/>
      <c r="E790" s="9"/>
      <c r="F790" s="18"/>
      <c r="G790" s="18"/>
      <c r="H790" s="18"/>
      <c r="J790" s="40"/>
      <c r="K790" s="40"/>
      <c r="L790" s="40"/>
      <c r="M790" s="38"/>
      <c r="O790" s="12">
        <f t="shared" si="149"/>
        <v>64.75</v>
      </c>
      <c r="P790" s="13">
        <v>777</v>
      </c>
      <c r="Q790" s="21">
        <v>2.5837208079811491E-2</v>
      </c>
      <c r="R790" s="18">
        <f t="shared" si="150"/>
        <v>2.6079940675556301E-2</v>
      </c>
      <c r="S790" s="21">
        <v>3.6252729921069093E-2</v>
      </c>
      <c r="T790" s="18">
        <f t="shared" si="151"/>
        <v>4.294700487785974E-2</v>
      </c>
      <c r="U790" s="23">
        <v>3.8120456242643375E-2</v>
      </c>
      <c r="V790" s="23">
        <f t="shared" si="152"/>
        <v>4.294512811816098E-2</v>
      </c>
      <c r="W790" s="22">
        <f t="shared" si="155"/>
        <v>3.5101472729459626E-3</v>
      </c>
      <c r="X790" s="23">
        <v>3.7746185218895834E-2</v>
      </c>
      <c r="Y790" s="23">
        <f t="shared" si="156"/>
        <v>4.2945558413580498E-2</v>
      </c>
      <c r="Z790" s="22">
        <f t="shared" si="157"/>
        <v>3.510181533076695E-3</v>
      </c>
      <c r="AA790" s="33"/>
      <c r="AB790" s="50">
        <f t="shared" si="153"/>
        <v>777</v>
      </c>
      <c r="AC790" s="48">
        <f t="shared" si="148"/>
        <v>0.19172137645480294</v>
      </c>
      <c r="AE790" s="48">
        <f t="shared" si="154"/>
        <v>0.99785709381686105</v>
      </c>
      <c r="AF790" s="48">
        <f t="shared" si="158"/>
        <v>0.1917213764548035</v>
      </c>
      <c r="AH790" s="48">
        <f t="shared" si="159"/>
        <v>5.5511151231257827E-16</v>
      </c>
    </row>
    <row r="791" spans="4:34" ht="13.9" customHeight="1">
      <c r="D791" s="8"/>
      <c r="E791" s="9"/>
      <c r="F791" s="18"/>
      <c r="G791" s="18"/>
      <c r="H791" s="18"/>
      <c r="J791" s="40"/>
      <c r="K791" s="40"/>
      <c r="L791" s="40"/>
      <c r="M791" s="38"/>
      <c r="O791" s="12">
        <f t="shared" si="149"/>
        <v>64.833333333333329</v>
      </c>
      <c r="P791" s="13">
        <v>778</v>
      </c>
      <c r="Q791" s="21">
        <v>2.5837520038576978E-2</v>
      </c>
      <c r="R791" s="18">
        <f t="shared" si="150"/>
        <v>2.60831892520339E-2</v>
      </c>
      <c r="S791" s="21">
        <v>3.6261306749438615E-2</v>
      </c>
      <c r="T791" s="18">
        <f t="shared" si="151"/>
        <v>4.2947586802892568E-2</v>
      </c>
      <c r="U791" s="23">
        <v>3.8126643272833105E-2</v>
      </c>
      <c r="V791" s="23">
        <f t="shared" si="152"/>
        <v>4.2945697797742266E-2</v>
      </c>
      <c r="W791" s="22">
        <f t="shared" si="155"/>
        <v>3.5101934306169813E-3</v>
      </c>
      <c r="X791" s="23">
        <v>3.7752851553218392E-2</v>
      </c>
      <c r="Y791" s="23">
        <f t="shared" si="156"/>
        <v>4.294613100136413E-2</v>
      </c>
      <c r="Z791" s="22">
        <f t="shared" si="157"/>
        <v>3.5102279327323682E-3</v>
      </c>
      <c r="AA791" s="33"/>
      <c r="AB791" s="50">
        <f t="shared" si="153"/>
        <v>778</v>
      </c>
      <c r="AC791" s="48">
        <f t="shared" si="148"/>
        <v>0.19131048463203484</v>
      </c>
      <c r="AE791" s="48">
        <f t="shared" si="154"/>
        <v>0.99785682832886502</v>
      </c>
      <c r="AF791" s="48">
        <f t="shared" si="158"/>
        <v>0.19131048463203457</v>
      </c>
      <c r="AH791" s="48">
        <f t="shared" si="159"/>
        <v>-2.7755575615628914E-16</v>
      </c>
    </row>
    <row r="792" spans="4:34" ht="13.9" customHeight="1">
      <c r="D792" s="8"/>
      <c r="E792" s="9"/>
      <c r="F792" s="18"/>
      <c r="G792" s="18"/>
      <c r="H792" s="18"/>
      <c r="J792" s="40"/>
      <c r="K792" s="40"/>
      <c r="L792" s="40"/>
      <c r="M792" s="38"/>
      <c r="O792" s="12">
        <f t="shared" si="149"/>
        <v>64.916666666666671</v>
      </c>
      <c r="P792" s="13">
        <v>779</v>
      </c>
      <c r="Q792" s="21">
        <v>2.583783536571338E-2</v>
      </c>
      <c r="R792" s="18">
        <f t="shared" si="150"/>
        <v>2.6086410677076621E-2</v>
      </c>
      <c r="S792" s="21">
        <v>3.6269862370657657E-2</v>
      </c>
      <c r="T792" s="18">
        <f t="shared" si="151"/>
        <v>4.2948162335607609E-2</v>
      </c>
      <c r="U792" s="23">
        <v>3.8132815183131274E-2</v>
      </c>
      <c r="V792" s="23">
        <f t="shared" si="152"/>
        <v>4.2946261560275589E-2</v>
      </c>
      <c r="W792" s="22">
        <f t="shared" si="155"/>
        <v>3.5102391088850382E-3</v>
      </c>
      <c r="X792" s="23">
        <v>3.7759501546466456E-2</v>
      </c>
      <c r="Y792" s="23">
        <f t="shared" si="156"/>
        <v>4.2946697564333336E-2</v>
      </c>
      <c r="Z792" s="22">
        <f t="shared" si="157"/>
        <v>3.5102738441694648E-3</v>
      </c>
      <c r="AA792" s="33"/>
      <c r="AB792" s="50">
        <f t="shared" si="153"/>
        <v>779</v>
      </c>
      <c r="AC792" s="48">
        <f t="shared" si="148"/>
        <v>0.19090042305504426</v>
      </c>
      <c r="AE792" s="48">
        <f t="shared" si="154"/>
        <v>0.99785656506082476</v>
      </c>
      <c r="AF792" s="48">
        <f t="shared" si="158"/>
        <v>0.19090042305504371</v>
      </c>
      <c r="AH792" s="48">
        <f t="shared" si="159"/>
        <v>-5.5511151231257827E-16</v>
      </c>
    </row>
    <row r="793" spans="4:34" ht="13.9" customHeight="1">
      <c r="D793" s="8"/>
      <c r="E793" s="9"/>
      <c r="F793" s="18"/>
      <c r="G793" s="18"/>
      <c r="H793" s="18"/>
      <c r="J793" s="40"/>
      <c r="K793" s="40"/>
      <c r="L793" s="40"/>
      <c r="M793" s="38"/>
      <c r="O793" s="12">
        <f t="shared" si="149"/>
        <v>65</v>
      </c>
      <c r="P793" s="13">
        <v>780</v>
      </c>
      <c r="Q793" s="21">
        <v>2.5838154013454684E-2</v>
      </c>
      <c r="R793" s="18">
        <f t="shared" si="150"/>
        <v>2.6089605179683728E-2</v>
      </c>
      <c r="S793" s="21">
        <v>3.6278396857896134E-2</v>
      </c>
      <c r="T793" s="18">
        <f t="shared" si="151"/>
        <v>4.2948731546251562E-2</v>
      </c>
      <c r="U793" s="23">
        <v>3.8138972024012174E-2</v>
      </c>
      <c r="V793" s="23">
        <f t="shared" si="152"/>
        <v>4.2946819467732711E-2</v>
      </c>
      <c r="W793" s="22">
        <f t="shared" si="155"/>
        <v>3.5102843126872951E-3</v>
      </c>
      <c r="X793" s="23">
        <v>3.7766135253654687E-2</v>
      </c>
      <c r="Y793" s="23">
        <f t="shared" si="156"/>
        <v>4.2947258166691649E-2</v>
      </c>
      <c r="Z793" s="22">
        <f t="shared" si="157"/>
        <v>3.5103192725001175E-3</v>
      </c>
      <c r="AA793" s="33"/>
      <c r="AB793" s="50">
        <f t="shared" si="153"/>
        <v>780</v>
      </c>
      <c r="AC793" s="48">
        <f t="shared" si="148"/>
        <v>0.19049119058060762</v>
      </c>
      <c r="AE793" s="48">
        <f t="shared" si="154"/>
        <v>0.997856303994057</v>
      </c>
      <c r="AF793" s="48">
        <f t="shared" si="158"/>
        <v>0.19049119058060779</v>
      </c>
      <c r="AH793" s="48">
        <f t="shared" si="159"/>
        <v>0</v>
      </c>
    </row>
    <row r="794" spans="4:34" ht="13.9" customHeight="1">
      <c r="D794" s="8"/>
      <c r="E794" s="9"/>
      <c r="F794" s="18"/>
      <c r="G794" s="18"/>
      <c r="H794" s="18"/>
      <c r="J794" s="40"/>
      <c r="K794" s="40"/>
      <c r="L794" s="40"/>
      <c r="M794" s="38"/>
      <c r="O794" s="12">
        <f t="shared" si="149"/>
        <v>65.083333333333329</v>
      </c>
      <c r="P794" s="13">
        <v>781</v>
      </c>
      <c r="Q794" s="21">
        <v>2.5838475934572669E-2</v>
      </c>
      <c r="R794" s="18">
        <f t="shared" si="150"/>
        <v>2.6092772986302748E-2</v>
      </c>
      <c r="S794" s="21">
        <v>3.6286910284039742E-2</v>
      </c>
      <c r="T794" s="18">
        <f t="shared" si="151"/>
        <v>4.2949294504645685E-2</v>
      </c>
      <c r="U794" s="23">
        <v>3.8145113845770684E-2</v>
      </c>
      <c r="V794" s="23">
        <f t="shared" si="152"/>
        <v>4.2947371581076643E-2</v>
      </c>
      <c r="W794" s="22">
        <f t="shared" si="155"/>
        <v>3.5103290469939985E-3</v>
      </c>
      <c r="X794" s="23">
        <v>3.7772752729598125E-2</v>
      </c>
      <c r="Y794" s="23">
        <f t="shared" si="156"/>
        <v>4.2947812870625768E-2</v>
      </c>
      <c r="Z794" s="22">
        <f t="shared" si="157"/>
        <v>3.5103642228728749E-3</v>
      </c>
      <c r="AA794" s="33"/>
      <c r="AB794" s="50">
        <f t="shared" si="153"/>
        <v>781</v>
      </c>
      <c r="AC794" s="48">
        <f t="shared" si="148"/>
        <v>0.19008278606105614</v>
      </c>
      <c r="AE794" s="48">
        <f t="shared" si="154"/>
        <v>0.99785604510998072</v>
      </c>
      <c r="AF794" s="48">
        <f t="shared" si="158"/>
        <v>0.19008278606105691</v>
      </c>
      <c r="AH794" s="48">
        <f t="shared" si="159"/>
        <v>7.7715611723760958E-16</v>
      </c>
    </row>
    <row r="795" spans="4:34" ht="13.9" customHeight="1">
      <c r="D795" s="8"/>
      <c r="E795" s="9"/>
      <c r="F795" s="18"/>
      <c r="G795" s="18"/>
      <c r="H795" s="18"/>
      <c r="J795" s="40"/>
      <c r="K795" s="40"/>
      <c r="L795" s="40"/>
      <c r="M795" s="38"/>
      <c r="O795" s="12">
        <f t="shared" si="149"/>
        <v>65.166666666666671</v>
      </c>
      <c r="P795" s="13">
        <v>782</v>
      </c>
      <c r="Q795" s="21">
        <v>2.5838801082370688E-2</v>
      </c>
      <c r="R795" s="18">
        <f t="shared" si="150"/>
        <v>2.6095914321029978E-2</v>
      </c>
      <c r="S795" s="21">
        <v>3.629540272169085E-2</v>
      </c>
      <c r="T795" s="18">
        <f t="shared" si="151"/>
        <v>4.294985127954698E-2</v>
      </c>
      <c r="U795" s="23">
        <v>3.8151240698522715E-2</v>
      </c>
      <c r="V795" s="23">
        <f t="shared" si="152"/>
        <v>4.2947917959994975E-2</v>
      </c>
      <c r="W795" s="22">
        <f t="shared" si="155"/>
        <v>3.5103733166934603E-3</v>
      </c>
      <c r="X795" s="23">
        <v>3.7779354028911305E-2</v>
      </c>
      <c r="Y795" s="23">
        <f t="shared" si="156"/>
        <v>4.2948361738474272E-2</v>
      </c>
      <c r="Z795" s="22">
        <f t="shared" si="157"/>
        <v>3.5104087002746365E-3</v>
      </c>
      <c r="AA795" s="33"/>
      <c r="AB795" s="50">
        <f t="shared" si="153"/>
        <v>782</v>
      </c>
      <c r="AC795" s="48">
        <f t="shared" si="148"/>
        <v>0.1896752083443666</v>
      </c>
      <c r="AE795" s="48">
        <f t="shared" si="154"/>
        <v>0.99785578839022304</v>
      </c>
      <c r="AF795" s="48">
        <f t="shared" si="158"/>
        <v>0.18967520834436605</v>
      </c>
      <c r="AH795" s="48">
        <f t="shared" si="159"/>
        <v>-5.5511151231257827E-16</v>
      </c>
    </row>
    <row r="796" spans="4:34" ht="13.9" customHeight="1">
      <c r="D796" s="8"/>
      <c r="E796" s="9"/>
      <c r="F796" s="18"/>
      <c r="G796" s="18"/>
      <c r="H796" s="18"/>
      <c r="J796" s="40"/>
      <c r="K796" s="40"/>
      <c r="L796" s="40"/>
      <c r="M796" s="38"/>
      <c r="O796" s="12">
        <f t="shared" si="149"/>
        <v>65.25</v>
      </c>
      <c r="P796" s="13">
        <v>783</v>
      </c>
      <c r="Q796" s="21">
        <v>2.5839129410677453E-2</v>
      </c>
      <c r="R796" s="18">
        <f t="shared" si="150"/>
        <v>2.6099029407055552E-2</v>
      </c>
      <c r="S796" s="21">
        <v>3.6303874243169387E-2</v>
      </c>
      <c r="T796" s="18">
        <f t="shared" si="151"/>
        <v>4.2950401938298688E-2</v>
      </c>
      <c r="U796" s="23">
        <v>3.8157352632204544E-2</v>
      </c>
      <c r="V796" s="23">
        <f t="shared" si="152"/>
        <v>4.2948458664662015E-2</v>
      </c>
      <c r="W796" s="22">
        <f t="shared" si="155"/>
        <v>3.5104171265727402E-3</v>
      </c>
      <c r="X796" s="23">
        <v>3.7785939206009589E-2</v>
      </c>
      <c r="Y796" s="23">
        <f t="shared" si="156"/>
        <v>4.2948904831443313E-2</v>
      </c>
      <c r="Z796" s="22">
        <f t="shared" si="157"/>
        <v>3.5104527097047367E-3</v>
      </c>
      <c r="AA796" s="33"/>
      <c r="AB796" s="50">
        <f t="shared" si="153"/>
        <v>783</v>
      </c>
      <c r="AC796" s="48">
        <f t="shared" si="148"/>
        <v>0.18926845627424196</v>
      </c>
      <c r="AE796" s="48">
        <f t="shared" si="154"/>
        <v>0.99785553381660108</v>
      </c>
      <c r="AF796" s="48">
        <f t="shared" si="158"/>
        <v>0.18926845627424241</v>
      </c>
      <c r="AH796" s="48">
        <f t="shared" si="159"/>
        <v>4.4408920985006262E-16</v>
      </c>
    </row>
    <row r="797" spans="4:34" ht="13.9" customHeight="1">
      <c r="D797" s="8"/>
      <c r="E797" s="9"/>
      <c r="F797" s="18"/>
      <c r="G797" s="18"/>
      <c r="H797" s="18"/>
      <c r="J797" s="40"/>
      <c r="K797" s="40"/>
      <c r="L797" s="40"/>
      <c r="M797" s="38"/>
      <c r="O797" s="12">
        <f t="shared" si="149"/>
        <v>65.333333333333329</v>
      </c>
      <c r="P797" s="13">
        <v>784</v>
      </c>
      <c r="Q797" s="21">
        <v>2.583946087384148E-2</v>
      </c>
      <c r="R797" s="18">
        <f t="shared" si="150"/>
        <v>2.610211846530075E-2</v>
      </c>
      <c r="S797" s="21">
        <v>3.631232492051284E-2</v>
      </c>
      <c r="T797" s="18">
        <f t="shared" si="151"/>
        <v>4.2950946548643065E-2</v>
      </c>
      <c r="U797" s="23">
        <v>3.8163449696574592E-2</v>
      </c>
      <c r="V797" s="23">
        <f t="shared" si="152"/>
        <v>4.2948993753661791E-2</v>
      </c>
      <c r="W797" s="22">
        <f t="shared" si="155"/>
        <v>3.5104604814570894E-3</v>
      </c>
      <c r="X797" s="23">
        <v>3.7792508315108719E-2</v>
      </c>
      <c r="Y797" s="23">
        <f t="shared" si="156"/>
        <v>4.2949442210940658E-2</v>
      </c>
      <c r="Z797" s="22">
        <f t="shared" si="157"/>
        <v>3.5104962560712494E-3</v>
      </c>
      <c r="AA797" s="33"/>
      <c r="AB797" s="50">
        <f t="shared" si="153"/>
        <v>784</v>
      </c>
      <c r="AC797" s="48">
        <f t="shared" si="148"/>
        <v>0.18886252869019024</v>
      </c>
      <c r="AE797" s="48">
        <f t="shared" si="154"/>
        <v>0.99785528137100654</v>
      </c>
      <c r="AF797" s="48">
        <f t="shared" si="158"/>
        <v>0.18886252869019021</v>
      </c>
      <c r="AH797" s="48">
        <f t="shared" si="159"/>
        <v>0</v>
      </c>
    </row>
    <row r="798" spans="4:34" ht="13.9" customHeight="1">
      <c r="D798" s="8"/>
      <c r="E798" s="9"/>
      <c r="F798" s="18"/>
      <c r="G798" s="18"/>
      <c r="H798" s="18"/>
      <c r="J798" s="40"/>
      <c r="K798" s="40"/>
      <c r="L798" s="40"/>
      <c r="M798" s="38"/>
      <c r="O798" s="12">
        <f t="shared" si="149"/>
        <v>65.416666666666671</v>
      </c>
      <c r="P798" s="13">
        <v>785</v>
      </c>
      <c r="Q798" s="21">
        <v>2.5839795426725987E-2</v>
      </c>
      <c r="R798" s="18">
        <f t="shared" si="150"/>
        <v>2.6105181714483505E-2</v>
      </c>
      <c r="S798" s="21">
        <v>3.632075482547803E-2</v>
      </c>
      <c r="T798" s="18">
        <f t="shared" si="151"/>
        <v>4.2951485176894844E-2</v>
      </c>
      <c r="U798" s="23">
        <v>3.8169531941212087E-2</v>
      </c>
      <c r="V798" s="23">
        <f t="shared" si="152"/>
        <v>4.2949523285541469E-2</v>
      </c>
      <c r="W798" s="22">
        <f t="shared" si="155"/>
        <v>3.5105033860447499E-3</v>
      </c>
      <c r="X798" s="23">
        <v>3.779906141022682E-2</v>
      </c>
      <c r="Y798" s="23">
        <f t="shared" si="156"/>
        <v>4.2949973936274422E-2</v>
      </c>
      <c r="Z798" s="22">
        <f t="shared" si="157"/>
        <v>3.510539344299124E-3</v>
      </c>
      <c r="AA798" s="33"/>
      <c r="AB798" s="50">
        <f t="shared" si="153"/>
        <v>785</v>
      </c>
      <c r="AC798" s="48">
        <f t="shared" si="148"/>
        <v>0.18845742442759636</v>
      </c>
      <c r="AE798" s="48">
        <f t="shared" si="154"/>
        <v>0.99785503103551521</v>
      </c>
      <c r="AF798" s="48">
        <f t="shared" si="158"/>
        <v>0.18845742442759564</v>
      </c>
      <c r="AH798" s="48">
        <f t="shared" si="159"/>
        <v>-7.2164496600635175E-16</v>
      </c>
    </row>
    <row r="799" spans="4:34" ht="13.9" customHeight="1">
      <c r="D799" s="8"/>
      <c r="E799" s="9"/>
      <c r="F799" s="18"/>
      <c r="G799" s="18"/>
      <c r="H799" s="18"/>
      <c r="J799" s="40"/>
      <c r="K799" s="40"/>
      <c r="L799" s="40"/>
      <c r="M799" s="38"/>
      <c r="O799" s="12">
        <f t="shared" si="149"/>
        <v>65.5</v>
      </c>
      <c r="P799" s="13">
        <v>786</v>
      </c>
      <c r="Q799" s="21">
        <v>2.584013302470245E-2</v>
      </c>
      <c r="R799" s="18">
        <f t="shared" si="150"/>
        <v>2.6108219371774544E-2</v>
      </c>
      <c r="S799" s="21">
        <v>3.6329164029541783E-2</v>
      </c>
      <c r="T799" s="18">
        <f t="shared" si="151"/>
        <v>4.2952017889191785E-2</v>
      </c>
      <c r="U799" s="23">
        <v>3.817559941551929E-2</v>
      </c>
      <c r="V799" s="23">
        <f t="shared" si="152"/>
        <v>4.295004731803842E-2</v>
      </c>
      <c r="W799" s="22">
        <f t="shared" si="155"/>
        <v>3.5105458450306326E-3</v>
      </c>
      <c r="X799" s="23">
        <v>3.7805598545182839E-2</v>
      </c>
      <c r="Y799" s="23">
        <f t="shared" si="156"/>
        <v>4.2950500067584718E-2</v>
      </c>
      <c r="Z799" s="22">
        <f t="shared" si="157"/>
        <v>3.5105819791438897E-3</v>
      </c>
      <c r="AA799" s="33"/>
      <c r="AB799" s="50">
        <f t="shared" si="153"/>
        <v>786</v>
      </c>
      <c r="AC799" s="48">
        <f t="shared" si="148"/>
        <v>0.1880531423178097</v>
      </c>
      <c r="AE799" s="48">
        <f t="shared" si="154"/>
        <v>0.99785478279238149</v>
      </c>
      <c r="AF799" s="48">
        <f t="shared" si="158"/>
        <v>0.18805314231781009</v>
      </c>
      <c r="AH799" s="48">
        <f t="shared" si="159"/>
        <v>3.8857805861880479E-16</v>
      </c>
    </row>
    <row r="800" spans="4:34" ht="13.9" customHeight="1">
      <c r="D800" s="8"/>
      <c r="E800" s="9"/>
      <c r="F800" s="18"/>
      <c r="G800" s="18"/>
      <c r="H800" s="18"/>
      <c r="J800" s="40"/>
      <c r="K800" s="40"/>
      <c r="L800" s="40"/>
      <c r="M800" s="38"/>
      <c r="O800" s="12">
        <f t="shared" si="149"/>
        <v>65.583333333333329</v>
      </c>
      <c r="P800" s="13">
        <v>787</v>
      </c>
      <c r="Q800" s="21">
        <v>2.5840473623644833E-2</v>
      </c>
      <c r="R800" s="18">
        <f t="shared" si="150"/>
        <v>2.6111231652173217E-2</v>
      </c>
      <c r="S800" s="21">
        <v>3.6337552603901813E-2</v>
      </c>
      <c r="T800" s="18">
        <f t="shared" si="151"/>
        <v>4.2952544749879307E-2</v>
      </c>
      <c r="U800" s="23">
        <v>3.8181652168720159E-2</v>
      </c>
      <c r="V800" s="23">
        <f t="shared" si="152"/>
        <v>4.2950565908261407E-2</v>
      </c>
      <c r="W800" s="22">
        <f t="shared" si="155"/>
        <v>3.5105878630450338E-3</v>
      </c>
      <c r="X800" s="23">
        <v>3.7812119773598551E-2</v>
      </c>
      <c r="Y800" s="23">
        <f t="shared" si="156"/>
        <v>4.2951020663637207E-2</v>
      </c>
      <c r="Z800" s="22">
        <f t="shared" si="157"/>
        <v>3.5106241654285775E-3</v>
      </c>
      <c r="AA800" s="33"/>
      <c r="AB800" s="50">
        <f t="shared" si="153"/>
        <v>787</v>
      </c>
      <c r="AC800" s="48">
        <f t="shared" si="148"/>
        <v>0.18764968118822326</v>
      </c>
      <c r="AE800" s="48">
        <f t="shared" si="154"/>
        <v>0.99785453662398593</v>
      </c>
      <c r="AF800" s="48">
        <f t="shared" si="158"/>
        <v>0.18764968118822287</v>
      </c>
      <c r="AH800" s="48">
        <f t="shared" si="159"/>
        <v>-3.8857805861880479E-16</v>
      </c>
    </row>
    <row r="801" spans="4:34" ht="13.9" customHeight="1">
      <c r="D801" s="8"/>
      <c r="E801" s="9"/>
      <c r="F801" s="18"/>
      <c r="G801" s="18"/>
      <c r="H801" s="18"/>
      <c r="J801" s="40"/>
      <c r="K801" s="40"/>
      <c r="L801" s="40"/>
      <c r="M801" s="38"/>
      <c r="O801" s="12">
        <f t="shared" si="149"/>
        <v>65.666666666666671</v>
      </c>
      <c r="P801" s="13">
        <v>788</v>
      </c>
      <c r="Q801" s="21">
        <v>2.5840817179924702E-2</v>
      </c>
      <c r="R801" s="18">
        <f t="shared" si="150"/>
        <v>2.6114218769158093E-2</v>
      </c>
      <c r="S801" s="21">
        <v>3.6345920619476946E-2</v>
      </c>
      <c r="T801" s="18">
        <f t="shared" si="151"/>
        <v>4.2953065823692071E-2</v>
      </c>
      <c r="U801" s="23">
        <v>3.8187690249861905E-2</v>
      </c>
      <c r="V801" s="23">
        <f t="shared" si="152"/>
        <v>4.2951079112633739E-2</v>
      </c>
      <c r="W801" s="22">
        <f t="shared" si="155"/>
        <v>3.5106294446674013E-3</v>
      </c>
      <c r="X801" s="23">
        <v>3.7818625148898333E-2</v>
      </c>
      <c r="Y801" s="23">
        <f t="shared" si="156"/>
        <v>4.2951535782326244E-2</v>
      </c>
      <c r="Z801" s="22">
        <f t="shared" si="157"/>
        <v>3.510665907865862E-3</v>
      </c>
      <c r="AA801" s="33"/>
      <c r="AB801" s="50">
        <f t="shared" si="153"/>
        <v>788</v>
      </c>
      <c r="AC801" s="48">
        <f t="shared" si="148"/>
        <v>0.18724703986234256</v>
      </c>
      <c r="AE801" s="48">
        <f t="shared" si="154"/>
        <v>0.99785429251288504</v>
      </c>
      <c r="AF801" s="48">
        <f t="shared" si="158"/>
        <v>0.18724703986234256</v>
      </c>
      <c r="AH801" s="48">
        <f t="shared" si="159"/>
        <v>0</v>
      </c>
    </row>
    <row r="802" spans="4:34" ht="13.9" customHeight="1">
      <c r="D802" s="8"/>
      <c r="E802" s="9"/>
      <c r="F802" s="18"/>
      <c r="G802" s="18"/>
      <c r="H802" s="18"/>
      <c r="J802" s="40"/>
      <c r="K802" s="40"/>
      <c r="L802" s="40"/>
      <c r="M802" s="38"/>
      <c r="O802" s="12">
        <f t="shared" si="149"/>
        <v>65.75</v>
      </c>
      <c r="P802" s="13">
        <v>789</v>
      </c>
      <c r="Q802" s="21">
        <v>2.584116365040523E-2</v>
      </c>
      <c r="R802" s="18">
        <f t="shared" si="150"/>
        <v>2.6117180934542628E-2</v>
      </c>
      <c r="S802" s="21">
        <v>3.6354268146908675E-2</v>
      </c>
      <c r="T802" s="18">
        <f t="shared" si="151"/>
        <v>4.2953581174056898E-2</v>
      </c>
      <c r="U802" s="23">
        <v>3.8193713707814547E-2</v>
      </c>
      <c r="V802" s="23">
        <f t="shared" si="152"/>
        <v>4.2951586987230339E-2</v>
      </c>
      <c r="W802" s="22">
        <f t="shared" si="155"/>
        <v>3.5106705944227823E-3</v>
      </c>
      <c r="X802" s="23">
        <v>3.7825114724309605E-2</v>
      </c>
      <c r="Y802" s="23">
        <f t="shared" si="156"/>
        <v>4.2952045482013368E-2</v>
      </c>
      <c r="Z802" s="22">
        <f t="shared" si="157"/>
        <v>3.5107072110984738E-3</v>
      </c>
      <c r="AA802" s="33"/>
      <c r="AB802" s="50">
        <f t="shared" si="153"/>
        <v>789</v>
      </c>
      <c r="AC802" s="48">
        <f t="shared" si="148"/>
        <v>0.18684521715986779</v>
      </c>
      <c r="AE802" s="48">
        <f t="shared" si="154"/>
        <v>0.9978540504417599</v>
      </c>
      <c r="AF802" s="48">
        <f t="shared" si="158"/>
        <v>0.18684521715986821</v>
      </c>
      <c r="AH802" s="48">
        <f t="shared" si="159"/>
        <v>4.163336342344337E-16</v>
      </c>
    </row>
    <row r="803" spans="4:34" ht="13.9" customHeight="1">
      <c r="D803" s="8"/>
      <c r="E803" s="9"/>
      <c r="F803" s="18"/>
      <c r="G803" s="18"/>
      <c r="H803" s="18"/>
      <c r="J803" s="40"/>
      <c r="K803" s="40"/>
      <c r="L803" s="40"/>
      <c r="M803" s="38"/>
      <c r="O803" s="12">
        <f t="shared" si="149"/>
        <v>65.833333333333329</v>
      </c>
      <c r="P803" s="13">
        <v>790</v>
      </c>
      <c r="Q803" s="21">
        <v>2.5841512992436311E-2</v>
      </c>
      <c r="R803" s="18">
        <f t="shared" si="150"/>
        <v>2.6120118357811695E-2</v>
      </c>
      <c r="S803" s="21">
        <v>3.6362595256561825E-2</v>
      </c>
      <c r="T803" s="18">
        <f t="shared" si="151"/>
        <v>4.2954090864281147E-2</v>
      </c>
      <c r="U803" s="23">
        <v>3.8199722591271801E-2</v>
      </c>
      <c r="V803" s="23">
        <f t="shared" si="152"/>
        <v>4.2952089587886322E-2</v>
      </c>
      <c r="W803" s="22">
        <f t="shared" si="155"/>
        <v>3.5107113168075799E-3</v>
      </c>
      <c r="X803" s="23">
        <v>3.7831588552863948E-2</v>
      </c>
      <c r="Y803" s="23">
        <f t="shared" si="156"/>
        <v>4.2952549819414099E-2</v>
      </c>
      <c r="Z803" s="22">
        <f t="shared" si="157"/>
        <v>3.5107480798062252E-3</v>
      </c>
      <c r="AA803" s="33"/>
      <c r="AB803" s="50">
        <f t="shared" si="153"/>
        <v>790</v>
      </c>
      <c r="AC803" s="48">
        <f t="shared" si="148"/>
        <v>0.18644421189676164</v>
      </c>
      <c r="AE803" s="48">
        <f t="shared" si="154"/>
        <v>0.99785381039342591</v>
      </c>
      <c r="AF803" s="48">
        <f t="shared" si="158"/>
        <v>0.18644421189676164</v>
      </c>
      <c r="AH803" s="48">
        <f t="shared" si="159"/>
        <v>0</v>
      </c>
    </row>
    <row r="804" spans="4:34" ht="13.9" customHeight="1">
      <c r="D804" s="8"/>
      <c r="E804" s="9"/>
      <c r="F804" s="18"/>
      <c r="G804" s="18"/>
      <c r="H804" s="18"/>
      <c r="J804" s="40"/>
      <c r="K804" s="40"/>
      <c r="L804" s="40"/>
      <c r="M804" s="38"/>
      <c r="O804" s="12">
        <f t="shared" si="149"/>
        <v>65.916666666666671</v>
      </c>
      <c r="P804" s="13">
        <v>791</v>
      </c>
      <c r="Q804" s="21">
        <v>2.5841865163848787E-2</v>
      </c>
      <c r="R804" s="18">
        <f t="shared" si="150"/>
        <v>2.6123031247295758E-2</v>
      </c>
      <c r="S804" s="21">
        <v>3.6370902018525664E-2</v>
      </c>
      <c r="T804" s="18">
        <f t="shared" si="151"/>
        <v>4.2954594955921799E-2</v>
      </c>
      <c r="U804" s="23">
        <v>3.8205716948751745E-2</v>
      </c>
      <c r="V804" s="23">
        <f t="shared" si="152"/>
        <v>4.2952586968749262E-2</v>
      </c>
      <c r="W804" s="22">
        <f t="shared" si="155"/>
        <v>3.5107516162995456E-3</v>
      </c>
      <c r="X804" s="23">
        <v>3.7838046687396876E-2</v>
      </c>
      <c r="Y804" s="23">
        <f t="shared" si="156"/>
        <v>4.2953048850536968E-2</v>
      </c>
      <c r="Z804" s="22">
        <f t="shared" si="157"/>
        <v>3.5107885185374776E-3</v>
      </c>
      <c r="AA804" s="33"/>
      <c r="AB804" s="50">
        <f t="shared" si="153"/>
        <v>791</v>
      </c>
      <c r="AC804" s="48">
        <f t="shared" si="148"/>
        <v>0.18604402288532876</v>
      </c>
      <c r="AE804" s="48">
        <f t="shared" si="154"/>
        <v>0.99785357235088779</v>
      </c>
      <c r="AF804" s="48">
        <f t="shared" si="158"/>
        <v>0.18604402288532948</v>
      </c>
      <c r="AH804" s="48">
        <f t="shared" si="159"/>
        <v>7.2164496600635175E-16</v>
      </c>
    </row>
    <row r="805" spans="4:34" ht="13.9" customHeight="1">
      <c r="D805" s="8"/>
      <c r="E805" s="9"/>
      <c r="F805" s="18"/>
      <c r="G805" s="18"/>
      <c r="H805" s="18"/>
      <c r="J805" s="40"/>
      <c r="K805" s="40"/>
      <c r="L805" s="40"/>
      <c r="M805" s="38"/>
      <c r="O805" s="12">
        <f t="shared" si="149"/>
        <v>66</v>
      </c>
      <c r="P805" s="13">
        <v>792</v>
      </c>
      <c r="Q805" s="21">
        <v>2.5842220122949344E-2</v>
      </c>
      <c r="R805" s="18">
        <f t="shared" si="150"/>
        <v>2.6125919808769327E-2</v>
      </c>
      <c r="S805" s="21">
        <v>3.6379188502613902E-2</v>
      </c>
      <c r="T805" s="18">
        <f t="shared" si="151"/>
        <v>4.2955093511130693E-2</v>
      </c>
      <c r="U805" s="23">
        <v>3.8211696828596153E-2</v>
      </c>
      <c r="V805" s="23">
        <f t="shared" si="152"/>
        <v>4.2953079184334886E-2</v>
      </c>
      <c r="W805" s="22">
        <f t="shared" si="155"/>
        <v>3.5107914972409837E-3</v>
      </c>
      <c r="X805" s="23">
        <v>3.7844489180548058E-2</v>
      </c>
      <c r="Y805" s="23">
        <f t="shared" si="156"/>
        <v>4.2953542631848807E-2</v>
      </c>
      <c r="Z805" s="22">
        <f t="shared" si="157"/>
        <v>3.5108285317837495E-3</v>
      </c>
      <c r="AA805" s="33"/>
      <c r="AB805" s="50">
        <f t="shared" si="153"/>
        <v>792</v>
      </c>
      <c r="AC805" s="48">
        <f t="shared" si="148"/>
        <v>0.18564464893428684</v>
      </c>
      <c r="AE805" s="48">
        <f t="shared" si="154"/>
        <v>0.9978533362972446</v>
      </c>
      <c r="AF805" s="48">
        <f t="shared" si="158"/>
        <v>0.18564464893428695</v>
      </c>
      <c r="AH805" s="48">
        <f t="shared" si="159"/>
        <v>0</v>
      </c>
    </row>
    <row r="806" spans="4:34" ht="13.9" customHeight="1">
      <c r="D806" s="8"/>
      <c r="E806" s="9"/>
      <c r="F806" s="18"/>
      <c r="G806" s="18"/>
      <c r="H806" s="18"/>
      <c r="J806" s="40"/>
      <c r="K806" s="40"/>
      <c r="L806" s="40"/>
      <c r="M806" s="38"/>
      <c r="O806" s="12">
        <f t="shared" si="149"/>
        <v>66.083333333333329</v>
      </c>
      <c r="P806" s="13">
        <v>793</v>
      </c>
      <c r="Q806" s="21">
        <v>2.5842577828514957E-2</v>
      </c>
      <c r="R806" s="18">
        <f t="shared" si="150"/>
        <v>2.6128784246765901E-2</v>
      </c>
      <c r="S806" s="21">
        <v>3.638745477836669E-2</v>
      </c>
      <c r="T806" s="18">
        <f t="shared" si="151"/>
        <v>4.2955586590247119E-2</v>
      </c>
      <c r="U806" s="23">
        <v>3.8217662278971831E-2</v>
      </c>
      <c r="V806" s="23">
        <f t="shared" si="152"/>
        <v>4.2953566288258749E-2</v>
      </c>
      <c r="W806" s="22">
        <f t="shared" si="155"/>
        <v>3.5108309640037305E-3</v>
      </c>
      <c r="X806" s="23">
        <v>3.7850916084762876E-2</v>
      </c>
      <c r="Y806" s="23">
        <f t="shared" si="156"/>
        <v>4.2954031218637168E-2</v>
      </c>
      <c r="Z806" s="22">
        <f t="shared" si="157"/>
        <v>3.5108681240729744E-3</v>
      </c>
      <c r="AA806" s="33"/>
      <c r="AB806" s="50">
        <f t="shared" si="153"/>
        <v>793</v>
      </c>
      <c r="AC806" s="48">
        <f t="shared" si="148"/>
        <v>0.18524608884884128</v>
      </c>
      <c r="AE806" s="48">
        <f t="shared" si="154"/>
        <v>0.99785310221580237</v>
      </c>
      <c r="AF806" s="48">
        <f t="shared" si="158"/>
        <v>0.18524608884884178</v>
      </c>
      <c r="AH806" s="48">
        <f t="shared" si="159"/>
        <v>4.9960036108132044E-16</v>
      </c>
    </row>
    <row r="807" spans="4:34" ht="13.9" customHeight="1">
      <c r="D807" s="8"/>
      <c r="E807" s="9"/>
      <c r="F807" s="18"/>
      <c r="G807" s="18"/>
      <c r="H807" s="18"/>
      <c r="J807" s="40"/>
      <c r="K807" s="40"/>
      <c r="L807" s="40"/>
      <c r="M807" s="38"/>
      <c r="O807" s="12">
        <f t="shared" si="149"/>
        <v>66.166666666666671</v>
      </c>
      <c r="P807" s="13">
        <v>794</v>
      </c>
      <c r="Q807" s="21">
        <v>2.5842938239787783E-2</v>
      </c>
      <c r="R807" s="18">
        <f t="shared" si="150"/>
        <v>2.6131624764264449E-2</v>
      </c>
      <c r="S807" s="21">
        <v>3.6395700915050844E-2</v>
      </c>
      <c r="T807" s="18">
        <f t="shared" si="151"/>
        <v>4.2956074253863941E-2</v>
      </c>
      <c r="U807" s="23">
        <v>3.8223613347870389E-2</v>
      </c>
      <c r="V807" s="23">
        <f t="shared" si="152"/>
        <v>4.2954048333837092E-2</v>
      </c>
      <c r="W807" s="22">
        <f t="shared" si="155"/>
        <v>3.5108700208867916E-3</v>
      </c>
      <c r="X807" s="23">
        <v>3.7857327452292422E-2</v>
      </c>
      <c r="Y807" s="23">
        <f t="shared" si="156"/>
        <v>4.2954514664935051E-2</v>
      </c>
      <c r="Z807" s="22">
        <f t="shared" si="157"/>
        <v>3.510907299838939E-3</v>
      </c>
      <c r="AA807" s="33"/>
      <c r="AB807" s="50">
        <f t="shared" si="153"/>
        <v>794</v>
      </c>
      <c r="AC807" s="48">
        <f t="shared" si="148"/>
        <v>0.18484834143075804</v>
      </c>
      <c r="AE807" s="48">
        <f t="shared" si="154"/>
        <v>0.99785287008996837</v>
      </c>
      <c r="AF807" s="48">
        <f t="shared" si="158"/>
        <v>0.18484834143075804</v>
      </c>
      <c r="AH807" s="48">
        <f t="shared" si="159"/>
        <v>0</v>
      </c>
    </row>
    <row r="808" spans="4:34" ht="13.9" customHeight="1">
      <c r="D808" s="8"/>
      <c r="E808" s="9"/>
      <c r="F808" s="18"/>
      <c r="G808" s="18"/>
      <c r="H808" s="18"/>
      <c r="J808" s="40"/>
      <c r="K808" s="40"/>
      <c r="L808" s="40"/>
      <c r="M808" s="38"/>
      <c r="O808" s="12">
        <f t="shared" si="149"/>
        <v>66.25</v>
      </c>
      <c r="P808" s="13">
        <v>795</v>
      </c>
      <c r="Q808" s="21">
        <v>2.5843301316470724E-2</v>
      </c>
      <c r="R808" s="18">
        <f t="shared" si="150"/>
        <v>2.6134441562131849E-2</v>
      </c>
      <c r="S808" s="21">
        <v>3.6403926981660728E-2</v>
      </c>
      <c r="T808" s="18">
        <f t="shared" si="151"/>
        <v>4.2956556561134507E-2</v>
      </c>
      <c r="U808" s="23">
        <v>3.8229550083109576E-2</v>
      </c>
      <c r="V808" s="23">
        <f t="shared" si="152"/>
        <v>4.2954525373246399E-2</v>
      </c>
      <c r="W808" s="22">
        <f t="shared" si="155"/>
        <v>3.5109086721660798E-3</v>
      </c>
      <c r="X808" s="23">
        <v>3.7863723335193056E-2</v>
      </c>
      <c r="Y808" s="23">
        <f t="shared" si="156"/>
        <v>4.2954993025710486E-2</v>
      </c>
      <c r="Z808" s="22">
        <f t="shared" si="157"/>
        <v>3.5109460634146217E-3</v>
      </c>
      <c r="AA808" s="33"/>
      <c r="AB808" s="50">
        <f t="shared" si="153"/>
        <v>795</v>
      </c>
      <c r="AC808" s="48">
        <f t="shared" si="148"/>
        <v>0.18445140547842451</v>
      </c>
      <c r="AE808" s="48">
        <f t="shared" si="154"/>
        <v>0.99785263990327622</v>
      </c>
      <c r="AF808" s="48">
        <f t="shared" si="158"/>
        <v>0.18445140547842406</v>
      </c>
      <c r="AH808" s="48">
        <f t="shared" si="159"/>
        <v>-4.4408920985006262E-16</v>
      </c>
    </row>
    <row r="809" spans="4:34" ht="13.9" customHeight="1">
      <c r="D809" s="8"/>
      <c r="E809" s="9"/>
      <c r="F809" s="18"/>
      <c r="G809" s="18"/>
      <c r="H809" s="18"/>
      <c r="J809" s="40"/>
      <c r="K809" s="40"/>
      <c r="L809" s="40"/>
      <c r="M809" s="38"/>
      <c r="O809" s="12">
        <f t="shared" si="149"/>
        <v>66.333333333333329</v>
      </c>
      <c r="P809" s="13">
        <v>796</v>
      </c>
      <c r="Q809" s="21">
        <v>2.584366701872165E-2</v>
      </c>
      <c r="R809" s="18">
        <f t="shared" si="150"/>
        <v>2.6137234839495038E-2</v>
      </c>
      <c r="S809" s="21">
        <v>3.641213304691937E-2</v>
      </c>
      <c r="T809" s="18">
        <f t="shared" si="151"/>
        <v>4.295703357130698E-2</v>
      </c>
      <c r="U809" s="23">
        <v>3.8235472532332171E-2</v>
      </c>
      <c r="V809" s="23">
        <f t="shared" si="152"/>
        <v>4.295499745912279E-2</v>
      </c>
      <c r="W809" s="22">
        <f t="shared" si="155"/>
        <v>3.5109469220258038E-3</v>
      </c>
      <c r="X809" s="23">
        <v>3.7870103785328846E-2</v>
      </c>
      <c r="Y809" s="23">
        <f t="shared" si="156"/>
        <v>4.2955466353733485E-2</v>
      </c>
      <c r="Z809" s="22">
        <f t="shared" si="157"/>
        <v>3.5109844192078299E-3</v>
      </c>
      <c r="AA809" s="33"/>
      <c r="AB809" s="50">
        <f t="shared" si="153"/>
        <v>796</v>
      </c>
      <c r="AC809" s="48">
        <f t="shared" si="148"/>
        <v>0.18405527978692818</v>
      </c>
      <c r="AE809" s="48">
        <f t="shared" si="154"/>
        <v>0.9978524116394305</v>
      </c>
      <c r="AF809" s="48">
        <f t="shared" si="158"/>
        <v>0.18405527978692793</v>
      </c>
      <c r="AH809" s="48">
        <f t="shared" si="159"/>
        <v>-2.4980018054066022E-16</v>
      </c>
    </row>
    <row r="810" spans="4:34" ht="13.9" customHeight="1">
      <c r="D810" s="8"/>
      <c r="E810" s="9"/>
      <c r="F810" s="18"/>
      <c r="G810" s="18"/>
      <c r="H810" s="18"/>
      <c r="J810" s="40"/>
      <c r="K810" s="40"/>
      <c r="L810" s="40"/>
      <c r="M810" s="38"/>
      <c r="O810" s="12">
        <f t="shared" si="149"/>
        <v>66.416666666666671</v>
      </c>
      <c r="P810" s="13">
        <v>797</v>
      </c>
      <c r="Q810" s="21">
        <v>2.5844035307148294E-2</v>
      </c>
      <c r="R810" s="18">
        <f t="shared" si="150"/>
        <v>2.6140004794442673E-2</v>
      </c>
      <c r="S810" s="21">
        <v>3.6420319179279348E-2</v>
      </c>
      <c r="T810" s="18">
        <f t="shared" si="151"/>
        <v>4.2957505342224644E-2</v>
      </c>
      <c r="U810" s="23">
        <v>3.8241380743008202E-2</v>
      </c>
      <c r="V810" s="23">
        <f t="shared" si="152"/>
        <v>4.2955464642261409E-2</v>
      </c>
      <c r="W810" s="22">
        <f t="shared" si="155"/>
        <v>3.5109847746865874E-3</v>
      </c>
      <c r="X810" s="23">
        <v>3.7876468854370016E-2</v>
      </c>
      <c r="Y810" s="23">
        <f t="shared" si="156"/>
        <v>4.2955934702582743E-2</v>
      </c>
      <c r="Z810" s="22">
        <f t="shared" si="157"/>
        <v>3.5110223714505118E-3</v>
      </c>
      <c r="AA810" s="33"/>
      <c r="AB810" s="50">
        <f t="shared" si="153"/>
        <v>797</v>
      </c>
      <c r="AC810" s="48">
        <f t="shared" si="148"/>
        <v>0.18365996314812702</v>
      </c>
      <c r="AE810" s="48">
        <f t="shared" si="154"/>
        <v>0.99785218528227804</v>
      </c>
      <c r="AF810" s="48">
        <f t="shared" si="158"/>
        <v>0.18365996314812713</v>
      </c>
      <c r="AH810" s="48">
        <f t="shared" si="159"/>
        <v>0</v>
      </c>
    </row>
    <row r="811" spans="4:34" ht="13.9" customHeight="1">
      <c r="D811" s="8"/>
      <c r="E811" s="9"/>
      <c r="F811" s="18"/>
      <c r="G811" s="18"/>
      <c r="H811" s="18"/>
      <c r="J811" s="40"/>
      <c r="K811" s="40"/>
      <c r="L811" s="40"/>
      <c r="M811" s="38"/>
      <c r="O811" s="12">
        <f t="shared" si="149"/>
        <v>66.5</v>
      </c>
      <c r="P811" s="13">
        <v>798</v>
      </c>
      <c r="Q811" s="21">
        <v>2.5844406142804255E-2</v>
      </c>
      <c r="R811" s="18">
        <f t="shared" si="150"/>
        <v>2.6142751621972771E-2</v>
      </c>
      <c r="S811" s="21">
        <v>3.6428485446923231E-2</v>
      </c>
      <c r="T811" s="18">
        <f t="shared" si="151"/>
        <v>4.2957971931757211E-2</v>
      </c>
      <c r="U811" s="23">
        <v>3.8247274762433614E-2</v>
      </c>
      <c r="V811" s="23">
        <f t="shared" si="152"/>
        <v>4.2955926974008296E-2</v>
      </c>
      <c r="W811" s="22">
        <f t="shared" si="155"/>
        <v>3.5110222342218389E-3</v>
      </c>
      <c r="X811" s="23">
        <v>3.7882818593794942E-2</v>
      </c>
      <c r="Y811" s="23">
        <f t="shared" si="156"/>
        <v>4.2956398124148754E-2</v>
      </c>
      <c r="Z811" s="22">
        <f t="shared" si="157"/>
        <v>3.5110599244390084E-3</v>
      </c>
      <c r="AA811" s="33"/>
      <c r="AB811" s="50">
        <f t="shared" si="153"/>
        <v>798</v>
      </c>
      <c r="AC811" s="48">
        <f t="shared" si="148"/>
        <v>0.18326545435070679</v>
      </c>
      <c r="AE811" s="48">
        <f t="shared" si="154"/>
        <v>0.99785196081574945</v>
      </c>
      <c r="AF811" s="48">
        <f t="shared" si="158"/>
        <v>0.18326545435070693</v>
      </c>
      <c r="AH811" s="48">
        <f t="shared" si="159"/>
        <v>0</v>
      </c>
    </row>
    <row r="812" spans="4:34" ht="13.9" customHeight="1">
      <c r="D812" s="8"/>
      <c r="E812" s="9"/>
      <c r="F812" s="18"/>
      <c r="G812" s="18"/>
      <c r="H812" s="18"/>
      <c r="J812" s="40"/>
      <c r="K812" s="40"/>
      <c r="L812" s="40"/>
      <c r="M812" s="38"/>
      <c r="O812" s="12">
        <f t="shared" si="149"/>
        <v>66.583333333333329</v>
      </c>
      <c r="P812" s="13">
        <v>799</v>
      </c>
      <c r="Q812" s="21">
        <v>2.5844779487182334E-2</v>
      </c>
      <c r="R812" s="18">
        <f t="shared" si="150"/>
        <v>2.6145475517405092E-2</v>
      </c>
      <c r="S812" s="21">
        <v>3.6436631917765139E-2</v>
      </c>
      <c r="T812" s="18">
        <f t="shared" si="151"/>
        <v>4.2958433396469653E-2</v>
      </c>
      <c r="U812" s="23">
        <v>3.8253154637732045E-2</v>
      </c>
      <c r="V812" s="23">
        <f t="shared" si="152"/>
        <v>4.2956384504479361E-2</v>
      </c>
      <c r="W812" s="22">
        <f t="shared" si="155"/>
        <v>3.5110593047491534E-3</v>
      </c>
      <c r="X812" s="23">
        <v>3.7889153054889713E-2</v>
      </c>
      <c r="Y812" s="23">
        <f t="shared" si="156"/>
        <v>4.2956856670682608E-2</v>
      </c>
      <c r="Z812" s="22">
        <f t="shared" si="157"/>
        <v>3.5110970823346577E-3</v>
      </c>
      <c r="AA812" s="33"/>
      <c r="AB812" s="50">
        <f t="shared" si="153"/>
        <v>799</v>
      </c>
      <c r="AC812" s="48">
        <f t="shared" si="148"/>
        <v>0.18287175218026852</v>
      </c>
      <c r="AE812" s="48">
        <f t="shared" si="154"/>
        <v>0.99785173822402629</v>
      </c>
      <c r="AF812" s="48">
        <f t="shared" si="158"/>
        <v>0.18287175218026885</v>
      </c>
      <c r="AH812" s="48">
        <f t="shared" si="159"/>
        <v>3.3306690738754696E-16</v>
      </c>
    </row>
    <row r="813" spans="4:34" ht="13.9" customHeight="1">
      <c r="D813" s="8"/>
      <c r="E813" s="9"/>
      <c r="F813" s="18"/>
      <c r="G813" s="18"/>
      <c r="H813" s="18"/>
      <c r="J813" s="40"/>
      <c r="K813" s="40"/>
      <c r="L813" s="40"/>
      <c r="M813" s="38"/>
      <c r="O813" s="12">
        <f t="shared" si="149"/>
        <v>66.666666666666671</v>
      </c>
      <c r="P813" s="13">
        <v>800</v>
      </c>
      <c r="Q813" s="21">
        <v>2.5845155302212097E-2</v>
      </c>
      <c r="R813" s="18">
        <f t="shared" si="150"/>
        <v>2.6148176672197376E-2</v>
      </c>
      <c r="S813" s="21">
        <v>3.644475865945096E-2</v>
      </c>
      <c r="T813" s="18">
        <f t="shared" si="151"/>
        <v>4.2958889793268673E-2</v>
      </c>
      <c r="U813" s="23">
        <v>3.8259020415854161E-2</v>
      </c>
      <c r="V813" s="23">
        <f t="shared" si="152"/>
        <v>4.2956837284161109E-2</v>
      </c>
      <c r="W813" s="22">
        <f t="shared" si="155"/>
        <v>3.5110959902875383E-3</v>
      </c>
      <c r="X813" s="23">
        <v>3.7895472288749454E-2</v>
      </c>
      <c r="Y813" s="23">
        <f t="shared" si="156"/>
        <v>4.2957310393445525E-2</v>
      </c>
      <c r="Z813" s="22">
        <f t="shared" si="157"/>
        <v>3.5111338493272193E-3</v>
      </c>
      <c r="AA813" s="33"/>
      <c r="AB813" s="50">
        <f t="shared" si="153"/>
        <v>800</v>
      </c>
      <c r="AC813" s="48">
        <f t="shared" si="148"/>
        <v>0.1824788554193677</v>
      </c>
      <c r="AE813" s="48">
        <f t="shared" si="154"/>
        <v>0.99785151749126433</v>
      </c>
      <c r="AF813" s="48">
        <f t="shared" si="158"/>
        <v>0.1824788554193677</v>
      </c>
      <c r="AH813" s="48">
        <f t="shared" si="159"/>
        <v>0</v>
      </c>
    </row>
    <row r="814" spans="4:34" ht="13.9" customHeight="1">
      <c r="D814" s="8"/>
      <c r="E814" s="9"/>
      <c r="F814" s="18"/>
      <c r="G814" s="18"/>
      <c r="H814" s="18"/>
      <c r="J814" s="40"/>
      <c r="K814" s="40"/>
      <c r="L814" s="40"/>
      <c r="M814" s="38"/>
      <c r="O814" s="12">
        <f t="shared" si="149"/>
        <v>66.75</v>
      </c>
      <c r="P814" s="13">
        <v>801</v>
      </c>
      <c r="Q814" s="21">
        <v>2.5845533550252542E-2</v>
      </c>
      <c r="R814" s="18">
        <f t="shared" si="150"/>
        <v>2.6150855278667784E-2</v>
      </c>
      <c r="S814" s="21">
        <v>3.645286573936013E-2</v>
      </c>
      <c r="T814" s="18">
        <f t="shared" si="151"/>
        <v>4.2959341177204013E-2</v>
      </c>
      <c r="U814" s="23">
        <v>3.8264872143579431E-2</v>
      </c>
      <c r="V814" s="23">
        <f t="shared" si="152"/>
        <v>4.295728536193244E-2</v>
      </c>
      <c r="W814" s="22">
        <f t="shared" si="155"/>
        <v>3.5111322948853108E-3</v>
      </c>
      <c r="X814" s="23">
        <v>3.7901776346278115E-2</v>
      </c>
      <c r="Y814" s="23">
        <f t="shared" si="156"/>
        <v>4.2957759343059232E-2</v>
      </c>
      <c r="Z814" s="22">
        <f t="shared" si="157"/>
        <v>3.511170229527627E-3</v>
      </c>
      <c r="AA814" s="33"/>
      <c r="AB814" s="50">
        <f t="shared" si="153"/>
        <v>801</v>
      </c>
      <c r="AC814" s="48">
        <f t="shared" si="148"/>
        <v>0.18208676284760991</v>
      </c>
      <c r="AE814" s="48">
        <f t="shared" si="154"/>
        <v>0.99785129860193278</v>
      </c>
      <c r="AF814" s="48">
        <f t="shared" si="158"/>
        <v>0.18208676284761041</v>
      </c>
      <c r="AH814" s="48">
        <f t="shared" si="159"/>
        <v>4.9960036108132044E-16</v>
      </c>
    </row>
    <row r="815" spans="4:34" ht="13.9" customHeight="1">
      <c r="D815" s="8"/>
      <c r="E815" s="9"/>
      <c r="F815" s="18"/>
      <c r="G815" s="18"/>
      <c r="H815" s="18"/>
      <c r="J815" s="40"/>
      <c r="K815" s="40"/>
      <c r="L815" s="40"/>
      <c r="M815" s="38"/>
      <c r="O815" s="12">
        <f t="shared" si="149"/>
        <v>66.833333333333329</v>
      </c>
      <c r="P815" s="13">
        <v>802</v>
      </c>
      <c r="Q815" s="21">
        <v>2.5845914194090103E-2</v>
      </c>
      <c r="R815" s="18">
        <f t="shared" si="150"/>
        <v>2.6153511524786177E-2</v>
      </c>
      <c r="S815" s="21">
        <v>3.6460953224605186E-2</v>
      </c>
      <c r="T815" s="18">
        <f t="shared" si="151"/>
        <v>4.2959787603992661E-2</v>
      </c>
      <c r="U815" s="23">
        <v>3.8270709867515018E-2</v>
      </c>
      <c r="V815" s="23">
        <f t="shared" si="152"/>
        <v>4.2957728786472416E-2</v>
      </c>
      <c r="W815" s="22">
        <f t="shared" si="155"/>
        <v>3.5111682224622243E-3</v>
      </c>
      <c r="X815" s="23">
        <v>3.7908065278189573E-2</v>
      </c>
      <c r="Y815" s="23">
        <f t="shared" si="156"/>
        <v>4.2958203569833264E-2</v>
      </c>
      <c r="Z815" s="22">
        <f t="shared" si="157"/>
        <v>3.5112062269953004E-3</v>
      </c>
      <c r="AA815" s="33"/>
      <c r="AB815" s="50">
        <f t="shared" si="153"/>
        <v>802</v>
      </c>
      <c r="AC815" s="48">
        <f t="shared" si="148"/>
        <v>0.1816954732416835</v>
      </c>
      <c r="AE815" s="48">
        <f t="shared" si="154"/>
        <v>0.99785108154043167</v>
      </c>
      <c r="AF815" s="48">
        <f t="shared" si="158"/>
        <v>0.18169547324168414</v>
      </c>
      <c r="AH815" s="48">
        <f t="shared" si="159"/>
        <v>6.3837823915946501E-16</v>
      </c>
    </row>
    <row r="816" spans="4:34" ht="13.9" customHeight="1">
      <c r="D816" s="8"/>
      <c r="E816" s="9"/>
      <c r="F816" s="18"/>
      <c r="G816" s="18"/>
      <c r="H816" s="18"/>
      <c r="J816" s="40"/>
      <c r="K816" s="40"/>
      <c r="L816" s="40"/>
      <c r="M816" s="38"/>
      <c r="O816" s="12">
        <f t="shared" si="149"/>
        <v>66.916666666666671</v>
      </c>
      <c r="P816" s="13">
        <v>803</v>
      </c>
      <c r="Q816" s="21">
        <v>2.5846297196930879E-2</v>
      </c>
      <c r="R816" s="18">
        <f t="shared" si="150"/>
        <v>2.6156145599351088E-2</v>
      </c>
      <c r="S816" s="21">
        <v>3.6469021182034433E-2</v>
      </c>
      <c r="T816" s="18">
        <f t="shared" si="151"/>
        <v>4.2960229127474436E-2</v>
      </c>
      <c r="U816" s="23">
        <v>3.827653363409711E-2</v>
      </c>
      <c r="V816" s="23">
        <f t="shared" si="152"/>
        <v>4.295816760663218E-2</v>
      </c>
      <c r="W816" s="22">
        <f t="shared" si="155"/>
        <v>3.5112037769218229E-3</v>
      </c>
      <c r="X816" s="23">
        <v>3.7914339135007413E-2</v>
      </c>
      <c r="Y816" s="23">
        <f t="shared" si="156"/>
        <v>4.2958643123641727E-2</v>
      </c>
      <c r="Z816" s="22">
        <f t="shared" si="157"/>
        <v>3.5112418457643457E-3</v>
      </c>
      <c r="AA816" s="33"/>
      <c r="AB816" s="50">
        <f t="shared" si="153"/>
        <v>803</v>
      </c>
      <c r="AC816" s="48">
        <f t="shared" si="148"/>
        <v>0.18130498537546072</v>
      </c>
      <c r="AE816" s="48">
        <f t="shared" si="154"/>
        <v>0.99785086629151265</v>
      </c>
      <c r="AF816" s="48">
        <f t="shared" si="158"/>
        <v>0.18130498537546089</v>
      </c>
      <c r="AH816" s="48">
        <f t="shared" si="159"/>
        <v>0</v>
      </c>
    </row>
    <row r="817" spans="4:34" ht="13.9" customHeight="1">
      <c r="D817" s="8"/>
      <c r="E817" s="9"/>
      <c r="F817" s="18"/>
      <c r="G817" s="18"/>
      <c r="H817" s="18"/>
      <c r="J817" s="40"/>
      <c r="K817" s="40"/>
      <c r="L817" s="40"/>
      <c r="M817" s="38"/>
      <c r="O817" s="12">
        <f t="shared" si="149"/>
        <v>67</v>
      </c>
      <c r="P817" s="13">
        <v>804</v>
      </c>
      <c r="Q817" s="21">
        <v>2.5846682522399078E-2</v>
      </c>
      <c r="R817" s="18">
        <f t="shared" si="150"/>
        <v>2.6158757687676282E-2</v>
      </c>
      <c r="S817" s="21">
        <v>3.6477069678230833E-2</v>
      </c>
      <c r="T817" s="18">
        <f t="shared" si="151"/>
        <v>4.2960665802011411E-2</v>
      </c>
      <c r="U817" s="23">
        <v>3.8282343489591364E-2</v>
      </c>
      <c r="V817" s="23">
        <f t="shared" si="152"/>
        <v>4.2958601869979907E-2</v>
      </c>
      <c r="W817" s="22">
        <f t="shared" si="155"/>
        <v>3.5112389621814177E-3</v>
      </c>
      <c r="X817" s="23">
        <v>3.7920597967066483E-2</v>
      </c>
      <c r="Y817" s="23">
        <f t="shared" si="156"/>
        <v>4.2959078053511845E-2</v>
      </c>
      <c r="Z817" s="22">
        <f t="shared" si="157"/>
        <v>3.5112770898342305E-3</v>
      </c>
      <c r="AA817" s="33"/>
      <c r="AB817" s="50">
        <f t="shared" si="153"/>
        <v>804</v>
      </c>
      <c r="AC817" s="48">
        <f t="shared" si="148"/>
        <v>0.18091529802002515</v>
      </c>
      <c r="AE817" s="48">
        <f t="shared" si="154"/>
        <v>0.99785065283986196</v>
      </c>
      <c r="AF817" s="48">
        <f t="shared" si="158"/>
        <v>0.18091529802002526</v>
      </c>
      <c r="AH817" s="48">
        <f t="shared" si="159"/>
        <v>0</v>
      </c>
    </row>
    <row r="818" spans="4:34" ht="13.9" customHeight="1">
      <c r="D818" s="8"/>
      <c r="E818" s="9"/>
      <c r="F818" s="18"/>
      <c r="G818" s="18"/>
      <c r="H818" s="18"/>
      <c r="J818" s="40"/>
      <c r="K818" s="40"/>
      <c r="L818" s="40"/>
      <c r="M818" s="38"/>
      <c r="O818" s="12">
        <f t="shared" si="149"/>
        <v>67.083333333333329</v>
      </c>
      <c r="P818" s="13">
        <v>805</v>
      </c>
      <c r="Q818" s="21">
        <v>2.5847070134529915E-2</v>
      </c>
      <c r="R818" s="18">
        <f t="shared" si="150"/>
        <v>2.6161347974831051E-2</v>
      </c>
      <c r="S818" s="21">
        <v>3.6485098779514669E-2</v>
      </c>
      <c r="T818" s="18">
        <f t="shared" si="151"/>
        <v>4.2961097680731974E-2</v>
      </c>
      <c r="U818" s="23">
        <v>3.8288139480092909E-2</v>
      </c>
      <c r="V818" s="23">
        <f t="shared" si="152"/>
        <v>4.2959031623859056E-2</v>
      </c>
      <c r="W818" s="22">
        <f t="shared" si="155"/>
        <v>3.5112737820557349E-3</v>
      </c>
      <c r="X818" s="23">
        <v>3.7926841824512447E-2</v>
      </c>
      <c r="Y818" s="23">
        <f t="shared" si="156"/>
        <v>4.2959508408078717E-2</v>
      </c>
      <c r="Z818" s="22">
        <f t="shared" si="157"/>
        <v>3.5113119631366985E-3</v>
      </c>
      <c r="AA818" s="33"/>
      <c r="AB818" s="50">
        <f t="shared" si="153"/>
        <v>805</v>
      </c>
      <c r="AC818" s="48">
        <f t="shared" si="148"/>
        <v>0.18052640994376501</v>
      </c>
      <c r="AE818" s="48">
        <f t="shared" si="154"/>
        <v>0.99785044117044741</v>
      </c>
      <c r="AF818" s="48">
        <f t="shared" si="158"/>
        <v>0.18052640994376518</v>
      </c>
      <c r="AH818" s="48">
        <f t="shared" si="159"/>
        <v>0</v>
      </c>
    </row>
    <row r="819" spans="4:34" ht="13.9" customHeight="1">
      <c r="D819" s="8"/>
      <c r="E819" s="9"/>
      <c r="F819" s="18"/>
      <c r="G819" s="18"/>
      <c r="H819" s="18"/>
      <c r="J819" s="40"/>
      <c r="K819" s="40"/>
      <c r="L819" s="40"/>
      <c r="M819" s="38"/>
      <c r="O819" s="12">
        <f t="shared" si="149"/>
        <v>67.166666666666671</v>
      </c>
      <c r="P819" s="13">
        <v>806</v>
      </c>
      <c r="Q819" s="21">
        <v>2.584745999776672E-2</v>
      </c>
      <c r="R819" s="18">
        <f t="shared" si="150"/>
        <v>2.6163916643651808E-2</v>
      </c>
      <c r="S819" s="21">
        <v>3.6493108551943321E-2</v>
      </c>
      <c r="T819" s="18">
        <f t="shared" si="151"/>
        <v>4.296152481613591E-2</v>
      </c>
      <c r="U819" s="23">
        <v>3.829392165152723E-2</v>
      </c>
      <c r="V819" s="23">
        <f t="shared" si="152"/>
        <v>4.2959456915259819E-2</v>
      </c>
      <c r="W819" s="22">
        <f t="shared" si="155"/>
        <v>3.5113082403410711E-3</v>
      </c>
      <c r="X819" s="23">
        <v>3.79330707573029E-2</v>
      </c>
      <c r="Y819" s="23">
        <f t="shared" si="156"/>
        <v>4.2959934235317743E-2</v>
      </c>
      <c r="Z819" s="22">
        <f t="shared" si="157"/>
        <v>3.5113464695715191E-3</v>
      </c>
      <c r="AA819" s="33"/>
      <c r="AB819" s="50">
        <f t="shared" si="153"/>
        <v>806</v>
      </c>
      <c r="AC819" s="48">
        <f t="shared" si="148"/>
        <v>0.18013831991241408</v>
      </c>
      <c r="AE819" s="48">
        <f t="shared" si="154"/>
        <v>0.99785023126825745</v>
      </c>
      <c r="AF819" s="48">
        <f t="shared" si="158"/>
        <v>0.18013831991241433</v>
      </c>
      <c r="AH819" s="48">
        <f t="shared" si="159"/>
        <v>2.4980018054066022E-16</v>
      </c>
    </row>
    <row r="820" spans="4:34" ht="13.9" customHeight="1">
      <c r="D820" s="8"/>
      <c r="E820" s="9"/>
      <c r="F820" s="18"/>
      <c r="G820" s="18"/>
      <c r="H820" s="18"/>
      <c r="J820" s="40"/>
      <c r="K820" s="40"/>
      <c r="L820" s="40"/>
      <c r="M820" s="38"/>
      <c r="O820" s="12">
        <f t="shared" si="149"/>
        <v>67.25</v>
      </c>
      <c r="P820" s="13">
        <v>807</v>
      </c>
      <c r="Q820" s="21">
        <v>2.5847852076955835E-2</v>
      </c>
      <c r="R820" s="18">
        <f t="shared" si="150"/>
        <v>2.616646387566024E-2</v>
      </c>
      <c r="S820" s="21">
        <v>3.6501099061312603E-2</v>
      </c>
      <c r="T820" s="18">
        <f t="shared" si="151"/>
        <v>4.2961947260561795E-2</v>
      </c>
      <c r="U820" s="23">
        <v>3.829969004965017E-2</v>
      </c>
      <c r="V820" s="23">
        <f t="shared" si="152"/>
        <v>4.2959877790210932E-2</v>
      </c>
      <c r="W820" s="22">
        <f t="shared" si="155"/>
        <v>3.5113423408055233E-3</v>
      </c>
      <c r="X820" s="23">
        <v>3.7939284815207364E-2</v>
      </c>
      <c r="Y820" s="23">
        <f t="shared" si="156"/>
        <v>4.2960355583500087E-2</v>
      </c>
      <c r="Z820" s="22">
        <f t="shared" si="157"/>
        <v>3.5113806129860592E-3</v>
      </c>
      <c r="AA820" s="33"/>
      <c r="AB820" s="50">
        <f t="shared" si="153"/>
        <v>807</v>
      </c>
      <c r="AC820" s="48">
        <f t="shared" si="148"/>
        <v>0.17975102668912327</v>
      </c>
      <c r="AE820" s="48">
        <f t="shared" si="154"/>
        <v>0.99785002311846149</v>
      </c>
      <c r="AF820" s="48">
        <f t="shared" si="158"/>
        <v>0.17975102668912346</v>
      </c>
      <c r="AH820" s="48">
        <f t="shared" si="159"/>
        <v>0</v>
      </c>
    </row>
    <row r="821" spans="4:34" ht="13.9" customHeight="1">
      <c r="D821" s="8"/>
      <c r="E821" s="9"/>
      <c r="F821" s="18"/>
      <c r="G821" s="18"/>
      <c r="H821" s="18"/>
      <c r="J821" s="40"/>
      <c r="K821" s="40"/>
      <c r="L821" s="40"/>
      <c r="M821" s="38"/>
      <c r="O821" s="12">
        <f t="shared" si="149"/>
        <v>67.333333333333329</v>
      </c>
      <c r="P821" s="13">
        <v>808</v>
      </c>
      <c r="Q821" s="21">
        <v>2.5848246337342395E-2</v>
      </c>
      <c r="R821" s="18">
        <f t="shared" si="150"/>
        <v>2.6168989850726021E-2</v>
      </c>
      <c r="S821" s="21">
        <v>3.6509070373157648E-2</v>
      </c>
      <c r="T821" s="18">
        <f t="shared" si="151"/>
        <v>4.2962365065633001E-2</v>
      </c>
      <c r="U821" s="23">
        <v>3.830544472004882E-2</v>
      </c>
      <c r="V821" s="23">
        <f t="shared" si="152"/>
        <v>4.2960294295059542E-2</v>
      </c>
      <c r="W821" s="22">
        <f t="shared" si="155"/>
        <v>3.511376087140361E-3</v>
      </c>
      <c r="X821" s="23">
        <v>3.7945484047808842E-2</v>
      </c>
      <c r="Y821" s="23">
        <f t="shared" si="156"/>
        <v>4.2960772499071709E-2</v>
      </c>
      <c r="Z821" s="22">
        <f t="shared" si="157"/>
        <v>3.5114143972512224E-3</v>
      </c>
      <c r="AA821" s="33"/>
      <c r="AB821" s="50">
        <f t="shared" si="153"/>
        <v>808</v>
      </c>
      <c r="AC821" s="48">
        <f t="shared" si="148"/>
        <v>0.17936452903451711</v>
      </c>
      <c r="AE821" s="48">
        <f t="shared" si="154"/>
        <v>0.99784981670633621</v>
      </c>
      <c r="AF821" s="48">
        <f t="shared" si="158"/>
        <v>0.17936452903451761</v>
      </c>
      <c r="AH821" s="48">
        <f t="shared" si="159"/>
        <v>4.9960036108132044E-16</v>
      </c>
    </row>
    <row r="822" spans="4:34" ht="13.9" customHeight="1">
      <c r="D822" s="8"/>
      <c r="E822" s="9"/>
      <c r="F822" s="18"/>
      <c r="G822" s="18"/>
      <c r="H822" s="18"/>
      <c r="J822" s="40"/>
      <c r="K822" s="40"/>
      <c r="L822" s="40"/>
      <c r="M822" s="38"/>
      <c r="O822" s="12">
        <f t="shared" si="149"/>
        <v>67.416666666666671</v>
      </c>
      <c r="P822" s="13">
        <v>809</v>
      </c>
      <c r="Q822" s="21">
        <v>2.5848642744565664E-2</v>
      </c>
      <c r="R822" s="18">
        <f t="shared" si="150"/>
        <v>2.6171494746766832E-2</v>
      </c>
      <c r="S822" s="21">
        <v>3.6517022552754019E-2</v>
      </c>
      <c r="T822" s="18">
        <f t="shared" si="151"/>
        <v>4.2962778282096936E-2</v>
      </c>
      <c r="U822" s="23">
        <v>3.8311185708141737E-2</v>
      </c>
      <c r="V822" s="23">
        <f t="shared" si="152"/>
        <v>4.2960706474997723E-2</v>
      </c>
      <c r="W822" s="22">
        <f t="shared" si="155"/>
        <v>3.5114094830621667E-3</v>
      </c>
      <c r="X822" s="23">
        <v>3.7951668504502933E-2</v>
      </c>
      <c r="Y822" s="23">
        <f t="shared" si="156"/>
        <v>4.2961185029025684E-2</v>
      </c>
      <c r="Z822" s="22">
        <f t="shared" si="157"/>
        <v>3.5114478260911408E-3</v>
      </c>
      <c r="AA822" s="33"/>
      <c r="AB822" s="50">
        <f t="shared" si="153"/>
        <v>809</v>
      </c>
      <c r="AC822" s="48">
        <f t="shared" si="148"/>
        <v>0.17897882570675788</v>
      </c>
      <c r="AE822" s="48">
        <f t="shared" si="154"/>
        <v>0.99784961201729172</v>
      </c>
      <c r="AF822" s="48">
        <f t="shared" si="158"/>
        <v>0.17897882570675766</v>
      </c>
      <c r="AH822" s="48">
        <f t="shared" si="159"/>
        <v>-2.2204460492503131E-16</v>
      </c>
    </row>
    <row r="823" spans="4:34" ht="13.9" customHeight="1">
      <c r="D823" s="8"/>
      <c r="E823" s="9"/>
      <c r="F823" s="18"/>
      <c r="G823" s="18"/>
      <c r="H823" s="18"/>
      <c r="J823" s="40"/>
      <c r="K823" s="40"/>
      <c r="L823" s="40"/>
      <c r="M823" s="38"/>
      <c r="O823" s="12">
        <f t="shared" si="149"/>
        <v>67.5</v>
      </c>
      <c r="P823" s="13">
        <v>810</v>
      </c>
      <c r="Q823" s="21">
        <v>2.5849041264654593E-2</v>
      </c>
      <c r="R823" s="18">
        <f t="shared" si="150"/>
        <v>2.6173978741372395E-2</v>
      </c>
      <c r="S823" s="21">
        <v>3.6524955665117931E-2</v>
      </c>
      <c r="T823" s="18">
        <f t="shared" si="151"/>
        <v>4.2963186960403243E-2</v>
      </c>
      <c r="U823" s="23">
        <v>3.8316913059179392E-2</v>
      </c>
      <c r="V823" s="23">
        <f t="shared" si="152"/>
        <v>4.2961114374850284E-2</v>
      </c>
      <c r="W823" s="22">
        <f t="shared" si="155"/>
        <v>3.5114425321947085E-3</v>
      </c>
      <c r="X823" s="23">
        <v>3.7957838234499608E-2</v>
      </c>
      <c r="Y823" s="23">
        <f t="shared" si="156"/>
        <v>4.2961593219703831E-2</v>
      </c>
      <c r="Z823" s="22">
        <f t="shared" si="157"/>
        <v>3.5114809032745775E-3</v>
      </c>
      <c r="AA823" s="33"/>
      <c r="AB823" s="50">
        <f t="shared" si="153"/>
        <v>810</v>
      </c>
      <c r="AC823" s="48">
        <f t="shared" si="148"/>
        <v>0.17859391546160647</v>
      </c>
      <c r="AE823" s="48">
        <f t="shared" si="154"/>
        <v>0.99784940903689712</v>
      </c>
      <c r="AF823" s="48">
        <f t="shared" si="158"/>
        <v>0.17859391546160594</v>
      </c>
      <c r="AH823" s="48">
        <f t="shared" si="159"/>
        <v>-5.2735593669694936E-16</v>
      </c>
    </row>
    <row r="824" spans="4:34" ht="13.9" customHeight="1">
      <c r="D824" s="8"/>
      <c r="E824" s="9"/>
      <c r="F824" s="18"/>
      <c r="G824" s="18"/>
      <c r="H824" s="18"/>
      <c r="J824" s="40"/>
      <c r="K824" s="40"/>
      <c r="L824" s="40"/>
      <c r="M824" s="38"/>
      <c r="O824" s="12">
        <f t="shared" si="149"/>
        <v>67.583333333333329</v>
      </c>
      <c r="P824" s="13">
        <v>811</v>
      </c>
      <c r="Q824" s="21">
        <v>2.5849441864024714E-2</v>
      </c>
      <c r="R824" s="18">
        <f t="shared" si="150"/>
        <v>2.6176442009468781E-2</v>
      </c>
      <c r="S824" s="21">
        <v>3.6532869775007804E-2</v>
      </c>
      <c r="T824" s="18">
        <f t="shared" si="151"/>
        <v>4.2963591150647629E-2</v>
      </c>
      <c r="U824" s="23">
        <v>3.8322626818244609E-2</v>
      </c>
      <c r="V824" s="23">
        <f t="shared" si="152"/>
        <v>4.2961518039060342E-2</v>
      </c>
      <c r="W824" s="22">
        <f t="shared" si="155"/>
        <v>3.5114752381324443E-3</v>
      </c>
      <c r="X824" s="23">
        <v>3.7963993286823428E-2</v>
      </c>
      <c r="Y824" s="23">
        <f t="shared" si="156"/>
        <v>4.2961997116330419E-2</v>
      </c>
      <c r="Z824" s="22">
        <f t="shared" si="157"/>
        <v>3.5115136325172269E-3</v>
      </c>
      <c r="AA824" s="33"/>
      <c r="AB824" s="50">
        <f t="shared" si="153"/>
        <v>811</v>
      </c>
      <c r="AC824" s="48">
        <f t="shared" si="148"/>
        <v>0.17820979705246681</v>
      </c>
      <c r="AE824" s="48">
        <f t="shared" si="154"/>
        <v>0.99784920775074826</v>
      </c>
      <c r="AF824" s="48">
        <f t="shared" si="158"/>
        <v>0.17820979705246759</v>
      </c>
      <c r="AH824" s="48">
        <f t="shared" si="159"/>
        <v>7.7715611723760958E-16</v>
      </c>
    </row>
    <row r="825" spans="4:34" ht="13.9" customHeight="1">
      <c r="D825" s="8"/>
      <c r="E825" s="9"/>
      <c r="F825" s="18"/>
      <c r="G825" s="18"/>
      <c r="H825" s="18"/>
      <c r="J825" s="40"/>
      <c r="K825" s="40"/>
      <c r="L825" s="40"/>
      <c r="M825" s="38"/>
      <c r="O825" s="12">
        <f t="shared" si="149"/>
        <v>67.666666666666671</v>
      </c>
      <c r="P825" s="13">
        <v>812</v>
      </c>
      <c r="Q825" s="21">
        <v>2.5849844509472142E-2</v>
      </c>
      <c r="R825" s="18">
        <f t="shared" si="150"/>
        <v>2.6178884725104101E-2</v>
      </c>
      <c r="S825" s="21">
        <v>3.6540764946925153E-2</v>
      </c>
      <c r="T825" s="18">
        <f t="shared" si="151"/>
        <v>4.2963990902060933E-2</v>
      </c>
      <c r="U825" s="23">
        <v>3.8328327030253018E-2</v>
      </c>
      <c r="V825" s="23">
        <f t="shared" si="152"/>
        <v>4.2961917512001291E-2</v>
      </c>
      <c r="W825" s="22">
        <f t="shared" si="155"/>
        <v>3.5115076044394122E-3</v>
      </c>
      <c r="X825" s="23">
        <v>3.7970133710313325E-2</v>
      </c>
      <c r="Y825" s="23">
        <f t="shared" si="156"/>
        <v>4.2962396764660626E-2</v>
      </c>
      <c r="Z825" s="22">
        <f t="shared" si="157"/>
        <v>3.5115460174461877E-3</v>
      </c>
      <c r="AA825" s="33"/>
      <c r="AB825" s="50">
        <f t="shared" si="153"/>
        <v>812</v>
      </c>
      <c r="AC825" s="48">
        <f t="shared" si="148"/>
        <v>0.17782646923046494</v>
      </c>
      <c r="AE825" s="48">
        <f t="shared" si="154"/>
        <v>0.99784900814465693</v>
      </c>
      <c r="AF825" s="48">
        <f t="shared" si="158"/>
        <v>0.17782646923046538</v>
      </c>
      <c r="AH825" s="48">
        <f t="shared" si="159"/>
        <v>4.4408920985006262E-16</v>
      </c>
    </row>
    <row r="826" spans="4:34" ht="13.9" customHeight="1">
      <c r="D826" s="8"/>
      <c r="E826" s="9"/>
      <c r="F826" s="18"/>
      <c r="G826" s="18"/>
      <c r="H826" s="18"/>
      <c r="J826" s="40"/>
      <c r="K826" s="40"/>
      <c r="L826" s="40"/>
      <c r="M826" s="38"/>
      <c r="O826" s="12">
        <f t="shared" si="149"/>
        <v>67.75</v>
      </c>
      <c r="P826" s="13">
        <v>813</v>
      </c>
      <c r="Q826" s="21">
        <v>2.5850249168170913E-2</v>
      </c>
      <c r="R826" s="18">
        <f t="shared" si="150"/>
        <v>2.618130706037114E-2</v>
      </c>
      <c r="S826" s="21">
        <v>3.6548641245115032E-2</v>
      </c>
      <c r="T826" s="18">
        <f t="shared" si="151"/>
        <v>4.2964386263343757E-2</v>
      </c>
      <c r="U826" s="23">
        <v>3.8334013739953932E-2</v>
      </c>
      <c r="V826" s="23">
        <f t="shared" si="152"/>
        <v>4.2962312837286687E-2</v>
      </c>
      <c r="W826" s="22">
        <f t="shared" si="155"/>
        <v>3.511539634673877E-3</v>
      </c>
      <c r="X826" s="23">
        <v>3.7976259553624603E-2</v>
      </c>
      <c r="Y826" s="23">
        <f t="shared" si="156"/>
        <v>4.296279220870769E-2</v>
      </c>
      <c r="Z826" s="22">
        <f t="shared" si="157"/>
        <v>3.5115780617298586E-3</v>
      </c>
      <c r="AA826" s="33"/>
      <c r="AB826" s="50">
        <f t="shared" si="153"/>
        <v>813</v>
      </c>
      <c r="AC826" s="48">
        <f t="shared" si="148"/>
        <v>0.17744393074448853</v>
      </c>
      <c r="AE826" s="48">
        <f t="shared" si="154"/>
        <v>0.99784881020450666</v>
      </c>
      <c r="AF826" s="48">
        <f t="shared" si="158"/>
        <v>0.17744393074448819</v>
      </c>
      <c r="AH826" s="48">
        <f t="shared" si="159"/>
        <v>-3.3306690738754696E-16</v>
      </c>
    </row>
    <row r="827" spans="4:34" ht="13.9" customHeight="1">
      <c r="D827" s="8"/>
      <c r="E827" s="9"/>
      <c r="F827" s="18"/>
      <c r="G827" s="18"/>
      <c r="H827" s="18"/>
      <c r="J827" s="40"/>
      <c r="K827" s="40"/>
      <c r="L827" s="40"/>
      <c r="M827" s="38"/>
      <c r="O827" s="12">
        <f t="shared" si="149"/>
        <v>67.833333333333329</v>
      </c>
      <c r="P827" s="13">
        <v>814</v>
      </c>
      <c r="Q827" s="21">
        <v>2.5850655807667877E-2</v>
      </c>
      <c r="R827" s="18">
        <f t="shared" si="150"/>
        <v>2.6183709186472948E-2</v>
      </c>
      <c r="S827" s="21">
        <v>3.6556498733567588E-2</v>
      </c>
      <c r="T827" s="18">
        <f t="shared" si="151"/>
        <v>4.2964777282255229E-2</v>
      </c>
      <c r="U827" s="23">
        <v>3.8339686991930355E-2</v>
      </c>
      <c r="V827" s="23">
        <f t="shared" si="152"/>
        <v>4.2962704056884959E-2</v>
      </c>
      <c r="W827" s="22">
        <f t="shared" si="155"/>
        <v>3.5115713323330411E-3</v>
      </c>
      <c r="X827" s="23">
        <v>3.7982370865227599E-2</v>
      </c>
      <c r="Y827" s="23">
        <f t="shared" si="156"/>
        <v>4.2963183493311075E-2</v>
      </c>
      <c r="Z827" s="22">
        <f t="shared" si="157"/>
        <v>3.511609768898305E-3</v>
      </c>
      <c r="AA827" s="33"/>
      <c r="AB827" s="50">
        <f t="shared" si="153"/>
        <v>814</v>
      </c>
      <c r="AC827" s="48">
        <f t="shared" si="148"/>
        <v>0.17706218034125459</v>
      </c>
      <c r="AE827" s="48">
        <f t="shared" si="154"/>
        <v>0.99784861391633894</v>
      </c>
      <c r="AF827" s="48">
        <f t="shared" si="158"/>
        <v>0.17706218034125437</v>
      </c>
      <c r="AH827" s="48">
        <f t="shared" si="159"/>
        <v>-2.2204460492503131E-16</v>
      </c>
    </row>
    <row r="828" spans="4:34" ht="13.9" customHeight="1">
      <c r="D828" s="8"/>
      <c r="E828" s="9"/>
      <c r="F828" s="18"/>
      <c r="G828" s="18"/>
      <c r="H828" s="18"/>
      <c r="J828" s="40"/>
      <c r="K828" s="40"/>
      <c r="L828" s="40"/>
      <c r="M828" s="38"/>
      <c r="O828" s="12">
        <f t="shared" si="149"/>
        <v>67.916666666666671</v>
      </c>
      <c r="P828" s="13">
        <v>815</v>
      </c>
      <c r="Q828" s="21">
        <v>2.5851064395879142E-2</v>
      </c>
      <c r="R828" s="18">
        <f t="shared" si="150"/>
        <v>2.6186091272877521E-2</v>
      </c>
      <c r="S828" s="21">
        <v>3.6564337476017617E-2</v>
      </c>
      <c r="T828" s="18">
        <f t="shared" si="151"/>
        <v>4.2965164007690237E-2</v>
      </c>
      <c r="U828" s="23">
        <v>3.8345346830598759E-2</v>
      </c>
      <c r="V828" s="23">
        <f t="shared" si="152"/>
        <v>4.2963091214767601E-2</v>
      </c>
      <c r="W828" s="22">
        <f t="shared" si="155"/>
        <v>3.5116027007824346E-3</v>
      </c>
      <c r="X828" s="23">
        <v>3.7988467693410133E-2</v>
      </c>
      <c r="Y828" s="23">
        <f t="shared" si="156"/>
        <v>4.2963570661985084E-2</v>
      </c>
      <c r="Z828" s="22">
        <f t="shared" si="157"/>
        <v>3.5116411425466509E-3</v>
      </c>
      <c r="AA828" s="33"/>
      <c r="AB828" s="50">
        <f t="shared" si="153"/>
        <v>815</v>
      </c>
      <c r="AC828" s="48">
        <f t="shared" si="148"/>
        <v>0.17668121676535942</v>
      </c>
      <c r="AE828" s="48">
        <f t="shared" si="154"/>
        <v>0.99784841926626888</v>
      </c>
      <c r="AF828" s="48">
        <f t="shared" si="158"/>
        <v>0.17668121676535969</v>
      </c>
      <c r="AH828" s="48">
        <f t="shared" si="159"/>
        <v>2.7755575615628914E-16</v>
      </c>
    </row>
    <row r="829" spans="4:34" ht="13.9" customHeight="1">
      <c r="D829" s="8"/>
      <c r="E829" s="9"/>
      <c r="F829" s="18"/>
      <c r="G829" s="18"/>
      <c r="H829" s="18"/>
      <c r="J829" s="40"/>
      <c r="K829" s="40"/>
      <c r="L829" s="40"/>
      <c r="M829" s="38"/>
      <c r="O829" s="12">
        <f t="shared" si="149"/>
        <v>68</v>
      </c>
      <c r="P829" s="13">
        <v>816</v>
      </c>
      <c r="Q829" s="21">
        <v>2.5851474901085858E-2</v>
      </c>
      <c r="R829" s="18">
        <f t="shared" si="150"/>
        <v>2.6188453487628882E-2</v>
      </c>
      <c r="S829" s="21">
        <v>3.6572157535947891E-2</v>
      </c>
      <c r="T829" s="18">
        <f t="shared" si="151"/>
        <v>4.2965546485603134E-2</v>
      </c>
      <c r="U829" s="23">
        <v>3.83509933002113E-2</v>
      </c>
      <c r="V829" s="23">
        <f t="shared" si="152"/>
        <v>4.2963474352859299E-2</v>
      </c>
      <c r="W829" s="22">
        <f t="shared" si="155"/>
        <v>3.511633743548126E-3</v>
      </c>
      <c r="X829" s="23">
        <v>3.7994550086276835E-2</v>
      </c>
      <c r="Y829" s="23">
        <f t="shared" si="156"/>
        <v>4.2963953758107687E-2</v>
      </c>
      <c r="Z829" s="22">
        <f t="shared" si="157"/>
        <v>3.5116721861643274E-3</v>
      </c>
      <c r="AA829" s="33"/>
      <c r="AB829" s="50">
        <f t="shared" si="153"/>
        <v>816</v>
      </c>
      <c r="AC829" s="48">
        <f t="shared" si="148"/>
        <v>0.17630103875933631</v>
      </c>
      <c r="AE829" s="48">
        <f t="shared" si="154"/>
        <v>0.99784822624055103</v>
      </c>
      <c r="AF829" s="48">
        <f t="shared" si="158"/>
        <v>0.17630103875933648</v>
      </c>
      <c r="AH829" s="48">
        <f t="shared" si="159"/>
        <v>0</v>
      </c>
    </row>
    <row r="830" spans="4:34" ht="13.9" customHeight="1">
      <c r="D830" s="8"/>
      <c r="E830" s="9"/>
      <c r="F830" s="18"/>
      <c r="G830" s="18"/>
      <c r="H830" s="18"/>
      <c r="J830" s="40"/>
      <c r="K830" s="40"/>
      <c r="L830" s="40"/>
      <c r="M830" s="38"/>
      <c r="O830" s="12">
        <f t="shared" si="149"/>
        <v>68.083333333333329</v>
      </c>
      <c r="P830" s="13">
        <v>817</v>
      </c>
      <c r="Q830" s="21">
        <v>2.585188729193022E-2</v>
      </c>
      <c r="R830" s="18">
        <f t="shared" si="150"/>
        <v>2.6190795997279803E-2</v>
      </c>
      <c r="S830" s="21">
        <v>3.657995897658739E-2</v>
      </c>
      <c r="T830" s="18">
        <f t="shared" si="151"/>
        <v>4.2965924763317176E-2</v>
      </c>
      <c r="U830" s="23">
        <v>3.8356626444855157E-2</v>
      </c>
      <c r="V830" s="23">
        <f t="shared" si="152"/>
        <v>4.2963853512104633E-2</v>
      </c>
      <c r="W830" s="22">
        <f t="shared" si="155"/>
        <v>3.5116644639918704E-3</v>
      </c>
      <c r="X830" s="23">
        <v>3.800061809175026E-2</v>
      </c>
      <c r="Y830" s="23">
        <f t="shared" si="156"/>
        <v>4.2964332824324769E-2</v>
      </c>
      <c r="Z830" s="22">
        <f t="shared" si="157"/>
        <v>3.5117029032301073E-3</v>
      </c>
      <c r="AA830" s="33"/>
      <c r="AB830" s="50">
        <f t="shared" si="153"/>
        <v>817</v>
      </c>
      <c r="AC830" s="48">
        <f t="shared" si="148"/>
        <v>0.17592164506370836</v>
      </c>
      <c r="AE830" s="48">
        <f t="shared" si="154"/>
        <v>0.99784803482555651</v>
      </c>
      <c r="AF830" s="48">
        <f t="shared" si="158"/>
        <v>0.17592164506370817</v>
      </c>
      <c r="AH830" s="48">
        <f t="shared" si="159"/>
        <v>0</v>
      </c>
    </row>
    <row r="831" spans="4:34" ht="13.9" customHeight="1">
      <c r="D831" s="8"/>
      <c r="E831" s="9"/>
      <c r="F831" s="18"/>
      <c r="G831" s="18"/>
      <c r="H831" s="18"/>
      <c r="J831" s="40"/>
      <c r="K831" s="40"/>
      <c r="L831" s="40"/>
      <c r="M831" s="38"/>
      <c r="O831" s="12">
        <f t="shared" si="149"/>
        <v>68.166666666666671</v>
      </c>
      <c r="P831" s="13">
        <v>818</v>
      </c>
      <c r="Q831" s="21">
        <v>2.5852301537411693E-2</v>
      </c>
      <c r="R831" s="18">
        <f t="shared" si="150"/>
        <v>2.6193118967277496E-2</v>
      </c>
      <c r="S831" s="21">
        <v>3.658774186091418E-2</v>
      </c>
      <c r="T831" s="18">
        <f t="shared" si="151"/>
        <v>4.2966298886901511E-2</v>
      </c>
      <c r="U831" s="23">
        <v>3.836224630845253E-2</v>
      </c>
      <c r="V831" s="23">
        <f t="shared" si="152"/>
        <v>4.2964228734829746E-2</v>
      </c>
      <c r="W831" s="22">
        <f t="shared" si="155"/>
        <v>3.5116948653970415E-3</v>
      </c>
      <c r="X831" s="23">
        <v>3.8006671757570887E-2</v>
      </c>
      <c r="Y831" s="23">
        <f t="shared" si="156"/>
        <v>4.2964707903573762E-2</v>
      </c>
      <c r="Z831" s="22">
        <f t="shared" si="157"/>
        <v>3.5117332971632553E-3</v>
      </c>
      <c r="AA831" s="33"/>
      <c r="AB831" s="50">
        <f t="shared" si="153"/>
        <v>818</v>
      </c>
      <c r="AC831" s="48">
        <f t="shared" si="148"/>
        <v>0.1755430344170435</v>
      </c>
      <c r="AE831" s="48">
        <f t="shared" si="154"/>
        <v>0.99784784500777701</v>
      </c>
      <c r="AF831" s="48">
        <f t="shared" si="158"/>
        <v>0.17554303441704422</v>
      </c>
      <c r="AH831" s="48">
        <f t="shared" si="159"/>
        <v>7.2164496600635175E-16</v>
      </c>
    </row>
    <row r="832" spans="4:34" ht="13.9" customHeight="1">
      <c r="D832" s="8"/>
      <c r="E832" s="9"/>
      <c r="F832" s="18"/>
      <c r="G832" s="18"/>
      <c r="H832" s="18"/>
      <c r="J832" s="40"/>
      <c r="K832" s="40"/>
      <c r="L832" s="40"/>
      <c r="M832" s="38"/>
      <c r="O832" s="12">
        <f t="shared" si="149"/>
        <v>68.25</v>
      </c>
      <c r="P832" s="13">
        <v>819</v>
      </c>
      <c r="Q832" s="21">
        <v>2.5852717606882791E-2</v>
      </c>
      <c r="R832" s="18">
        <f t="shared" si="150"/>
        <v>2.6195422560663317E-2</v>
      </c>
      <c r="S832" s="21">
        <v>3.6595506251655419E-2</v>
      </c>
      <c r="T832" s="18">
        <f t="shared" si="151"/>
        <v>4.2966668901931238E-2</v>
      </c>
      <c r="U832" s="23">
        <v>3.8367852934762636E-2</v>
      </c>
      <c r="V832" s="23">
        <f t="shared" si="152"/>
        <v>4.2964600061220493E-2</v>
      </c>
      <c r="W832" s="22">
        <f t="shared" si="155"/>
        <v>3.511724951157591E-3</v>
      </c>
      <c r="X832" s="23">
        <v>3.8012711131298671E-2</v>
      </c>
      <c r="Y832" s="23">
        <f t="shared" si="156"/>
        <v>4.2965079037115883E-2</v>
      </c>
      <c r="Z832" s="22">
        <f t="shared" si="157"/>
        <v>3.5117633714072394E-3</v>
      </c>
      <c r="AA832" s="33"/>
      <c r="AB832" s="50">
        <f t="shared" si="153"/>
        <v>819</v>
      </c>
      <c r="AC832" s="48">
        <f t="shared" si="148"/>
        <v>0.17516520555600898</v>
      </c>
      <c r="AE832" s="48">
        <f t="shared" si="154"/>
        <v>0.99784765677379461</v>
      </c>
      <c r="AF832" s="48">
        <f t="shared" si="158"/>
        <v>0.17516520555600915</v>
      </c>
      <c r="AH832" s="48">
        <f t="shared" si="159"/>
        <v>0</v>
      </c>
    </row>
    <row r="833" spans="4:34" ht="13.9" customHeight="1">
      <c r="D833" s="8"/>
      <c r="E833" s="9"/>
      <c r="F833" s="18"/>
      <c r="G833" s="18"/>
      <c r="H833" s="18"/>
      <c r="J833" s="40"/>
      <c r="K833" s="40"/>
      <c r="L833" s="40"/>
      <c r="M833" s="38"/>
      <c r="O833" s="12">
        <f t="shared" si="149"/>
        <v>68.333333333333329</v>
      </c>
      <c r="P833" s="13">
        <v>820</v>
      </c>
      <c r="Q833" s="21">
        <v>2.5853135470044863E-2</v>
      </c>
      <c r="R833" s="18">
        <f t="shared" si="150"/>
        <v>2.6197706941249121E-2</v>
      </c>
      <c r="S833" s="21">
        <v>3.660325221128824E-2</v>
      </c>
      <c r="T833" s="18">
        <f t="shared" si="151"/>
        <v>4.2967034853460317E-2</v>
      </c>
      <c r="U833" s="23">
        <v>3.8373446367380382E-2</v>
      </c>
      <c r="V833" s="23">
        <f t="shared" si="152"/>
        <v>4.2964967532507004E-2</v>
      </c>
      <c r="W833" s="22">
        <f t="shared" si="155"/>
        <v>3.5117547244962743E-3</v>
      </c>
      <c r="X833" s="23">
        <v>3.8018736260312158E-2</v>
      </c>
      <c r="Y833" s="23">
        <f t="shared" si="156"/>
        <v>4.2965446267323681E-2</v>
      </c>
      <c r="Z833" s="22">
        <f t="shared" si="157"/>
        <v>3.511793129270524E-3</v>
      </c>
      <c r="AA833" s="33"/>
      <c r="AB833" s="50">
        <f t="shared" si="153"/>
        <v>820</v>
      </c>
      <c r="AC833" s="48">
        <f t="shared" si="148"/>
        <v>0.17478815721542884</v>
      </c>
      <c r="AE833" s="48">
        <f t="shared" si="154"/>
        <v>0.99784747011038577</v>
      </c>
      <c r="AF833" s="48">
        <f t="shared" si="158"/>
        <v>0.17478815721542942</v>
      </c>
      <c r="AH833" s="48">
        <f t="shared" si="159"/>
        <v>5.8286708792820718E-16</v>
      </c>
    </row>
    <row r="834" spans="4:34" ht="13.9" customHeight="1">
      <c r="D834" s="8"/>
      <c r="E834" s="9"/>
      <c r="F834" s="18"/>
      <c r="G834" s="18"/>
      <c r="H834" s="18"/>
      <c r="J834" s="40"/>
      <c r="K834" s="40"/>
      <c r="L834" s="40"/>
      <c r="M834" s="38"/>
      <c r="O834" s="12">
        <f t="shared" si="149"/>
        <v>68.416666666666671</v>
      </c>
      <c r="P834" s="13">
        <v>821</v>
      </c>
      <c r="Q834" s="21">
        <v>2.585355509694609E-2</v>
      </c>
      <c r="R834" s="18">
        <f t="shared" si="150"/>
        <v>2.6199972268695859E-2</v>
      </c>
      <c r="S834" s="21">
        <v>3.6610979802041088E-2</v>
      </c>
      <c r="T834" s="18">
        <f t="shared" si="151"/>
        <v>4.296739678627759E-2</v>
      </c>
      <c r="U834" s="23">
        <v>3.8379026649738801E-2</v>
      </c>
      <c r="V834" s="23">
        <f t="shared" si="152"/>
        <v>4.2965331187935663E-2</v>
      </c>
      <c r="W834" s="22">
        <f t="shared" si="155"/>
        <v>3.5117841887191137E-3</v>
      </c>
      <c r="X834" s="23">
        <v>3.8024747191810926E-2</v>
      </c>
      <c r="Y834" s="23">
        <f t="shared" si="156"/>
        <v>4.296580963421115E-2</v>
      </c>
      <c r="Z834" s="22">
        <f t="shared" si="157"/>
        <v>3.5118225741510578E-3</v>
      </c>
      <c r="AA834" s="33"/>
      <c r="AB834" s="50">
        <f t="shared" si="153"/>
        <v>821</v>
      </c>
      <c r="AC834" s="48">
        <f t="shared" si="148"/>
        <v>0.17441188812831507</v>
      </c>
      <c r="AE834" s="48">
        <f t="shared" si="154"/>
        <v>0.99784728500426556</v>
      </c>
      <c r="AF834" s="48">
        <f t="shared" si="158"/>
        <v>0.17441188812831498</v>
      </c>
      <c r="AH834" s="48">
        <f t="shared" si="159"/>
        <v>0</v>
      </c>
    </row>
    <row r="835" spans="4:34" ht="13.9" customHeight="1">
      <c r="D835" s="8"/>
      <c r="E835" s="9"/>
      <c r="F835" s="18"/>
      <c r="G835" s="18"/>
      <c r="H835" s="18"/>
      <c r="J835" s="40"/>
      <c r="K835" s="40"/>
      <c r="L835" s="40"/>
      <c r="M835" s="38"/>
      <c r="O835" s="12">
        <f t="shared" si="149"/>
        <v>68.5</v>
      </c>
      <c r="P835" s="13">
        <v>822</v>
      </c>
      <c r="Q835" s="21">
        <v>2.5853976457975048E-2</v>
      </c>
      <c r="R835" s="18">
        <f t="shared" si="150"/>
        <v>2.6202218703399005E-2</v>
      </c>
      <c r="S835" s="21">
        <v>3.6618689085894385E-2</v>
      </c>
      <c r="T835" s="18">
        <f t="shared" si="151"/>
        <v>4.2967754744525521E-2</v>
      </c>
      <c r="U835" s="23">
        <v>3.8384593825107505E-2</v>
      </c>
      <c r="V835" s="23">
        <f t="shared" si="152"/>
        <v>4.2965691067736733E-2</v>
      </c>
      <c r="W835" s="22">
        <f t="shared" si="155"/>
        <v>3.5118133469731472E-3</v>
      </c>
      <c r="X835" s="23">
        <v>3.8030743972813807E-2</v>
      </c>
      <c r="Y835" s="23">
        <f t="shared" si="156"/>
        <v>4.296616917948004E-2</v>
      </c>
      <c r="Z835" s="22">
        <f t="shared" si="157"/>
        <v>3.5118517092571633E-3</v>
      </c>
      <c r="AA835" s="33"/>
      <c r="AB835" s="50">
        <f t="shared" si="153"/>
        <v>822</v>
      </c>
      <c r="AC835" s="48">
        <f t="shared" si="148"/>
        <v>0.17403639702595008</v>
      </c>
      <c r="AE835" s="48">
        <f t="shared" si="154"/>
        <v>0.99784710144248501</v>
      </c>
      <c r="AF835" s="48">
        <f t="shared" si="158"/>
        <v>0.17403639702595006</v>
      </c>
      <c r="AH835" s="48">
        <f t="shared" si="159"/>
        <v>0</v>
      </c>
    </row>
    <row r="836" spans="4:34" ht="13.9" customHeight="1">
      <c r="D836" s="8"/>
      <c r="E836" s="9"/>
      <c r="F836" s="18"/>
      <c r="G836" s="18"/>
      <c r="H836" s="18"/>
      <c r="J836" s="40"/>
      <c r="K836" s="40"/>
      <c r="L836" s="40"/>
      <c r="M836" s="38"/>
      <c r="O836" s="12">
        <f t="shared" si="149"/>
        <v>68.583333333333329</v>
      </c>
      <c r="P836" s="13">
        <v>823</v>
      </c>
      <c r="Q836" s="21">
        <v>2.5854399523858929E-2</v>
      </c>
      <c r="R836" s="18">
        <f t="shared" si="150"/>
        <v>2.6204446403634396E-2</v>
      </c>
      <c r="S836" s="21">
        <v>3.6626380124581415E-2</v>
      </c>
      <c r="T836" s="18">
        <f t="shared" si="151"/>
        <v>4.2968108771689106E-2</v>
      </c>
      <c r="U836" s="23">
        <v>3.8390147936594898E-2</v>
      </c>
      <c r="V836" s="23">
        <f t="shared" si="152"/>
        <v>4.2966047210403424E-2</v>
      </c>
      <c r="W836" s="22">
        <f t="shared" si="155"/>
        <v>3.5118422024844609E-3</v>
      </c>
      <c r="X836" s="23">
        <v>3.8036726650162E-2</v>
      </c>
      <c r="Y836" s="23">
        <f t="shared" si="156"/>
        <v>4.2966524942673168E-2</v>
      </c>
      <c r="Z836" s="22">
        <f t="shared" si="157"/>
        <v>3.5118805379332763E-3</v>
      </c>
      <c r="AA836" s="33"/>
      <c r="AB836" s="50">
        <f t="shared" si="153"/>
        <v>823</v>
      </c>
      <c r="AC836" s="48">
        <f t="shared" si="148"/>
        <v>0.17366168263791457</v>
      </c>
      <c r="AE836" s="48">
        <f t="shared" si="154"/>
        <v>0.99784691941203618</v>
      </c>
      <c r="AF836" s="48">
        <f t="shared" si="158"/>
        <v>0.17366168263791432</v>
      </c>
      <c r="AH836" s="48">
        <f t="shared" si="159"/>
        <v>-2.4980018054066022E-16</v>
      </c>
    </row>
    <row r="837" spans="4:34" ht="13.9" customHeight="1">
      <c r="D837" s="8"/>
      <c r="E837" s="9"/>
      <c r="F837" s="18"/>
      <c r="G837" s="18"/>
      <c r="H837" s="18"/>
      <c r="J837" s="40"/>
      <c r="K837" s="40"/>
      <c r="L837" s="40"/>
      <c r="M837" s="38"/>
      <c r="O837" s="12">
        <f t="shared" si="149"/>
        <v>68.666666666666671</v>
      </c>
      <c r="P837" s="13">
        <v>824</v>
      </c>
      <c r="Q837" s="21">
        <v>2.5854824265659326E-2</v>
      </c>
      <c r="R837" s="18">
        <f t="shared" si="150"/>
        <v>2.6206655526395117E-2</v>
      </c>
      <c r="S837" s="21">
        <v>3.6634052979589216E-2</v>
      </c>
      <c r="T837" s="18">
        <f t="shared" si="151"/>
        <v>4.296845891123402E-2</v>
      </c>
      <c r="U837" s="23">
        <v>3.8395689027147073E-2</v>
      </c>
      <c r="V837" s="23">
        <f t="shared" si="152"/>
        <v>4.2966399655913978E-2</v>
      </c>
      <c r="W837" s="22">
        <f t="shared" si="155"/>
        <v>3.5118707583396969E-3</v>
      </c>
      <c r="X837" s="23">
        <v>3.8042695270517513E-2</v>
      </c>
      <c r="Y837" s="23">
        <f t="shared" si="156"/>
        <v>4.2966876963952849E-2</v>
      </c>
      <c r="Z837" s="22">
        <f t="shared" si="157"/>
        <v>3.5119090633499717E-3</v>
      </c>
      <c r="AA837" s="33"/>
      <c r="AB837" s="50">
        <f t="shared" si="153"/>
        <v>824</v>
      </c>
      <c r="AC837" s="48">
        <f t="shared" si="148"/>
        <v>0.17328774369214356</v>
      </c>
      <c r="AE837" s="48">
        <f t="shared" si="154"/>
        <v>0.9978467389000828</v>
      </c>
      <c r="AF837" s="48">
        <f t="shared" si="158"/>
        <v>0.17328774369214392</v>
      </c>
      <c r="AH837" s="48">
        <f t="shared" si="159"/>
        <v>3.6082248300317588E-16</v>
      </c>
    </row>
    <row r="838" spans="4:34" ht="13.9" customHeight="1">
      <c r="D838" s="8"/>
      <c r="E838" s="9"/>
      <c r="F838" s="18"/>
      <c r="G838" s="18"/>
      <c r="H838" s="18"/>
      <c r="J838" s="40"/>
      <c r="K838" s="40"/>
      <c r="L838" s="40"/>
      <c r="M838" s="38"/>
      <c r="O838" s="12">
        <f t="shared" si="149"/>
        <v>68.75</v>
      </c>
      <c r="P838" s="13">
        <v>825</v>
      </c>
      <c r="Q838" s="21">
        <v>2.5855250654768236E-2</v>
      </c>
      <c r="R838" s="18">
        <f t="shared" si="150"/>
        <v>2.6208846227210758E-2</v>
      </c>
      <c r="S838" s="21">
        <v>3.6641707712159688E-2</v>
      </c>
      <c r="T838" s="18">
        <f t="shared" si="151"/>
        <v>4.2968805205625404E-2</v>
      </c>
      <c r="U838" s="23">
        <v>3.8401217139550248E-2</v>
      </c>
      <c r="V838" s="23">
        <f t="shared" si="152"/>
        <v>4.2966748441519487E-2</v>
      </c>
      <c r="W838" s="22">
        <f t="shared" si="155"/>
        <v>3.5118990177447351E-3</v>
      </c>
      <c r="X838" s="23">
        <v>3.804864988036516E-2</v>
      </c>
      <c r="Y838" s="23">
        <f t="shared" si="156"/>
        <v>4.2967225282230626E-2</v>
      </c>
      <c r="Z838" s="22">
        <f t="shared" si="157"/>
        <v>3.5119372887280065E-3</v>
      </c>
      <c r="AA838" s="33"/>
      <c r="AB838" s="50">
        <f t="shared" si="153"/>
        <v>825</v>
      </c>
      <c r="AC838" s="48">
        <f t="shared" si="148"/>
        <v>0.17291457891498097</v>
      </c>
      <c r="AE838" s="48">
        <f t="shared" si="154"/>
        <v>0.99784655989389337</v>
      </c>
      <c r="AF838" s="48">
        <f t="shared" si="158"/>
        <v>0.17291457891498052</v>
      </c>
      <c r="AH838" s="48">
        <f t="shared" si="159"/>
        <v>-4.4408920985006262E-16</v>
      </c>
    </row>
    <row r="839" spans="4:34" ht="13.9" customHeight="1">
      <c r="D839" s="8"/>
      <c r="E839" s="9"/>
      <c r="F839" s="18"/>
      <c r="G839" s="18"/>
      <c r="H839" s="18"/>
      <c r="J839" s="40"/>
      <c r="K839" s="40"/>
      <c r="L839" s="40"/>
      <c r="M839" s="38"/>
      <c r="O839" s="12">
        <f t="shared" si="149"/>
        <v>68.833333333333329</v>
      </c>
      <c r="P839" s="13">
        <v>826</v>
      </c>
      <c r="Q839" s="21">
        <v>2.5855678662904946E-2</v>
      </c>
      <c r="R839" s="18">
        <f t="shared" si="150"/>
        <v>2.6211018660409202E-2</v>
      </c>
      <c r="S839" s="21">
        <v>3.6649344383290261E-2</v>
      </c>
      <c r="T839" s="18">
        <f t="shared" si="151"/>
        <v>4.2969147696981791E-2</v>
      </c>
      <c r="U839" s="23">
        <v>3.8406732316429215E-2</v>
      </c>
      <c r="V839" s="23">
        <f t="shared" si="152"/>
        <v>4.296709360590123E-2</v>
      </c>
      <c r="W839" s="22">
        <f t="shared" si="155"/>
        <v>3.5119269836865197E-3</v>
      </c>
      <c r="X839" s="23">
        <v>3.80545905260119E-2</v>
      </c>
      <c r="Y839" s="23">
        <f t="shared" si="156"/>
        <v>4.2967569937004457E-2</v>
      </c>
      <c r="Z839" s="22">
        <f t="shared" si="157"/>
        <v>3.5119652171873295E-3</v>
      </c>
      <c r="AA839" s="33"/>
      <c r="AB839" s="50">
        <f t="shared" si="153"/>
        <v>826</v>
      </c>
      <c r="AC839" s="48">
        <f t="shared" si="148"/>
        <v>0.17254218703122193</v>
      </c>
      <c r="AE839" s="48">
        <f t="shared" si="154"/>
        <v>0.99784638238085444</v>
      </c>
      <c r="AF839" s="48">
        <f t="shared" si="158"/>
        <v>0.17254218703122209</v>
      </c>
      <c r="AH839" s="48">
        <f t="shared" si="159"/>
        <v>0</v>
      </c>
    </row>
    <row r="840" spans="4:34" ht="13.9" customHeight="1">
      <c r="D840" s="8"/>
      <c r="E840" s="9"/>
      <c r="F840" s="18"/>
      <c r="G840" s="18"/>
      <c r="H840" s="18"/>
      <c r="J840" s="40"/>
      <c r="K840" s="40"/>
      <c r="L840" s="40"/>
      <c r="M840" s="38"/>
      <c r="O840" s="12">
        <f t="shared" si="149"/>
        <v>68.916666666666671</v>
      </c>
      <c r="P840" s="13">
        <v>827</v>
      </c>
      <c r="Q840" s="21">
        <v>2.5856108262111821E-2</v>
      </c>
      <c r="R840" s="18">
        <f t="shared" si="150"/>
        <v>2.6213172979521859E-2</v>
      </c>
      <c r="S840" s="21">
        <v>3.6656963053734781E-2</v>
      </c>
      <c r="T840" s="18">
        <f t="shared" si="151"/>
        <v>4.2969486427859582E-2</v>
      </c>
      <c r="U840" s="23">
        <v>3.8412234600249118E-2</v>
      </c>
      <c r="V840" s="23">
        <f t="shared" si="152"/>
        <v>4.2967435186558545E-2</v>
      </c>
      <c r="W840" s="22">
        <f t="shared" si="155"/>
        <v>3.5119546592667916E-3</v>
      </c>
      <c r="X840" s="23">
        <v>3.806051725358861E-2</v>
      </c>
      <c r="Y840" s="23">
        <f t="shared" si="156"/>
        <v>4.2967910966758671E-2</v>
      </c>
      <c r="Z840" s="22">
        <f t="shared" si="157"/>
        <v>3.5119928518954069E-3</v>
      </c>
      <c r="AA840" s="33"/>
      <c r="AB840" s="50">
        <f t="shared" si="153"/>
        <v>827</v>
      </c>
      <c r="AC840" s="48">
        <f t="shared" si="148"/>
        <v>0.17217056676416914</v>
      </c>
      <c r="AE840" s="48">
        <f t="shared" si="154"/>
        <v>0.99784620634845034</v>
      </c>
      <c r="AF840" s="48">
        <f t="shared" si="158"/>
        <v>0.17217056676416975</v>
      </c>
      <c r="AH840" s="48">
        <f t="shared" si="159"/>
        <v>6.106226635438361E-16</v>
      </c>
    </row>
    <row r="841" spans="4:34" ht="13.9" customHeight="1">
      <c r="D841" s="8"/>
      <c r="E841" s="9"/>
      <c r="F841" s="18"/>
      <c r="G841" s="18"/>
      <c r="H841" s="18"/>
      <c r="J841" s="40"/>
      <c r="K841" s="40"/>
      <c r="L841" s="40"/>
      <c r="M841" s="38"/>
      <c r="O841" s="12">
        <f t="shared" si="149"/>
        <v>69</v>
      </c>
      <c r="P841" s="13">
        <v>828</v>
      </c>
      <c r="Q841" s="21">
        <v>2.5856539424751857E-2</v>
      </c>
      <c r="R841" s="18">
        <f t="shared" si="150"/>
        <v>2.6215309335625658E-2</v>
      </c>
      <c r="S841" s="21">
        <v>3.6664563784005288E-2</v>
      </c>
      <c r="T841" s="18">
        <f t="shared" si="151"/>
        <v>4.2969821438550992E-2</v>
      </c>
      <c r="U841" s="23">
        <v>3.841772403331567E-2</v>
      </c>
      <c r="V841" s="23">
        <f t="shared" si="152"/>
        <v>4.2967773220470518E-2</v>
      </c>
      <c r="W841" s="22">
        <f t="shared" si="155"/>
        <v>3.5119820474929231E-3</v>
      </c>
      <c r="X841" s="23">
        <v>3.8066430109050309E-2</v>
      </c>
      <c r="Y841" s="23">
        <f t="shared" si="156"/>
        <v>4.2968248409102072E-2</v>
      </c>
      <c r="Z841" s="22">
        <f t="shared" si="157"/>
        <v>3.5120201959379926E-3</v>
      </c>
      <c r="AA841" s="33"/>
      <c r="AB841" s="50">
        <f t="shared" si="153"/>
        <v>828</v>
      </c>
      <c r="AC841" s="48">
        <f t="shared" si="148"/>
        <v>0.17179971683566861</v>
      </c>
      <c r="AE841" s="48">
        <f t="shared" si="154"/>
        <v>0.99784603178423059</v>
      </c>
      <c r="AF841" s="48">
        <f t="shared" si="158"/>
        <v>0.17179971683566872</v>
      </c>
      <c r="AH841" s="48">
        <f t="shared" si="159"/>
        <v>0</v>
      </c>
    </row>
    <row r="842" spans="4:34" ht="13.9" customHeight="1">
      <c r="D842" s="8"/>
      <c r="E842" s="9"/>
      <c r="F842" s="18"/>
      <c r="G842" s="18"/>
      <c r="H842" s="18"/>
      <c r="J842" s="40"/>
      <c r="K842" s="40"/>
      <c r="L842" s="40"/>
      <c r="M842" s="38"/>
      <c r="O842" s="12">
        <f t="shared" si="149"/>
        <v>69.083333333333329</v>
      </c>
      <c r="P842" s="13">
        <v>829</v>
      </c>
      <c r="Q842" s="21">
        <v>2.5856972123503796E-2</v>
      </c>
      <c r="R842" s="18">
        <f t="shared" si="150"/>
        <v>2.6217427879700939E-2</v>
      </c>
      <c r="S842" s="21">
        <v>3.6672146634371128E-2</v>
      </c>
      <c r="T842" s="18">
        <f t="shared" si="151"/>
        <v>4.2970152770548831E-2</v>
      </c>
      <c r="U842" s="23">
        <v>3.842320065777538E-2</v>
      </c>
      <c r="V842" s="23">
        <f t="shared" si="152"/>
        <v>4.2968107744978612E-2</v>
      </c>
      <c r="W842" s="22">
        <f t="shared" si="155"/>
        <v>3.5120091513296536E-3</v>
      </c>
      <c r="X842" s="23">
        <v>3.8072329138175709E-2</v>
      </c>
      <c r="Y842" s="23">
        <f t="shared" si="156"/>
        <v>4.2968582302511216E-2</v>
      </c>
      <c r="Z842" s="22">
        <f t="shared" si="157"/>
        <v>3.5120472523311186E-3</v>
      </c>
      <c r="AA842" s="33"/>
      <c r="AB842" s="50">
        <f t="shared" si="153"/>
        <v>829</v>
      </c>
      <c r="AC842" s="48">
        <f t="shared" si="148"/>
        <v>0.17142963596617131</v>
      </c>
      <c r="AE842" s="48">
        <f t="shared" si="154"/>
        <v>0.99784585867594322</v>
      </c>
      <c r="AF842" s="48">
        <f t="shared" si="158"/>
        <v>0.17142963596617175</v>
      </c>
      <c r="AH842" s="48">
        <f t="shared" si="159"/>
        <v>4.4408920985006262E-16</v>
      </c>
    </row>
    <row r="843" spans="4:34" ht="13.9" customHeight="1">
      <c r="D843" s="8"/>
      <c r="E843" s="9"/>
      <c r="F843" s="18"/>
      <c r="G843" s="18"/>
      <c r="H843" s="18"/>
      <c r="J843" s="40"/>
      <c r="K843" s="40"/>
      <c r="L843" s="40"/>
      <c r="M843" s="38"/>
      <c r="O843" s="12">
        <f t="shared" si="149"/>
        <v>69.166666666666671</v>
      </c>
      <c r="P843" s="13">
        <v>830</v>
      </c>
      <c r="Q843" s="21">
        <v>2.5857406331359911E-2</v>
      </c>
      <c r="R843" s="18">
        <f t="shared" si="150"/>
        <v>2.6219528760620614E-2</v>
      </c>
      <c r="S843" s="21">
        <v>3.6679711664861614E-2</v>
      </c>
      <c r="T843" s="18">
        <f t="shared" si="151"/>
        <v>4.2970480464120664E-2</v>
      </c>
      <c r="U843" s="23">
        <v>3.842866451561644E-2</v>
      </c>
      <c r="V843" s="23">
        <f t="shared" si="152"/>
        <v>4.2968438795918829E-2</v>
      </c>
      <c r="W843" s="22">
        <f t="shared" si="155"/>
        <v>3.5120359737716988E-3</v>
      </c>
      <c r="X843" s="23">
        <v>3.8078214386569442E-2</v>
      </c>
      <c r="Y843" s="23">
        <f t="shared" si="156"/>
        <v>4.2968912683964522E-2</v>
      </c>
      <c r="Z843" s="22">
        <f t="shared" si="157"/>
        <v>3.5120740241598725E-3</v>
      </c>
      <c r="AA843" s="33"/>
      <c r="AB843" s="50">
        <f t="shared" si="153"/>
        <v>830</v>
      </c>
      <c r="AC843" s="48">
        <f t="shared" si="148"/>
        <v>0.17106032287476872</v>
      </c>
      <c r="AE843" s="48">
        <f t="shared" si="154"/>
        <v>0.9978456870113448</v>
      </c>
      <c r="AF843" s="48">
        <f t="shared" si="158"/>
        <v>0.17106032287476938</v>
      </c>
      <c r="AH843" s="48">
        <f t="shared" si="159"/>
        <v>6.6613381477509392E-16</v>
      </c>
    </row>
    <row r="844" spans="4:34" ht="13.9" customHeight="1">
      <c r="D844" s="8"/>
      <c r="E844" s="9"/>
      <c r="F844" s="18"/>
      <c r="G844" s="18"/>
      <c r="H844" s="18"/>
      <c r="J844" s="40"/>
      <c r="K844" s="40"/>
      <c r="L844" s="40"/>
      <c r="M844" s="38"/>
      <c r="O844" s="12">
        <f t="shared" si="149"/>
        <v>69.25</v>
      </c>
      <c r="P844" s="13">
        <v>831</v>
      </c>
      <c r="Q844" s="21">
        <v>2.5857842021621558E-2</v>
      </c>
      <c r="R844" s="18">
        <f t="shared" si="150"/>
        <v>2.6221612126442029E-2</v>
      </c>
      <c r="S844" s="21">
        <v>3.6687258935266032E-2</v>
      </c>
      <c r="T844" s="18">
        <f t="shared" si="151"/>
        <v>4.2970804559236075E-2</v>
      </c>
      <c r="U844" s="23">
        <v>3.8434115648668499E-2</v>
      </c>
      <c r="V844" s="23">
        <f t="shared" si="152"/>
        <v>4.2968766409898995E-2</v>
      </c>
      <c r="W844" s="22">
        <f t="shared" si="155"/>
        <v>3.512062517692538E-3</v>
      </c>
      <c r="X844" s="23">
        <v>3.8084085899661613E-2</v>
      </c>
      <c r="Y844" s="23">
        <f t="shared" si="156"/>
        <v>4.296923959037513E-2</v>
      </c>
      <c r="Z844" s="22">
        <f t="shared" si="157"/>
        <v>3.512100514389882E-3</v>
      </c>
      <c r="AA844" s="33"/>
      <c r="AB844" s="50">
        <f t="shared" si="153"/>
        <v>831</v>
      </c>
      <c r="AC844" s="48">
        <f t="shared" si="148"/>
        <v>0.17069177627924809</v>
      </c>
      <c r="AE844" s="48">
        <f t="shared" si="154"/>
        <v>0.99784551677836253</v>
      </c>
      <c r="AF844" s="48">
        <f t="shared" si="158"/>
        <v>0.17069177627924781</v>
      </c>
      <c r="AH844" s="48">
        <f t="shared" si="159"/>
        <v>-2.7755575615628914E-16</v>
      </c>
    </row>
    <row r="845" spans="4:34" ht="13.9" customHeight="1">
      <c r="D845" s="8"/>
      <c r="E845" s="9"/>
      <c r="F845" s="18"/>
      <c r="G845" s="18"/>
      <c r="H845" s="18"/>
      <c r="J845" s="40"/>
      <c r="K845" s="40"/>
      <c r="L845" s="40"/>
      <c r="M845" s="38"/>
      <c r="O845" s="12">
        <f t="shared" si="149"/>
        <v>69.333333333333329</v>
      </c>
      <c r="P845" s="13">
        <v>832</v>
      </c>
      <c r="Q845" s="21">
        <v>2.5858279167896736E-2</v>
      </c>
      <c r="R845" s="18">
        <f t="shared" si="150"/>
        <v>2.6223678123796779E-2</v>
      </c>
      <c r="S845" s="21">
        <v>3.6694788505134968E-2</v>
      </c>
      <c r="T845" s="18">
        <f t="shared" si="151"/>
        <v>4.2971125095471185E-2</v>
      </c>
      <c r="U845" s="23">
        <v>3.8439554098604445E-2</v>
      </c>
      <c r="V845" s="23">
        <f t="shared" si="152"/>
        <v>4.2969090622410056E-2</v>
      </c>
      <c r="W845" s="22">
        <f t="shared" si="155"/>
        <v>3.5120887860278227E-3</v>
      </c>
      <c r="X845" s="23">
        <v>3.8089943722708242E-2</v>
      </c>
      <c r="Y845" s="23">
        <f t="shared" si="156"/>
        <v>4.2969563058257387E-2</v>
      </c>
      <c r="Z845" s="22">
        <f t="shared" si="157"/>
        <v>3.5121267259805578E-3</v>
      </c>
      <c r="AA845" s="33"/>
      <c r="AB845" s="50">
        <f t="shared" si="153"/>
        <v>832</v>
      </c>
      <c r="AC845" s="48">
        <f t="shared" ref="AC845:AC908" si="160">1/(1+Q845)^(P845/12)</f>
        <v>0.17032399489612859</v>
      </c>
      <c r="AE845" s="48">
        <f t="shared" si="154"/>
        <v>0.99784534796498958</v>
      </c>
      <c r="AF845" s="48">
        <f t="shared" si="158"/>
        <v>0.17032399489612818</v>
      </c>
      <c r="AH845" s="48">
        <f t="shared" si="159"/>
        <v>-4.163336342344337E-16</v>
      </c>
    </row>
    <row r="846" spans="4:34" ht="13.9" customHeight="1">
      <c r="D846" s="8"/>
      <c r="E846" s="9"/>
      <c r="F846" s="18"/>
      <c r="G846" s="18"/>
      <c r="H846" s="18"/>
      <c r="J846" s="40"/>
      <c r="K846" s="40"/>
      <c r="L846" s="40"/>
      <c r="M846" s="38"/>
      <c r="O846" s="12">
        <f t="shared" ref="O846:O909" si="161">P846/12</f>
        <v>69.416666666666671</v>
      </c>
      <c r="P846" s="13">
        <v>833</v>
      </c>
      <c r="Q846" s="21">
        <v>2.5858717744096094E-2</v>
      </c>
      <c r="R846" s="18">
        <f t="shared" ref="R846:R909" si="162">(1+Q847)^P847/(1+Q846)^P846-1</f>
        <v>2.6225726898539525E-2</v>
      </c>
      <c r="S846" s="21">
        <v>3.6702300433780755E-2</v>
      </c>
      <c r="T846" s="18">
        <f t="shared" ref="T846:T909" si="163">(1+S847)^P847/(1+S846)^P846-1</f>
        <v>4.2971442111775282E-2</v>
      </c>
      <c r="U846" s="23">
        <v>3.8444979906939514E-2</v>
      </c>
      <c r="V846" s="23">
        <f t="shared" ref="V846:V909" si="164">(1+U847)^P847/(1+U846)^P846-1</f>
        <v>4.2969411468560592E-2</v>
      </c>
      <c r="W846" s="22">
        <f t="shared" si="155"/>
        <v>3.5121147816230547E-3</v>
      </c>
      <c r="X846" s="23">
        <v>3.8095787900792377E-2</v>
      </c>
      <c r="Y846" s="23">
        <f t="shared" si="156"/>
        <v>4.2969883124020836E-2</v>
      </c>
      <c r="Z846" s="22">
        <f t="shared" si="157"/>
        <v>3.5121526618602239E-3</v>
      </c>
      <c r="AA846" s="33"/>
      <c r="AB846" s="50">
        <f t="shared" ref="AB846:AB909" si="165">+P846</f>
        <v>833</v>
      </c>
      <c r="AC846" s="48">
        <f t="shared" si="160"/>
        <v>0.16995697744071359</v>
      </c>
      <c r="AE846" s="48">
        <f t="shared" ref="AE846:AE909" si="166">1/(1+R845)^(1/12)</f>
        <v>0.9978451805593358</v>
      </c>
      <c r="AF846" s="48">
        <f t="shared" si="158"/>
        <v>0.16995697744071442</v>
      </c>
      <c r="AH846" s="48">
        <f t="shared" si="159"/>
        <v>8.3266726846886741E-16</v>
      </c>
    </row>
    <row r="847" spans="4:34" ht="13.9" customHeight="1">
      <c r="D847" s="8"/>
      <c r="E847" s="9"/>
      <c r="F847" s="18"/>
      <c r="G847" s="18"/>
      <c r="H847" s="18"/>
      <c r="J847" s="40"/>
      <c r="K847" s="40"/>
      <c r="L847" s="40"/>
      <c r="M847" s="38"/>
      <c r="O847" s="12">
        <f t="shared" si="161"/>
        <v>69.5</v>
      </c>
      <c r="P847" s="13">
        <v>834</v>
      </c>
      <c r="Q847" s="21">
        <v>2.5859157724430037E-2</v>
      </c>
      <c r="R847" s="18">
        <f t="shared" si="162"/>
        <v>2.6227758594087991E-2</v>
      </c>
      <c r="S847" s="21">
        <v>3.6709794780278804E-2</v>
      </c>
      <c r="T847" s="18">
        <f t="shared" si="163"/>
        <v>4.2971755646957543E-2</v>
      </c>
      <c r="U847" s="23">
        <v>3.84503931150324E-2</v>
      </c>
      <c r="V847" s="23">
        <f t="shared" si="164"/>
        <v>4.2969728983699218E-2</v>
      </c>
      <c r="W847" s="22">
        <f t="shared" ref="W847:W910" si="167">(1+V846)^(1/12)-1</f>
        <v>3.5121405072937595E-3</v>
      </c>
      <c r="X847" s="23">
        <v>3.8101618478824539E-2</v>
      </c>
      <c r="Y847" s="23">
        <f t="shared" ref="Y847:Y910" si="168">(1+X848)^P848/(1+X847)^P847-1</f>
        <v>4.2970199823369137E-2</v>
      </c>
      <c r="Z847" s="22">
        <f t="shared" ref="Z847:Z910" si="169">(1+Y846)^(1/12)-1</f>
        <v>3.5121783249483229E-3</v>
      </c>
      <c r="AA847" s="33"/>
      <c r="AB847" s="50">
        <f t="shared" si="165"/>
        <v>834</v>
      </c>
      <c r="AC847" s="48">
        <f t="shared" si="160"/>
        <v>0.16959072262713101</v>
      </c>
      <c r="AE847" s="48">
        <f t="shared" si="166"/>
        <v>0.99784501454957297</v>
      </c>
      <c r="AF847" s="48">
        <f t="shared" ref="AF847:AF910" si="170">+AF846*AE847</f>
        <v>0.16959072262713112</v>
      </c>
      <c r="AH847" s="48">
        <f t="shared" ref="AH847:AH910" si="171">+AF847-AC847</f>
        <v>0</v>
      </c>
    </row>
    <row r="848" spans="4:34" ht="13.9" customHeight="1">
      <c r="D848" s="8"/>
      <c r="E848" s="9"/>
      <c r="F848" s="18"/>
      <c r="G848" s="18"/>
      <c r="H848" s="18"/>
      <c r="J848" s="40"/>
      <c r="K848" s="40"/>
      <c r="L848" s="40"/>
      <c r="M848" s="38"/>
      <c r="O848" s="12">
        <f t="shared" si="161"/>
        <v>69.583333333333329</v>
      </c>
      <c r="P848" s="13">
        <v>835</v>
      </c>
      <c r="Q848" s="21">
        <v>2.5859599083404738E-2</v>
      </c>
      <c r="R848" s="18">
        <f t="shared" si="162"/>
        <v>2.6229773354101926E-2</v>
      </c>
      <c r="S848" s="21">
        <v>3.6717271603468049E-2</v>
      </c>
      <c r="T848" s="18">
        <f t="shared" si="163"/>
        <v>4.297206573917034E-2</v>
      </c>
      <c r="U848" s="23">
        <v>3.8455793764085922E-2</v>
      </c>
      <c r="V848" s="23">
        <f t="shared" si="164"/>
        <v>4.2970043202122721E-2</v>
      </c>
      <c r="W848" s="22">
        <f t="shared" si="167"/>
        <v>3.5121659658745585E-3</v>
      </c>
      <c r="X848" s="23">
        <v>3.8107435501543163E-2</v>
      </c>
      <c r="Y848" s="23">
        <f t="shared" si="168"/>
        <v>4.2970513191750825E-2</v>
      </c>
      <c r="Z848" s="22">
        <f t="shared" si="169"/>
        <v>3.512203718107898E-3</v>
      </c>
      <c r="AA848" s="33"/>
      <c r="AB848" s="50">
        <f t="shared" si="165"/>
        <v>835</v>
      </c>
      <c r="AC848" s="48">
        <f t="shared" si="160"/>
        <v>0.16922522916838481</v>
      </c>
      <c r="AE848" s="48">
        <f t="shared" si="166"/>
        <v>0.9978448499240713</v>
      </c>
      <c r="AF848" s="48">
        <f t="shared" si="170"/>
        <v>0.16922522916838445</v>
      </c>
      <c r="AH848" s="48">
        <f t="shared" si="171"/>
        <v>-3.6082248300317588E-16</v>
      </c>
    </row>
    <row r="849" spans="4:34" ht="13.9" customHeight="1">
      <c r="D849" s="8"/>
      <c r="E849" s="9"/>
      <c r="F849" s="18"/>
      <c r="G849" s="18"/>
      <c r="H849" s="18"/>
      <c r="J849" s="40"/>
      <c r="K849" s="40"/>
      <c r="L849" s="40"/>
      <c r="M849" s="38"/>
      <c r="O849" s="12">
        <f t="shared" si="161"/>
        <v>69.666666666666671</v>
      </c>
      <c r="P849" s="13">
        <v>836</v>
      </c>
      <c r="Q849" s="21">
        <v>2.5860041795820132E-2</v>
      </c>
      <c r="R849" s="18">
        <f t="shared" si="162"/>
        <v>2.6231771320301078E-2</v>
      </c>
      <c r="S849" s="21">
        <v>3.6724730961952501E-2</v>
      </c>
      <c r="T849" s="18">
        <f t="shared" si="163"/>
        <v>4.297237242608043E-2</v>
      </c>
      <c r="U849" s="23">
        <v>3.8461181895147467E-2</v>
      </c>
      <c r="V849" s="23">
        <f t="shared" si="164"/>
        <v>4.2970354158307078E-2</v>
      </c>
      <c r="W849" s="22">
        <f t="shared" si="167"/>
        <v>3.5121911601154743E-3</v>
      </c>
      <c r="X849" s="23">
        <v>3.8113239013515265E-2</v>
      </c>
      <c r="Y849" s="23">
        <f t="shared" si="168"/>
        <v>4.2970823264106839E-2</v>
      </c>
      <c r="Z849" s="22">
        <f t="shared" si="169"/>
        <v>3.5122288441815641E-3</v>
      </c>
      <c r="AA849" s="33"/>
      <c r="AB849" s="50">
        <f t="shared" si="165"/>
        <v>836</v>
      </c>
      <c r="AC849" s="48">
        <f t="shared" si="160"/>
        <v>0.16886049577638515</v>
      </c>
      <c r="AE849" s="48">
        <f t="shared" si="166"/>
        <v>0.99784468667118142</v>
      </c>
      <c r="AF849" s="48">
        <f t="shared" si="170"/>
        <v>0.16886049577638546</v>
      </c>
      <c r="AH849" s="48">
        <f t="shared" si="171"/>
        <v>3.0531133177191805E-16</v>
      </c>
    </row>
    <row r="850" spans="4:34" ht="13.9" customHeight="1">
      <c r="D850" s="8"/>
      <c r="E850" s="9"/>
      <c r="F850" s="18"/>
      <c r="G850" s="18"/>
      <c r="H850" s="18"/>
      <c r="J850" s="40"/>
      <c r="K850" s="40"/>
      <c r="L850" s="40"/>
      <c r="M850" s="38"/>
      <c r="O850" s="12">
        <f t="shared" si="161"/>
        <v>69.75</v>
      </c>
      <c r="P850" s="13">
        <v>837</v>
      </c>
      <c r="Q850" s="21">
        <v>2.5860485836765701E-2</v>
      </c>
      <c r="R850" s="18">
        <f t="shared" si="162"/>
        <v>2.6233752633074703E-2</v>
      </c>
      <c r="S850" s="21">
        <v>3.6732172914101469E-2</v>
      </c>
      <c r="T850" s="18">
        <f t="shared" si="163"/>
        <v>4.2972675745512445E-2</v>
      </c>
      <c r="U850" s="23">
        <v>3.8466557549108993E-2</v>
      </c>
      <c r="V850" s="23">
        <f t="shared" si="164"/>
        <v>4.2970661886091222E-2</v>
      </c>
      <c r="W850" s="22">
        <f t="shared" si="167"/>
        <v>3.512216092780962E-3</v>
      </c>
      <c r="X850" s="23">
        <v>3.8119029059137111E-2</v>
      </c>
      <c r="Y850" s="23">
        <f t="shared" si="168"/>
        <v>4.2971130075089903E-2</v>
      </c>
      <c r="Z850" s="22">
        <f t="shared" si="169"/>
        <v>3.5122537059708581E-3</v>
      </c>
      <c r="AA850" s="33"/>
      <c r="AB850" s="50">
        <f t="shared" si="165"/>
        <v>837</v>
      </c>
      <c r="AC850" s="48">
        <f t="shared" si="160"/>
        <v>0.1684965211620027</v>
      </c>
      <c r="AE850" s="48">
        <f t="shared" si="166"/>
        <v>0.99784452477941155</v>
      </c>
      <c r="AF850" s="48">
        <f t="shared" si="170"/>
        <v>0.16849652116200317</v>
      </c>
      <c r="AH850" s="48">
        <f t="shared" si="171"/>
        <v>4.7184478546569153E-16</v>
      </c>
    </row>
    <row r="851" spans="4:34" ht="13.9" customHeight="1">
      <c r="D851" s="8"/>
      <c r="E851" s="9"/>
      <c r="F851" s="18"/>
      <c r="G851" s="18"/>
      <c r="H851" s="18"/>
      <c r="J851" s="40"/>
      <c r="K851" s="40"/>
      <c r="L851" s="40"/>
      <c r="M851" s="38"/>
      <c r="O851" s="12">
        <f t="shared" si="161"/>
        <v>69.833333333333329</v>
      </c>
      <c r="P851" s="13">
        <v>838</v>
      </c>
      <c r="Q851" s="21">
        <v>2.5860931181617586E-2</v>
      </c>
      <c r="R851" s="18">
        <f t="shared" si="162"/>
        <v>2.6235717431931871E-2</v>
      </c>
      <c r="S851" s="21">
        <v>3.6739597518050893E-2</v>
      </c>
      <c r="T851" s="18">
        <f t="shared" si="163"/>
        <v>4.2972975734372421E-2</v>
      </c>
      <c r="U851" s="23">
        <v>3.8471920766708356E-2</v>
      </c>
      <c r="V851" s="23">
        <f t="shared" si="164"/>
        <v>4.2970966418897971E-2</v>
      </c>
      <c r="W851" s="22">
        <f t="shared" si="167"/>
        <v>3.5122407665846289E-3</v>
      </c>
      <c r="X851" s="23">
        <v>3.8124805682634211E-2</v>
      </c>
      <c r="Y851" s="23">
        <f t="shared" si="168"/>
        <v>4.2971433659435787E-2</v>
      </c>
      <c r="Z851" s="22">
        <f t="shared" si="169"/>
        <v>3.5122783062548901E-3</v>
      </c>
      <c r="AA851" s="33"/>
      <c r="AB851" s="50">
        <f t="shared" si="165"/>
        <v>838</v>
      </c>
      <c r="AC851" s="48">
        <f t="shared" si="160"/>
        <v>0.16813330403510818</v>
      </c>
      <c r="AE851" s="48">
        <f t="shared" si="166"/>
        <v>0.99784436423737721</v>
      </c>
      <c r="AF851" s="48">
        <f t="shared" si="170"/>
        <v>0.16813330403510882</v>
      </c>
      <c r="AH851" s="48">
        <f t="shared" si="171"/>
        <v>6.3837823915946501E-16</v>
      </c>
    </row>
    <row r="852" spans="4:34" ht="13.9" customHeight="1">
      <c r="D852" s="8"/>
      <c r="E852" s="9"/>
      <c r="F852" s="18"/>
      <c r="G852" s="18"/>
      <c r="H852" s="18"/>
      <c r="J852" s="40"/>
      <c r="K852" s="40"/>
      <c r="L852" s="40"/>
      <c r="M852" s="38"/>
      <c r="O852" s="12">
        <f t="shared" si="161"/>
        <v>69.916666666666671</v>
      </c>
      <c r="P852" s="13">
        <v>839</v>
      </c>
      <c r="Q852" s="21">
        <v>2.5861377806035479E-2</v>
      </c>
      <c r="R852" s="18">
        <f t="shared" si="162"/>
        <v>2.6237665854795367E-2</v>
      </c>
      <c r="S852" s="21">
        <v>3.6747004831704677E-2</v>
      </c>
      <c r="T852" s="18">
        <f t="shared" si="163"/>
        <v>4.2973272428860732E-2</v>
      </c>
      <c r="U852" s="23">
        <v>3.8477271588529094E-2</v>
      </c>
      <c r="V852" s="23">
        <f t="shared" si="164"/>
        <v>4.2971267789933654E-2</v>
      </c>
      <c r="W852" s="22">
        <f t="shared" si="167"/>
        <v>3.5122651842065533E-3</v>
      </c>
      <c r="X852" s="23">
        <v>3.8130568928063324E-2</v>
      </c>
      <c r="Y852" s="23">
        <f t="shared" si="168"/>
        <v>4.2971734050451627E-2</v>
      </c>
      <c r="Z852" s="22">
        <f t="shared" si="169"/>
        <v>3.5123026478185437E-3</v>
      </c>
      <c r="AA852" s="33"/>
      <c r="AB852" s="50">
        <f t="shared" si="165"/>
        <v>839</v>
      </c>
      <c r="AC852" s="48">
        <f t="shared" si="160"/>
        <v>0.16777084310461376</v>
      </c>
      <c r="AE852" s="48">
        <f t="shared" si="166"/>
        <v>0.99784420503376592</v>
      </c>
      <c r="AF852" s="48">
        <f t="shared" si="170"/>
        <v>0.16777084310461363</v>
      </c>
      <c r="AH852" s="48">
        <f t="shared" si="171"/>
        <v>0</v>
      </c>
    </row>
    <row r="853" spans="4:34" ht="13.9" customHeight="1">
      <c r="D853" s="8"/>
      <c r="E853" s="9"/>
      <c r="F853" s="18"/>
      <c r="G853" s="18"/>
      <c r="H853" s="18"/>
      <c r="J853" s="40"/>
      <c r="K853" s="40"/>
      <c r="L853" s="40"/>
      <c r="M853" s="38"/>
      <c r="O853" s="12">
        <f t="shared" si="161"/>
        <v>70</v>
      </c>
      <c r="P853" s="13">
        <v>840</v>
      </c>
      <c r="Q853" s="21">
        <v>2.5861825685959516E-2</v>
      </c>
      <c r="R853" s="18">
        <f t="shared" si="162"/>
        <v>2.6239598039340839E-2</v>
      </c>
      <c r="S853" s="21">
        <v>3.6754394912734023E-2</v>
      </c>
      <c r="T853" s="18">
        <f t="shared" si="163"/>
        <v>4.2973565865441765E-2</v>
      </c>
      <c r="U853" s="23">
        <v>3.8482610055001087E-2</v>
      </c>
      <c r="V853" s="23">
        <f t="shared" si="164"/>
        <v>4.2971566031971387E-2</v>
      </c>
      <c r="W853" s="22">
        <f t="shared" si="167"/>
        <v>3.5122893483092721E-3</v>
      </c>
      <c r="X853" s="23">
        <v>3.8136318839310901E-2</v>
      </c>
      <c r="Y853" s="23">
        <f t="shared" si="168"/>
        <v>4.2972031282266787E-2</v>
      </c>
      <c r="Z853" s="22">
        <f t="shared" si="169"/>
        <v>3.5123267333327934E-3</v>
      </c>
      <c r="AA853" s="33"/>
      <c r="AB853" s="50">
        <f t="shared" si="165"/>
        <v>840</v>
      </c>
      <c r="AC853" s="48">
        <f t="shared" si="160"/>
        <v>0.16740913707851571</v>
      </c>
      <c r="AE853" s="48">
        <f t="shared" si="166"/>
        <v>0.99784404715739383</v>
      </c>
      <c r="AF853" s="48">
        <f t="shared" si="170"/>
        <v>0.16740913707851579</v>
      </c>
      <c r="AH853" s="48">
        <f t="shared" si="171"/>
        <v>0</v>
      </c>
    </row>
    <row r="854" spans="4:34" ht="13.9" customHeight="1">
      <c r="D854" s="8"/>
      <c r="E854" s="9"/>
      <c r="F854" s="18"/>
      <c r="G854" s="18"/>
      <c r="H854" s="18"/>
      <c r="J854" s="40"/>
      <c r="K854" s="40"/>
      <c r="L854" s="40"/>
      <c r="M854" s="38"/>
      <c r="O854" s="12">
        <f t="shared" si="161"/>
        <v>70.083333333333329</v>
      </c>
      <c r="P854" s="13">
        <v>841</v>
      </c>
      <c r="Q854" s="21">
        <v>2.586227479760761E-2</v>
      </c>
      <c r="R854" s="18">
        <f t="shared" si="162"/>
        <v>2.6241514121253084E-2</v>
      </c>
      <c r="S854" s="21">
        <v>3.6761767818580093E-2</v>
      </c>
      <c r="T854" s="18">
        <f t="shared" si="163"/>
        <v>4.2973856079994155E-2</v>
      </c>
      <c r="U854" s="23">
        <v>3.848793620640123E-2</v>
      </c>
      <c r="V854" s="23">
        <f t="shared" si="164"/>
        <v>4.2971861178046966E-2</v>
      </c>
      <c r="W854" s="22">
        <f t="shared" si="167"/>
        <v>3.5123132615209052E-3</v>
      </c>
      <c r="X854" s="23">
        <v>3.8142055460095747E-2</v>
      </c>
      <c r="Y854" s="23">
        <f t="shared" si="168"/>
        <v>4.297232538786111E-2</v>
      </c>
      <c r="Z854" s="22">
        <f t="shared" si="169"/>
        <v>3.512350565534339E-3</v>
      </c>
      <c r="AA854" s="33"/>
      <c r="AB854" s="50">
        <f t="shared" si="165"/>
        <v>841</v>
      </c>
      <c r="AC854" s="48">
        <f t="shared" si="160"/>
        <v>0.16704818466392829</v>
      </c>
      <c r="AE854" s="48">
        <f t="shared" si="166"/>
        <v>0.99784389059709711</v>
      </c>
      <c r="AF854" s="48">
        <f t="shared" si="170"/>
        <v>0.16704818466392896</v>
      </c>
      <c r="AH854" s="48">
        <f t="shared" si="171"/>
        <v>6.6613381477509392E-16</v>
      </c>
    </row>
    <row r="855" spans="4:34" ht="13.9" customHeight="1">
      <c r="D855" s="8"/>
      <c r="E855" s="9"/>
      <c r="F855" s="18"/>
      <c r="G855" s="18"/>
      <c r="H855" s="18"/>
      <c r="J855" s="40"/>
      <c r="K855" s="40"/>
      <c r="L855" s="40"/>
      <c r="M855" s="38"/>
      <c r="O855" s="12">
        <f t="shared" si="161"/>
        <v>70.166666666666671</v>
      </c>
      <c r="P855" s="13">
        <v>842</v>
      </c>
      <c r="Q855" s="21">
        <v>2.5862725117471896E-2</v>
      </c>
      <c r="R855" s="18">
        <f t="shared" si="162"/>
        <v>2.6243414234784712E-2</v>
      </c>
      <c r="S855" s="21">
        <v>3.6769123606454013E-2</v>
      </c>
      <c r="T855" s="18">
        <f t="shared" si="163"/>
        <v>4.2974143107586071E-2</v>
      </c>
      <c r="U855" s="23">
        <v>3.8493250082854313E-2</v>
      </c>
      <c r="V855" s="23">
        <f t="shared" si="164"/>
        <v>4.2972153259345003E-2</v>
      </c>
      <c r="W855" s="22">
        <f t="shared" si="167"/>
        <v>3.5123369264902227E-3</v>
      </c>
      <c r="X855" s="23">
        <v>3.814777883396836E-2</v>
      </c>
      <c r="Y855" s="23">
        <f t="shared" si="168"/>
        <v>4.2972616399950869E-2</v>
      </c>
      <c r="Z855" s="22">
        <f t="shared" si="169"/>
        <v>3.5123741470677317E-3</v>
      </c>
      <c r="AA855" s="33"/>
      <c r="AB855" s="50">
        <f t="shared" si="165"/>
        <v>842</v>
      </c>
      <c r="AC855" s="48">
        <f t="shared" si="160"/>
        <v>0.16668798456713438</v>
      </c>
      <c r="AE855" s="48">
        <f t="shared" si="166"/>
        <v>0.99784373534187376</v>
      </c>
      <c r="AF855" s="48">
        <f t="shared" si="170"/>
        <v>0.16668798456713399</v>
      </c>
      <c r="AH855" s="48">
        <f t="shared" si="171"/>
        <v>-3.8857805861880479E-16</v>
      </c>
    </row>
    <row r="856" spans="4:34" ht="13.9" customHeight="1">
      <c r="D856" s="8"/>
      <c r="E856" s="9"/>
      <c r="F856" s="18"/>
      <c r="G856" s="18"/>
      <c r="H856" s="18"/>
      <c r="J856" s="40"/>
      <c r="K856" s="40"/>
      <c r="L856" s="40"/>
      <c r="M856" s="38"/>
      <c r="O856" s="12">
        <f t="shared" si="161"/>
        <v>70.25</v>
      </c>
      <c r="P856" s="13">
        <v>843</v>
      </c>
      <c r="Q856" s="21">
        <v>2.5863176622315631E-2</v>
      </c>
      <c r="R856" s="18">
        <f t="shared" si="162"/>
        <v>2.6245298514413484E-2</v>
      </c>
      <c r="S856" s="21">
        <v>3.6776462333337756E-2</v>
      </c>
      <c r="T856" s="18">
        <f t="shared" si="163"/>
        <v>4.2974426983683589E-2</v>
      </c>
      <c r="U856" s="23">
        <v>3.8498551724332364E-2</v>
      </c>
      <c r="V856" s="23">
        <f t="shared" si="164"/>
        <v>4.2972442308528924E-2</v>
      </c>
      <c r="W856" s="22">
        <f t="shared" si="167"/>
        <v>3.512360345718113E-3</v>
      </c>
      <c r="X856" s="23">
        <v>3.8153489004311592E-2</v>
      </c>
      <c r="Y856" s="23">
        <f t="shared" si="168"/>
        <v>4.2972904351728403E-2</v>
      </c>
      <c r="Z856" s="22">
        <f t="shared" si="169"/>
        <v>3.5123974805564284E-3</v>
      </c>
      <c r="AA856" s="33"/>
      <c r="AB856" s="50">
        <f t="shared" si="165"/>
        <v>843</v>
      </c>
      <c r="AC856" s="48">
        <f t="shared" si="160"/>
        <v>0.16632853549362303</v>
      </c>
      <c r="AE856" s="48">
        <f t="shared" si="166"/>
        <v>0.99784358138083751</v>
      </c>
      <c r="AF856" s="48">
        <f t="shared" si="170"/>
        <v>0.16632853549362275</v>
      </c>
      <c r="AH856" s="48">
        <f t="shared" si="171"/>
        <v>-2.7755575615628914E-16</v>
      </c>
    </row>
    <row r="857" spans="4:34" ht="13.9" customHeight="1">
      <c r="D857" s="8"/>
      <c r="E857" s="9"/>
      <c r="F857" s="18"/>
      <c r="G857" s="18"/>
      <c r="H857" s="18"/>
      <c r="J857" s="40"/>
      <c r="K857" s="40"/>
      <c r="L857" s="40"/>
      <c r="M857" s="38"/>
      <c r="O857" s="12">
        <f t="shared" si="161"/>
        <v>70.333333333333329</v>
      </c>
      <c r="P857" s="13">
        <v>844</v>
      </c>
      <c r="Q857" s="21">
        <v>2.5863629289171186E-2</v>
      </c>
      <c r="R857" s="18">
        <f t="shared" si="162"/>
        <v>2.6247167091896229E-2</v>
      </c>
      <c r="S857" s="21">
        <v>3.678378405598548E-2</v>
      </c>
      <c r="T857" s="18">
        <f t="shared" si="163"/>
        <v>4.2974707742392759E-2</v>
      </c>
      <c r="U857" s="23">
        <v>3.8503841170656417E-2</v>
      </c>
      <c r="V857" s="23">
        <f t="shared" si="164"/>
        <v>4.2972728356827972E-2</v>
      </c>
      <c r="W857" s="22">
        <f t="shared" si="167"/>
        <v>3.5123835218235921E-3</v>
      </c>
      <c r="X857" s="23">
        <v>3.8159186014342428E-2</v>
      </c>
      <c r="Y857" s="23">
        <f t="shared" si="168"/>
        <v>4.2973189274821078E-2</v>
      </c>
      <c r="Z857" s="22">
        <f t="shared" si="169"/>
        <v>3.512420568662078E-3</v>
      </c>
      <c r="AA857" s="33"/>
      <c r="AB857" s="50">
        <f t="shared" si="165"/>
        <v>844</v>
      </c>
      <c r="AC857" s="48">
        <f t="shared" si="160"/>
        <v>0.16596983614811991</v>
      </c>
      <c r="AE857" s="48">
        <f t="shared" si="166"/>
        <v>0.99784342870308451</v>
      </c>
      <c r="AF857" s="48">
        <f t="shared" si="170"/>
        <v>0.16596983614811922</v>
      </c>
      <c r="AH857" s="48">
        <f t="shared" si="171"/>
        <v>-6.9388939039072284E-16</v>
      </c>
    </row>
    <row r="858" spans="4:34" ht="13.9" customHeight="1">
      <c r="D858" s="8"/>
      <c r="E858" s="9"/>
      <c r="F858" s="18"/>
      <c r="G858" s="18"/>
      <c r="H858" s="18"/>
      <c r="J858" s="40"/>
      <c r="K858" s="40"/>
      <c r="L858" s="40"/>
      <c r="M858" s="38"/>
      <c r="O858" s="12">
        <f t="shared" si="161"/>
        <v>70.416666666666671</v>
      </c>
      <c r="P858" s="13">
        <v>845</v>
      </c>
      <c r="Q858" s="21">
        <v>2.5864083095335832E-2</v>
      </c>
      <c r="R858" s="18">
        <f t="shared" si="162"/>
        <v>2.6249020098760845E-2</v>
      </c>
      <c r="S858" s="21">
        <v>3.6791088830923746E-2</v>
      </c>
      <c r="T858" s="18">
        <f t="shared" si="163"/>
        <v>4.2974985418445799E-2</v>
      </c>
      <c r="U858" s="23">
        <v>3.8509118461496294E-2</v>
      </c>
      <c r="V858" s="23">
        <f t="shared" si="164"/>
        <v>4.297301143528709E-2</v>
      </c>
      <c r="W858" s="22">
        <f t="shared" si="167"/>
        <v>3.5124064573108793E-3</v>
      </c>
      <c r="X858" s="23">
        <v>3.8164869907110655E-2</v>
      </c>
      <c r="Y858" s="23">
        <f t="shared" si="168"/>
        <v>4.2973471201137148E-2</v>
      </c>
      <c r="Z858" s="22">
        <f t="shared" si="169"/>
        <v>3.5124434139204297E-3</v>
      </c>
      <c r="AA858" s="33"/>
      <c r="AB858" s="50">
        <f t="shared" si="165"/>
        <v>845</v>
      </c>
      <c r="AC858" s="48">
        <f t="shared" si="160"/>
        <v>0.16561188523464035</v>
      </c>
      <c r="AE858" s="48">
        <f t="shared" si="166"/>
        <v>0.9978432772979311</v>
      </c>
      <c r="AF858" s="48">
        <f t="shared" si="170"/>
        <v>0.16561188523463991</v>
      </c>
      <c r="AH858" s="48">
        <f t="shared" si="171"/>
        <v>-4.4408920985006262E-16</v>
      </c>
    </row>
    <row r="859" spans="4:34" ht="13.9" customHeight="1">
      <c r="D859" s="8"/>
      <c r="E859" s="9"/>
      <c r="F859" s="18"/>
      <c r="G859" s="18"/>
      <c r="H859" s="18"/>
      <c r="J859" s="40"/>
      <c r="K859" s="40"/>
      <c r="L859" s="40"/>
      <c r="M859" s="38"/>
      <c r="O859" s="12">
        <f t="shared" si="161"/>
        <v>70.5</v>
      </c>
      <c r="P859" s="13">
        <v>846</v>
      </c>
      <c r="Q859" s="21">
        <v>2.5864538018369521E-2</v>
      </c>
      <c r="R859" s="18">
        <f t="shared" si="162"/>
        <v>2.6250857665963023E-2</v>
      </c>
      <c r="S859" s="21">
        <v>3.6798376714453296E-2</v>
      </c>
      <c r="T859" s="18">
        <f t="shared" si="163"/>
        <v>4.2975260045320152E-2</v>
      </c>
      <c r="U859" s="23">
        <v>3.8514383636371274E-2</v>
      </c>
      <c r="V859" s="23">
        <f t="shared" si="164"/>
        <v>4.2973291574819106E-2</v>
      </c>
      <c r="W859" s="22">
        <f t="shared" si="167"/>
        <v>3.5124291546693165E-3</v>
      </c>
      <c r="X859" s="23">
        <v>3.8170540725500635E-2</v>
      </c>
      <c r="Y859" s="23">
        <f t="shared" si="168"/>
        <v>4.2973750162315749E-2</v>
      </c>
      <c r="Z859" s="22">
        <f t="shared" si="169"/>
        <v>3.5124660188903256E-3</v>
      </c>
      <c r="AA859" s="33"/>
      <c r="AB859" s="50">
        <f t="shared" si="165"/>
        <v>846</v>
      </c>
      <c r="AC859" s="48">
        <f t="shared" si="160"/>
        <v>0.16525468145652064</v>
      </c>
      <c r="AE859" s="48">
        <f t="shared" si="166"/>
        <v>0.99784312715471235</v>
      </c>
      <c r="AF859" s="48">
        <f t="shared" si="170"/>
        <v>0.16525468145652042</v>
      </c>
      <c r="AH859" s="48">
        <f t="shared" si="171"/>
        <v>-2.2204460492503131E-16</v>
      </c>
    </row>
    <row r="860" spans="4:34" ht="13.9" customHeight="1">
      <c r="D860" s="8"/>
      <c r="E860" s="9"/>
      <c r="F860" s="18"/>
      <c r="G860" s="18"/>
      <c r="H860" s="18"/>
      <c r="J860" s="40"/>
      <c r="K860" s="40"/>
      <c r="L860" s="40"/>
      <c r="M860" s="38"/>
      <c r="O860" s="12">
        <f t="shared" si="161"/>
        <v>70.583333333333329</v>
      </c>
      <c r="P860" s="13">
        <v>847</v>
      </c>
      <c r="Q860" s="21">
        <v>2.5864994036092881E-2</v>
      </c>
      <c r="R860" s="18">
        <f t="shared" si="162"/>
        <v>2.6252679921578981E-2</v>
      </c>
      <c r="S860" s="21">
        <v>3.6805647762649052E-2</v>
      </c>
      <c r="T860" s="18">
        <f t="shared" si="163"/>
        <v>4.2975531656905819E-2</v>
      </c>
      <c r="U860" s="23">
        <v>3.8519636734650531E-2</v>
      </c>
      <c r="V860" s="23">
        <f t="shared" si="164"/>
        <v>4.2973568806072171E-2</v>
      </c>
      <c r="W860" s="22">
        <f t="shared" si="167"/>
        <v>3.5124516163778097E-3</v>
      </c>
      <c r="X860" s="23">
        <v>3.8176198512231974E-2</v>
      </c>
      <c r="Y860" s="23">
        <f t="shared" si="168"/>
        <v>4.2974026189974701E-2</v>
      </c>
      <c r="Z860" s="22">
        <f t="shared" si="169"/>
        <v>3.5124883861088474E-3</v>
      </c>
      <c r="AA860" s="33"/>
      <c r="AB860" s="50">
        <f t="shared" si="165"/>
        <v>847</v>
      </c>
      <c r="AC860" s="48">
        <f t="shared" si="160"/>
        <v>0.16489822351644609</v>
      </c>
      <c r="AE860" s="48">
        <f t="shared" si="166"/>
        <v>0.99784297826281021</v>
      </c>
      <c r="AF860" s="48">
        <f t="shared" si="170"/>
        <v>0.16489822351644634</v>
      </c>
      <c r="AH860" s="48">
        <f t="shared" si="171"/>
        <v>2.4980018054066022E-16</v>
      </c>
    </row>
    <row r="861" spans="4:34" ht="13.9" customHeight="1">
      <c r="D861" s="8"/>
      <c r="E861" s="9"/>
      <c r="F861" s="18"/>
      <c r="G861" s="18"/>
      <c r="H861" s="18"/>
      <c r="J861" s="40"/>
      <c r="K861" s="40"/>
      <c r="L861" s="40"/>
      <c r="M861" s="38"/>
      <c r="O861" s="12">
        <f t="shared" si="161"/>
        <v>70.666666666666671</v>
      </c>
      <c r="P861" s="13">
        <v>848</v>
      </c>
      <c r="Q861" s="21">
        <v>2.5865451126582117E-2</v>
      </c>
      <c r="R861" s="18">
        <f t="shared" si="162"/>
        <v>2.6254486994594428E-2</v>
      </c>
      <c r="S861" s="21">
        <v>3.6812902031361894E-2</v>
      </c>
      <c r="T861" s="18">
        <f t="shared" si="163"/>
        <v>4.2975800285595112E-2</v>
      </c>
      <c r="U861" s="23">
        <v>3.8524877795554024E-2</v>
      </c>
      <c r="V861" s="23">
        <f t="shared" si="164"/>
        <v>4.2973843158927272E-2</v>
      </c>
      <c r="W861" s="22">
        <f t="shared" si="167"/>
        <v>3.5124738448937265E-3</v>
      </c>
      <c r="X861" s="23">
        <v>3.8181843309859964E-2</v>
      </c>
      <c r="Y861" s="23">
        <f t="shared" si="168"/>
        <v>4.2974299313872422E-2</v>
      </c>
      <c r="Z861" s="22">
        <f t="shared" si="169"/>
        <v>3.5125105181110783E-3</v>
      </c>
      <c r="AA861" s="33"/>
      <c r="AB861" s="50">
        <f t="shared" si="165"/>
        <v>848</v>
      </c>
      <c r="AC861" s="48">
        <f t="shared" si="160"/>
        <v>0.1645425101165143</v>
      </c>
      <c r="AE861" s="48">
        <f t="shared" si="166"/>
        <v>0.99784283061183954</v>
      </c>
      <c r="AF861" s="48">
        <f t="shared" si="170"/>
        <v>0.16454251011651463</v>
      </c>
      <c r="AH861" s="48">
        <f t="shared" si="171"/>
        <v>3.3306690738754696E-16</v>
      </c>
    </row>
    <row r="862" spans="4:34" ht="13.9" customHeight="1">
      <c r="D862" s="8"/>
      <c r="E862" s="9"/>
      <c r="F862" s="18"/>
      <c r="G862" s="18"/>
      <c r="H862" s="18"/>
      <c r="J862" s="40"/>
      <c r="K862" s="40"/>
      <c r="L862" s="40"/>
      <c r="M862" s="38"/>
      <c r="O862" s="12">
        <f t="shared" si="161"/>
        <v>70.75</v>
      </c>
      <c r="P862" s="13">
        <v>849</v>
      </c>
      <c r="Q862" s="21">
        <v>2.5865909268168785E-2</v>
      </c>
      <c r="R862" s="18">
        <f t="shared" si="162"/>
        <v>2.6256279011515282E-2</v>
      </c>
      <c r="S862" s="21">
        <v>3.6820139576218214E-2</v>
      </c>
      <c r="T862" s="18">
        <f t="shared" si="163"/>
        <v>4.2976065964917876E-2</v>
      </c>
      <c r="U862" s="23">
        <v>3.853010685815228E-2</v>
      </c>
      <c r="V862" s="23">
        <f t="shared" si="164"/>
        <v>4.2974114663658636E-2</v>
      </c>
      <c r="W862" s="22">
        <f t="shared" si="167"/>
        <v>3.5124958426129282E-3</v>
      </c>
      <c r="X862" s="23">
        <v>3.8187475160775142E-2</v>
      </c>
      <c r="Y862" s="23">
        <f t="shared" si="168"/>
        <v>4.2974569565694232E-2</v>
      </c>
      <c r="Z862" s="22">
        <f t="shared" si="169"/>
        <v>3.5125324172835537E-3</v>
      </c>
      <c r="AA862" s="33"/>
      <c r="AB862" s="50">
        <f t="shared" si="165"/>
        <v>849</v>
      </c>
      <c r="AC862" s="48">
        <f t="shared" si="160"/>
        <v>0.16418753995824342</v>
      </c>
      <c r="AE862" s="48">
        <f t="shared" si="166"/>
        <v>0.99784268419134237</v>
      </c>
      <c r="AF862" s="48">
        <f t="shared" si="170"/>
        <v>0.16418753995824406</v>
      </c>
      <c r="AH862" s="48">
        <f t="shared" si="171"/>
        <v>6.3837823915946501E-16</v>
      </c>
    </row>
    <row r="863" spans="4:34" ht="13.9" customHeight="1">
      <c r="D863" s="8"/>
      <c r="E863" s="9"/>
      <c r="F863" s="18"/>
      <c r="G863" s="18"/>
      <c r="H863" s="18"/>
      <c r="J863" s="40"/>
      <c r="K863" s="40"/>
      <c r="L863" s="40"/>
      <c r="M863" s="38"/>
      <c r="O863" s="12">
        <f t="shared" si="161"/>
        <v>70.833333333333329</v>
      </c>
      <c r="P863" s="13">
        <v>850</v>
      </c>
      <c r="Q863" s="21">
        <v>2.5866368439435128E-2</v>
      </c>
      <c r="R863" s="18">
        <f t="shared" si="162"/>
        <v>2.6258056098612759E-2</v>
      </c>
      <c r="S863" s="21">
        <v>3.6827360452622582E-2</v>
      </c>
      <c r="T863" s="18">
        <f t="shared" si="163"/>
        <v>4.2976328727102331E-2</v>
      </c>
      <c r="U863" s="23">
        <v>3.8535323961367718E-2</v>
      </c>
      <c r="V863" s="23">
        <f t="shared" si="164"/>
        <v>4.2974383349436707E-2</v>
      </c>
      <c r="W863" s="22">
        <f t="shared" si="167"/>
        <v>3.5125176119634727E-3</v>
      </c>
      <c r="X863" s="23">
        <v>3.8193094107205505E-2</v>
      </c>
      <c r="Y863" s="23">
        <f t="shared" si="168"/>
        <v>4.2974836975219421E-2</v>
      </c>
      <c r="Z863" s="22">
        <f t="shared" si="169"/>
        <v>3.512554086166686E-3</v>
      </c>
      <c r="AA863" s="33"/>
      <c r="AB863" s="50">
        <f t="shared" si="165"/>
        <v>850</v>
      </c>
      <c r="AC863" s="48">
        <f t="shared" si="160"/>
        <v>0.16383331174263011</v>
      </c>
      <c r="AE863" s="48">
        <f t="shared" si="166"/>
        <v>0.99784253899106101</v>
      </c>
      <c r="AF863" s="48">
        <f t="shared" si="170"/>
        <v>0.16383331174263055</v>
      </c>
      <c r="AH863" s="48">
        <f t="shared" si="171"/>
        <v>4.4408920985006262E-16</v>
      </c>
    </row>
    <row r="864" spans="4:34" ht="13.9" customHeight="1">
      <c r="D864" s="8"/>
      <c r="E864" s="9"/>
      <c r="F864" s="18"/>
      <c r="G864" s="18"/>
      <c r="H864" s="18"/>
      <c r="J864" s="40"/>
      <c r="K864" s="40"/>
      <c r="L864" s="40"/>
      <c r="M864" s="38"/>
      <c r="O864" s="12">
        <f t="shared" si="161"/>
        <v>70.916666666666671</v>
      </c>
      <c r="P864" s="13">
        <v>851</v>
      </c>
      <c r="Q864" s="21">
        <v>2.5866828619212523E-2</v>
      </c>
      <c r="R864" s="18">
        <f t="shared" si="162"/>
        <v>2.625981838037772E-2</v>
      </c>
      <c r="S864" s="21">
        <v>3.6834564715757301E-2</v>
      </c>
      <c r="T864" s="18">
        <f t="shared" si="163"/>
        <v>4.2976588603972132E-2</v>
      </c>
      <c r="U864" s="23">
        <v>3.8540529143974434E-2</v>
      </c>
      <c r="V864" s="23">
        <f t="shared" si="164"/>
        <v>4.2974649246412921E-2</v>
      </c>
      <c r="W864" s="22">
        <f t="shared" si="167"/>
        <v>3.5125391552841556E-3</v>
      </c>
      <c r="X864" s="23">
        <v>3.8198700191216295E-2</v>
      </c>
      <c r="Y864" s="23">
        <f t="shared" si="168"/>
        <v>4.2975101572233054E-2</v>
      </c>
      <c r="Z864" s="22">
        <f t="shared" si="169"/>
        <v>3.5125755271483428E-3</v>
      </c>
      <c r="AA864" s="33"/>
      <c r="AB864" s="50">
        <f t="shared" si="165"/>
        <v>851</v>
      </c>
      <c r="AC864" s="48">
        <f t="shared" si="160"/>
        <v>0.16347982417017212</v>
      </c>
      <c r="AE864" s="48">
        <f t="shared" si="166"/>
        <v>0.99784239500075733</v>
      </c>
      <c r="AF864" s="48">
        <f t="shared" si="170"/>
        <v>0.16347982417017218</v>
      </c>
      <c r="AH864" s="48">
        <f t="shared" si="171"/>
        <v>0</v>
      </c>
    </row>
    <row r="865" spans="4:34" ht="13.9" customHeight="1">
      <c r="D865" s="8"/>
      <c r="E865" s="9"/>
      <c r="F865" s="18"/>
      <c r="G865" s="18"/>
      <c r="H865" s="18"/>
      <c r="J865" s="40"/>
      <c r="K865" s="40"/>
      <c r="L865" s="40"/>
      <c r="M865" s="38"/>
      <c r="O865" s="12">
        <f t="shared" si="161"/>
        <v>71</v>
      </c>
      <c r="P865" s="13">
        <v>852</v>
      </c>
      <c r="Q865" s="21">
        <v>2.5867289786577929E-2</v>
      </c>
      <c r="R865" s="18">
        <f t="shared" si="162"/>
        <v>2.626156598088647E-2</v>
      </c>
      <c r="S865" s="21">
        <v>3.684175242058374E-2</v>
      </c>
      <c r="T865" s="18">
        <f t="shared" si="163"/>
        <v>4.2976845627217708E-2</v>
      </c>
      <c r="U865" s="23">
        <v>3.854572244459975E-2</v>
      </c>
      <c r="V865" s="23">
        <f t="shared" si="164"/>
        <v>4.2974912382302888E-2</v>
      </c>
      <c r="W865" s="22">
        <f t="shared" si="167"/>
        <v>3.5125604749928208E-3</v>
      </c>
      <c r="X865" s="23">
        <v>3.8204293454710436E-2</v>
      </c>
      <c r="Y865" s="23">
        <f t="shared" si="168"/>
        <v>4.2975363386635435E-2</v>
      </c>
      <c r="Z865" s="22">
        <f t="shared" si="169"/>
        <v>3.5125967426170579E-3</v>
      </c>
      <c r="AA865" s="33"/>
      <c r="AB865" s="50">
        <f t="shared" si="165"/>
        <v>852</v>
      </c>
      <c r="AC865" s="48">
        <f t="shared" si="160"/>
        <v>0.16312707594091447</v>
      </c>
      <c r="AE865" s="48">
        <f t="shared" si="166"/>
        <v>0.99784225221033762</v>
      </c>
      <c r="AF865" s="48">
        <f t="shared" si="170"/>
        <v>0.16312707594091461</v>
      </c>
      <c r="AH865" s="48">
        <f t="shared" si="171"/>
        <v>0</v>
      </c>
    </row>
    <row r="866" spans="4:34" ht="13.9" customHeight="1">
      <c r="D866" s="8"/>
      <c r="E866" s="9"/>
      <c r="F866" s="18"/>
      <c r="G866" s="18"/>
      <c r="H866" s="18"/>
      <c r="J866" s="40"/>
      <c r="K866" s="40"/>
      <c r="L866" s="40"/>
      <c r="M866" s="38"/>
      <c r="O866" s="12">
        <f t="shared" si="161"/>
        <v>71.083333333333329</v>
      </c>
      <c r="P866" s="13">
        <v>853</v>
      </c>
      <c r="Q866" s="21">
        <v>2.5867751920851667E-2</v>
      </c>
      <c r="R866" s="18">
        <f t="shared" si="162"/>
        <v>2.6263299022723396E-2</v>
      </c>
      <c r="S866" s="21">
        <v>3.6848923621842999E-2</v>
      </c>
      <c r="T866" s="18">
        <f t="shared" si="163"/>
        <v>4.2977099828234611E-2</v>
      </c>
      <c r="U866" s="23">
        <v>3.8550903901722888E-2</v>
      </c>
      <c r="V866" s="23">
        <f t="shared" si="164"/>
        <v>4.2975172786660298E-2</v>
      </c>
      <c r="W866" s="22">
        <f t="shared" si="167"/>
        <v>3.5125815733116905E-3</v>
      </c>
      <c r="X866" s="23">
        <v>3.8209873939429206E-2</v>
      </c>
      <c r="Y866" s="23">
        <f t="shared" si="168"/>
        <v>4.297562244717068E-2</v>
      </c>
      <c r="Z866" s="22">
        <f t="shared" si="169"/>
        <v>3.512617734970247E-3</v>
      </c>
      <c r="AA866" s="33"/>
      <c r="AB866" s="50">
        <f t="shared" si="165"/>
        <v>853</v>
      </c>
      <c r="AC866" s="48">
        <f t="shared" si="160"/>
        <v>0.16277506575447812</v>
      </c>
      <c r="AE866" s="48">
        <f t="shared" si="166"/>
        <v>0.99784211060974215</v>
      </c>
      <c r="AF866" s="48">
        <f t="shared" si="170"/>
        <v>0.16277506575447792</v>
      </c>
      <c r="AH866" s="48">
        <f t="shared" si="171"/>
        <v>0</v>
      </c>
    </row>
    <row r="867" spans="4:34" ht="13.9" customHeight="1">
      <c r="D867" s="8"/>
      <c r="E867" s="9"/>
      <c r="F867" s="18"/>
      <c r="G867" s="18"/>
      <c r="H867" s="18"/>
      <c r="J867" s="40"/>
      <c r="K867" s="40"/>
      <c r="L867" s="40"/>
      <c r="M867" s="38"/>
      <c r="O867" s="12">
        <f t="shared" si="161"/>
        <v>71.166666666666671</v>
      </c>
      <c r="P867" s="13">
        <v>854</v>
      </c>
      <c r="Q867" s="21">
        <v>2.5868215001594752E-2</v>
      </c>
      <c r="R867" s="18">
        <f t="shared" si="162"/>
        <v>2.6265017628124276E-2</v>
      </c>
      <c r="S867" s="21">
        <v>3.6856078374057022E-2</v>
      </c>
      <c r="T867" s="18">
        <f t="shared" si="163"/>
        <v>4.2977351238245198E-2</v>
      </c>
      <c r="U867" s="23">
        <v>3.8556073553677628E-2</v>
      </c>
      <c r="V867" s="23">
        <f t="shared" si="164"/>
        <v>4.2975430487665944E-2</v>
      </c>
      <c r="W867" s="22">
        <f t="shared" si="167"/>
        <v>3.5126024526104249E-3</v>
      </c>
      <c r="X867" s="23">
        <v>3.82154416869529E-2</v>
      </c>
      <c r="Y867" s="23">
        <f t="shared" si="168"/>
        <v>4.2975878783379384E-2</v>
      </c>
      <c r="Z867" s="22">
        <f t="shared" si="169"/>
        <v>3.512638506512733E-3</v>
      </c>
      <c r="AA867" s="33"/>
      <c r="AB867" s="50">
        <f t="shared" si="165"/>
        <v>854</v>
      </c>
      <c r="AC867" s="48">
        <f t="shared" si="160"/>
        <v>0.16242379231009688</v>
      </c>
      <c r="AE867" s="48">
        <f t="shared" si="166"/>
        <v>0.99784197018903131</v>
      </c>
      <c r="AF867" s="48">
        <f t="shared" si="170"/>
        <v>0.16242379231009738</v>
      </c>
      <c r="AH867" s="48">
        <f t="shared" si="171"/>
        <v>4.9960036108132044E-16</v>
      </c>
    </row>
    <row r="868" spans="4:34" ht="13.9" customHeight="1">
      <c r="D868" s="8"/>
      <c r="E868" s="9"/>
      <c r="F868" s="18"/>
      <c r="G868" s="18"/>
      <c r="H868" s="18"/>
      <c r="J868" s="40"/>
      <c r="K868" s="40"/>
      <c r="L868" s="40"/>
      <c r="M868" s="38"/>
      <c r="O868" s="12">
        <f t="shared" si="161"/>
        <v>71.25</v>
      </c>
      <c r="P868" s="13">
        <v>855</v>
      </c>
      <c r="Q868" s="21">
        <v>2.5868679008606454E-2</v>
      </c>
      <c r="R868" s="18">
        <f t="shared" si="162"/>
        <v>2.626672191690016E-2</v>
      </c>
      <c r="S868" s="21">
        <v>3.6863216731529702E-2</v>
      </c>
      <c r="T868" s="18">
        <f t="shared" si="163"/>
        <v>4.2977599887744855E-2</v>
      </c>
      <c r="U868" s="23">
        <v>3.8561231438651422E-2</v>
      </c>
      <c r="V868" s="23">
        <f t="shared" si="164"/>
        <v>4.2975685513152451E-2</v>
      </c>
      <c r="W868" s="22">
        <f t="shared" si="167"/>
        <v>3.512623115149216E-3</v>
      </c>
      <c r="X868" s="23">
        <v>3.8220996738701496E-2</v>
      </c>
      <c r="Y868" s="23">
        <f t="shared" si="168"/>
        <v>4.2976132423735658E-2</v>
      </c>
      <c r="Z868" s="22">
        <f t="shared" si="169"/>
        <v>3.5126590596135099E-3</v>
      </c>
      <c r="AA868" s="33"/>
      <c r="AB868" s="50">
        <f t="shared" si="165"/>
        <v>855</v>
      </c>
      <c r="AC868" s="48">
        <f t="shared" si="160"/>
        <v>0.16207325430664865</v>
      </c>
      <c r="AE868" s="48">
        <f t="shared" si="166"/>
        <v>0.9978418309382947</v>
      </c>
      <c r="AF868" s="48">
        <f t="shared" si="170"/>
        <v>0.16207325430664887</v>
      </c>
      <c r="AH868" s="48">
        <f t="shared" si="171"/>
        <v>2.2204460492503131E-16</v>
      </c>
    </row>
    <row r="869" spans="4:34" ht="13.9" customHeight="1">
      <c r="D869" s="8"/>
      <c r="E869" s="9"/>
      <c r="F869" s="18"/>
      <c r="G869" s="18"/>
      <c r="H869" s="18"/>
      <c r="J869" s="40"/>
      <c r="K869" s="40"/>
      <c r="L869" s="40"/>
      <c r="M869" s="38"/>
      <c r="O869" s="12">
        <f t="shared" si="161"/>
        <v>71.333333333333329</v>
      </c>
      <c r="P869" s="13">
        <v>856</v>
      </c>
      <c r="Q869" s="21">
        <v>2.5869143921920745E-2</v>
      </c>
      <c r="R869" s="18">
        <f t="shared" si="162"/>
        <v>2.6268412009709863E-2</v>
      </c>
      <c r="S869" s="21">
        <v>3.6870338748347331E-2</v>
      </c>
      <c r="T869" s="18">
        <f t="shared" si="163"/>
        <v>4.2977845806706272E-2</v>
      </c>
      <c r="U869" s="23">
        <v>3.8566377594685841E-2</v>
      </c>
      <c r="V869" s="23">
        <f t="shared" si="164"/>
        <v>4.2975937891057248E-2</v>
      </c>
      <c r="W869" s="22">
        <f t="shared" si="167"/>
        <v>3.5126435631591679E-3</v>
      </c>
      <c r="X869" s="23">
        <v>3.8226539135935544E-2</v>
      </c>
      <c r="Y869" s="23">
        <f t="shared" si="168"/>
        <v>4.2976383396332141E-2</v>
      </c>
      <c r="Z869" s="22">
        <f t="shared" si="169"/>
        <v>3.5126793965556402E-3</v>
      </c>
      <c r="AA869" s="33"/>
      <c r="AB869" s="50">
        <f t="shared" si="165"/>
        <v>856</v>
      </c>
      <c r="AC869" s="48">
        <f t="shared" si="160"/>
        <v>0.16172345044270056</v>
      </c>
      <c r="AE869" s="48">
        <f t="shared" si="166"/>
        <v>0.99784169284781843</v>
      </c>
      <c r="AF869" s="48">
        <f t="shared" si="170"/>
        <v>0.16172345044270148</v>
      </c>
      <c r="AH869" s="48">
        <f t="shared" si="171"/>
        <v>9.1593399531575415E-16</v>
      </c>
    </row>
    <row r="870" spans="4:34" ht="13.9" customHeight="1">
      <c r="D870" s="8"/>
      <c r="E870" s="9"/>
      <c r="F870" s="18"/>
      <c r="G870" s="18"/>
      <c r="H870" s="18"/>
      <c r="J870" s="40"/>
      <c r="K870" s="40"/>
      <c r="L870" s="40"/>
      <c r="M870" s="38"/>
      <c r="O870" s="12">
        <f t="shared" si="161"/>
        <v>71.416666666666671</v>
      </c>
      <c r="P870" s="13">
        <v>857</v>
      </c>
      <c r="Q870" s="21">
        <v>2.5869609721805187E-2</v>
      </c>
      <c r="R870" s="18">
        <f t="shared" si="162"/>
        <v>2.6270088024823224E-2</v>
      </c>
      <c r="S870" s="21">
        <v>3.6877444478379262E-2</v>
      </c>
      <c r="T870" s="18">
        <f t="shared" si="163"/>
        <v>4.2978089026018074E-2</v>
      </c>
      <c r="U870" s="23">
        <v>3.8571512059678126E-2</v>
      </c>
      <c r="V870" s="23">
        <f t="shared" si="164"/>
        <v>4.2976187649219622E-2</v>
      </c>
      <c r="W870" s="22">
        <f t="shared" si="167"/>
        <v>3.5126637988811549E-3</v>
      </c>
      <c r="X870" s="23">
        <v>3.8232068919755502E-2</v>
      </c>
      <c r="Y870" s="23">
        <f t="shared" si="168"/>
        <v>4.2976631729721104E-2</v>
      </c>
      <c r="Z870" s="22">
        <f t="shared" si="169"/>
        <v>3.5126995195915445E-3</v>
      </c>
      <c r="AA870" s="33"/>
      <c r="AB870" s="50">
        <f t="shared" si="165"/>
        <v>857</v>
      </c>
      <c r="AC870" s="48">
        <f t="shared" si="160"/>
        <v>0.16137437941652627</v>
      </c>
      <c r="AE870" s="48">
        <f t="shared" si="166"/>
        <v>0.99784155590781942</v>
      </c>
      <c r="AF870" s="48">
        <f t="shared" si="170"/>
        <v>0.16137437941652638</v>
      </c>
      <c r="AH870" s="48">
        <f t="shared" si="171"/>
        <v>0</v>
      </c>
    </row>
    <row r="871" spans="4:34" ht="13.9" customHeight="1">
      <c r="D871" s="8"/>
      <c r="E871" s="9"/>
      <c r="F871" s="18"/>
      <c r="G871" s="18"/>
      <c r="H871" s="18"/>
      <c r="J871" s="40"/>
      <c r="K871" s="40"/>
      <c r="L871" s="40"/>
      <c r="M871" s="38"/>
      <c r="O871" s="12">
        <f t="shared" si="161"/>
        <v>71.5</v>
      </c>
      <c r="P871" s="13">
        <v>858</v>
      </c>
      <c r="Q871" s="21">
        <v>2.5870076388757601E-2</v>
      </c>
      <c r="R871" s="18">
        <f t="shared" si="162"/>
        <v>2.6271750079474687E-2</v>
      </c>
      <c r="S871" s="21">
        <v>3.688453397527991E-2</v>
      </c>
      <c r="T871" s="18">
        <f t="shared" si="163"/>
        <v>4.2978329574433038E-2</v>
      </c>
      <c r="U871" s="23">
        <v>3.8576634871381188E-2</v>
      </c>
      <c r="V871" s="23">
        <f t="shared" si="164"/>
        <v>4.2976434814238962E-2</v>
      </c>
      <c r="W871" s="22">
        <f t="shared" si="167"/>
        <v>3.5126838245469472E-3</v>
      </c>
      <c r="X871" s="23">
        <v>3.8237586131103951E-2</v>
      </c>
      <c r="Y871" s="23">
        <f t="shared" si="168"/>
        <v>4.2976877451282203E-2</v>
      </c>
      <c r="Z871" s="22">
        <f t="shared" si="169"/>
        <v>3.5127194310109466E-3</v>
      </c>
      <c r="AA871" s="33"/>
      <c r="AB871" s="50">
        <f t="shared" si="165"/>
        <v>858</v>
      </c>
      <c r="AC871" s="48">
        <f t="shared" si="160"/>
        <v>0.16102603992614856</v>
      </c>
      <c r="AE871" s="48">
        <f t="shared" si="166"/>
        <v>0.9978414201087088</v>
      </c>
      <c r="AF871" s="48">
        <f t="shared" si="170"/>
        <v>0.16102603992614828</v>
      </c>
      <c r="AH871" s="48">
        <f t="shared" si="171"/>
        <v>-2.7755575615628914E-16</v>
      </c>
    </row>
    <row r="872" spans="4:34" ht="13.9" customHeight="1">
      <c r="D872" s="8"/>
      <c r="E872" s="9"/>
      <c r="F872" s="18"/>
      <c r="G872" s="18"/>
      <c r="H872" s="18"/>
      <c r="J872" s="40"/>
      <c r="K872" s="40"/>
      <c r="L872" s="40"/>
      <c r="M872" s="38"/>
      <c r="O872" s="12">
        <f t="shared" si="161"/>
        <v>71.583333333333329</v>
      </c>
      <c r="P872" s="13">
        <v>859</v>
      </c>
      <c r="Q872" s="21">
        <v>2.5870543903502963E-2</v>
      </c>
      <c r="R872" s="18">
        <f t="shared" si="162"/>
        <v>2.6273398291435379E-2</v>
      </c>
      <c r="S872" s="21">
        <v>3.6891607292488082E-2</v>
      </c>
      <c r="T872" s="18">
        <f t="shared" si="163"/>
        <v>4.2978567481430696E-2</v>
      </c>
      <c r="U872" s="23">
        <v>3.8581746067403389E-2</v>
      </c>
      <c r="V872" s="23">
        <f t="shared" si="164"/>
        <v>4.2976679413391228E-2</v>
      </c>
      <c r="W872" s="22">
        <f t="shared" si="167"/>
        <v>3.5127036422897273E-3</v>
      </c>
      <c r="X872" s="23">
        <v>3.8243090810764935E-2</v>
      </c>
      <c r="Y872" s="23">
        <f t="shared" si="168"/>
        <v>4.2977120588562068E-2</v>
      </c>
      <c r="Z872" s="22">
        <f t="shared" si="169"/>
        <v>3.5127391330092017E-3</v>
      </c>
      <c r="AA872" s="33"/>
      <c r="AB872" s="50">
        <f t="shared" si="165"/>
        <v>859</v>
      </c>
      <c r="AC872" s="48">
        <f t="shared" si="160"/>
        <v>0.16067843066937815</v>
      </c>
      <c r="AE872" s="48">
        <f t="shared" si="166"/>
        <v>0.99784128544098205</v>
      </c>
      <c r="AF872" s="48">
        <f t="shared" si="170"/>
        <v>0.1606784306693787</v>
      </c>
      <c r="AH872" s="48">
        <f t="shared" si="171"/>
        <v>5.5511151231257827E-16</v>
      </c>
    </row>
    <row r="873" spans="4:34" ht="13.9" customHeight="1">
      <c r="D873" s="8"/>
      <c r="E873" s="9"/>
      <c r="F873" s="18"/>
      <c r="G873" s="18"/>
      <c r="H873" s="18"/>
      <c r="J873" s="40"/>
      <c r="K873" s="40"/>
      <c r="L873" s="40"/>
      <c r="M873" s="38"/>
      <c r="O873" s="12">
        <f t="shared" si="161"/>
        <v>71.666666666666671</v>
      </c>
      <c r="P873" s="13">
        <v>860</v>
      </c>
      <c r="Q873" s="21">
        <v>2.5871012246992509E-2</v>
      </c>
      <c r="R873" s="18">
        <f t="shared" si="162"/>
        <v>2.6275032774966567E-2</v>
      </c>
      <c r="S873" s="21">
        <v>3.689866448322876E-2</v>
      </c>
      <c r="T873" s="18">
        <f t="shared" si="163"/>
        <v>4.2978802776552305E-2</v>
      </c>
      <c r="U873" s="23">
        <v>3.8586845685210092E-2</v>
      </c>
      <c r="V873" s="23">
        <f t="shared" si="164"/>
        <v>4.297692147318366E-2</v>
      </c>
      <c r="W873" s="22">
        <f t="shared" si="167"/>
        <v>3.5127232542964126E-3</v>
      </c>
      <c r="X873" s="23">
        <v>3.8248582999365288E-2</v>
      </c>
      <c r="Y873" s="23">
        <f t="shared" si="168"/>
        <v>4.2977361168902384E-2</v>
      </c>
      <c r="Z873" s="22">
        <f t="shared" si="169"/>
        <v>3.5127586277952094E-3</v>
      </c>
      <c r="AA873" s="33"/>
      <c r="AB873" s="50">
        <f t="shared" si="165"/>
        <v>860</v>
      </c>
      <c r="AC873" s="48">
        <f t="shared" si="160"/>
        <v>0.16033155034382879</v>
      </c>
      <c r="AE873" s="48">
        <f t="shared" si="166"/>
        <v>0.99784115189509026</v>
      </c>
      <c r="AF873" s="48">
        <f t="shared" si="170"/>
        <v>0.16033155034382823</v>
      </c>
      <c r="AH873" s="48">
        <f t="shared" si="171"/>
        <v>-5.5511151231257827E-16</v>
      </c>
    </row>
    <row r="874" spans="4:34" ht="13.9" customHeight="1">
      <c r="D874" s="8"/>
      <c r="E874" s="9"/>
      <c r="F874" s="18"/>
      <c r="G874" s="18"/>
      <c r="H874" s="18"/>
      <c r="J874" s="40"/>
      <c r="K874" s="40"/>
      <c r="L874" s="40"/>
      <c r="M874" s="38"/>
      <c r="O874" s="12">
        <f t="shared" si="161"/>
        <v>71.75</v>
      </c>
      <c r="P874" s="13">
        <v>861</v>
      </c>
      <c r="Q874" s="21">
        <v>2.5871481400399299E-2</v>
      </c>
      <c r="R874" s="18">
        <f t="shared" si="162"/>
        <v>2.6276653646656767E-2</v>
      </c>
      <c r="S874" s="21">
        <v>3.6905705600514205E-2</v>
      </c>
      <c r="T874" s="18">
        <f t="shared" si="163"/>
        <v>4.2979035488010853E-2</v>
      </c>
      <c r="U874" s="23">
        <v>3.8591933762123443E-2</v>
      </c>
      <c r="V874" s="23">
        <f t="shared" si="164"/>
        <v>4.2977161020133936E-2</v>
      </c>
      <c r="W874" s="22">
        <f t="shared" si="167"/>
        <v>3.5127426626926361E-3</v>
      </c>
      <c r="X874" s="23">
        <v>3.8254062737374639E-2</v>
      </c>
      <c r="Y874" s="23">
        <f t="shared" si="168"/>
        <v>4.2977599218997575E-2</v>
      </c>
      <c r="Z874" s="22">
        <f t="shared" si="169"/>
        <v>3.5127779175612162E-3</v>
      </c>
      <c r="AA874" s="33"/>
      <c r="AB874" s="50">
        <f t="shared" si="165"/>
        <v>861</v>
      </c>
      <c r="AC874" s="48">
        <f t="shared" si="160"/>
        <v>0.15998539764697131</v>
      </c>
      <c r="AE874" s="48">
        <f t="shared" si="166"/>
        <v>0.99784101946177017</v>
      </c>
      <c r="AF874" s="48">
        <f t="shared" si="170"/>
        <v>0.1599853976469717</v>
      </c>
      <c r="AH874" s="48">
        <f t="shared" si="171"/>
        <v>3.8857805861880479E-16</v>
      </c>
    </row>
    <row r="875" spans="4:34" ht="13.9" customHeight="1">
      <c r="D875" s="8"/>
      <c r="E875" s="9"/>
      <c r="F875" s="18"/>
      <c r="G875" s="18"/>
      <c r="H875" s="18"/>
      <c r="J875" s="40"/>
      <c r="K875" s="40"/>
      <c r="L875" s="40"/>
      <c r="M875" s="38"/>
      <c r="O875" s="12">
        <f t="shared" si="161"/>
        <v>71.833333333333329</v>
      </c>
      <c r="P875" s="13">
        <v>862</v>
      </c>
      <c r="Q875" s="21">
        <v>2.5871951345118438E-2</v>
      </c>
      <c r="R875" s="18">
        <f t="shared" si="162"/>
        <v>2.6278261018572335E-2</v>
      </c>
      <c r="S875" s="21">
        <v>3.691273069714418E-2</v>
      </c>
      <c r="T875" s="18">
        <f t="shared" si="163"/>
        <v>4.2979265644173648E-2</v>
      </c>
      <c r="U875" s="23">
        <v>3.85970103353237E-2</v>
      </c>
      <c r="V875" s="23">
        <f t="shared" si="164"/>
        <v>4.2977398080311868E-2</v>
      </c>
      <c r="W875" s="22">
        <f t="shared" si="167"/>
        <v>3.5127618696046969E-3</v>
      </c>
      <c r="X875" s="23">
        <v>3.8259530065106517E-2</v>
      </c>
      <c r="Y875" s="23">
        <f t="shared" si="168"/>
        <v>4.297783476571726E-2</v>
      </c>
      <c r="Z875" s="22">
        <f t="shared" si="169"/>
        <v>3.5127970044477319E-3</v>
      </c>
      <c r="AA875" s="33"/>
      <c r="AB875" s="50">
        <f t="shared" si="165"/>
        <v>862</v>
      </c>
      <c r="AC875" s="48">
        <f t="shared" si="160"/>
        <v>0.15963997127613574</v>
      </c>
      <c r="AE875" s="48">
        <f t="shared" si="166"/>
        <v>0.99784088813156924</v>
      </c>
      <c r="AF875" s="48">
        <f t="shared" si="170"/>
        <v>0.15963997127613652</v>
      </c>
      <c r="AH875" s="48">
        <f t="shared" si="171"/>
        <v>7.7715611723760958E-16</v>
      </c>
    </row>
    <row r="876" spans="4:34" ht="13.9" customHeight="1">
      <c r="D876" s="8"/>
      <c r="E876" s="9"/>
      <c r="F876" s="18"/>
      <c r="G876" s="18"/>
      <c r="H876" s="18"/>
      <c r="J876" s="40"/>
      <c r="K876" s="40"/>
      <c r="L876" s="40"/>
      <c r="M876" s="38"/>
      <c r="O876" s="12">
        <f t="shared" si="161"/>
        <v>71.916666666666671</v>
      </c>
      <c r="P876" s="13">
        <v>863</v>
      </c>
      <c r="Q876" s="21">
        <v>2.5872422062761302E-2</v>
      </c>
      <c r="R876" s="18">
        <f t="shared" si="162"/>
        <v>2.6279855004469832E-2</v>
      </c>
      <c r="S876" s="21">
        <v>3.6919739825706843E-2</v>
      </c>
      <c r="T876" s="18">
        <f t="shared" si="163"/>
        <v>4.2979493273577418E-2</v>
      </c>
      <c r="U876" s="23">
        <v>3.8602075441848793E-2</v>
      </c>
      <c r="V876" s="23">
        <f t="shared" si="164"/>
        <v>4.2977632679432221E-2</v>
      </c>
      <c r="W876" s="22">
        <f t="shared" si="167"/>
        <v>3.512780877122923E-3</v>
      </c>
      <c r="X876" s="23">
        <v>3.8264985022718578E-2</v>
      </c>
      <c r="Y876" s="23">
        <f t="shared" si="168"/>
        <v>4.2978067835084843E-2</v>
      </c>
      <c r="Z876" s="22">
        <f t="shared" si="169"/>
        <v>3.5128158906094775E-3</v>
      </c>
      <c r="AA876" s="33"/>
      <c r="AB876" s="50">
        <f t="shared" si="165"/>
        <v>863</v>
      </c>
      <c r="AC876" s="48">
        <f t="shared" si="160"/>
        <v>0.15929526992857981</v>
      </c>
      <c r="AE876" s="48">
        <f t="shared" si="166"/>
        <v>0.99784075789540161</v>
      </c>
      <c r="AF876" s="48">
        <f t="shared" si="170"/>
        <v>0.1592952699285802</v>
      </c>
      <c r="AH876" s="48">
        <f t="shared" si="171"/>
        <v>3.8857805861880479E-16</v>
      </c>
    </row>
    <row r="877" spans="4:34" ht="13.9" customHeight="1">
      <c r="D877" s="8"/>
      <c r="E877" s="9"/>
      <c r="F877" s="18"/>
      <c r="G877" s="18"/>
      <c r="H877" s="18"/>
      <c r="J877" s="40"/>
      <c r="K877" s="40"/>
      <c r="L877" s="40"/>
      <c r="M877" s="38"/>
      <c r="O877" s="12">
        <f t="shared" si="161"/>
        <v>72</v>
      </c>
      <c r="P877" s="13">
        <v>864</v>
      </c>
      <c r="Q877" s="21">
        <v>2.5872893535156205E-2</v>
      </c>
      <c r="R877" s="18">
        <f t="shared" si="162"/>
        <v>2.62814357160015E-2</v>
      </c>
      <c r="S877" s="21">
        <v>3.6926733038580517E-2</v>
      </c>
      <c r="T877" s="18">
        <f t="shared" si="163"/>
        <v>4.2979718403213241E-2</v>
      </c>
      <c r="U877" s="23">
        <v>3.8607129118595429E-2</v>
      </c>
      <c r="V877" s="23">
        <f t="shared" si="164"/>
        <v>4.2977864843273039E-2</v>
      </c>
      <c r="W877" s="22">
        <f t="shared" si="167"/>
        <v>3.5127996873092204E-3</v>
      </c>
      <c r="X877" s="23">
        <v>3.8270427650213268E-2</v>
      </c>
      <c r="Y877" s="23">
        <f t="shared" si="168"/>
        <v>4.2978298453644648E-2</v>
      </c>
      <c r="Z877" s="22">
        <f t="shared" si="169"/>
        <v>3.5128345781330061E-3</v>
      </c>
      <c r="AA877" s="33"/>
      <c r="AB877" s="50">
        <f t="shared" si="165"/>
        <v>864</v>
      </c>
      <c r="AC877" s="48">
        <f t="shared" si="160"/>
        <v>0.15895129230148664</v>
      </c>
      <c r="AE877" s="48">
        <f t="shared" si="166"/>
        <v>0.99784062874404478</v>
      </c>
      <c r="AF877" s="48">
        <f t="shared" si="170"/>
        <v>0.1589512923014868</v>
      </c>
      <c r="AH877" s="48">
        <f t="shared" si="171"/>
        <v>0</v>
      </c>
    </row>
    <row r="878" spans="4:34" ht="13.9" customHeight="1">
      <c r="D878" s="8"/>
      <c r="E878" s="9"/>
      <c r="F878" s="18"/>
      <c r="G878" s="18"/>
      <c r="H878" s="18"/>
      <c r="J878" s="40"/>
      <c r="K878" s="40"/>
      <c r="L878" s="40"/>
      <c r="M878" s="38"/>
      <c r="O878" s="12">
        <f t="shared" si="161"/>
        <v>72.083333333333329</v>
      </c>
      <c r="P878" s="13">
        <v>865</v>
      </c>
      <c r="Q878" s="21">
        <v>2.5873365744344401E-2</v>
      </c>
      <c r="R878" s="18">
        <f t="shared" si="162"/>
        <v>2.6283003263880778E-2</v>
      </c>
      <c r="S878" s="21">
        <v>3.6933710387933028E-2</v>
      </c>
      <c r="T878" s="18">
        <f t="shared" si="163"/>
        <v>4.2979941061331184E-2</v>
      </c>
      <c r="U878" s="23">
        <v>3.8612171402319539E-2</v>
      </c>
      <c r="V878" s="23">
        <f t="shared" si="164"/>
        <v>4.297809459672175E-2</v>
      </c>
      <c r="W878" s="22">
        <f t="shared" si="167"/>
        <v>3.5128183022308246E-3</v>
      </c>
      <c r="X878" s="23">
        <v>3.8275857987438711E-2</v>
      </c>
      <c r="Y878" s="23">
        <f t="shared" si="168"/>
        <v>4.297852664641244E-2</v>
      </c>
      <c r="Z878" s="22">
        <f t="shared" si="169"/>
        <v>3.5128530691466153E-3</v>
      </c>
      <c r="AA878" s="33"/>
      <c r="AB878" s="50">
        <f t="shared" si="165"/>
        <v>865</v>
      </c>
      <c r="AC878" s="48">
        <f t="shared" si="160"/>
        <v>0.15860803709201227</v>
      </c>
      <c r="AE878" s="48">
        <f t="shared" si="166"/>
        <v>0.99784050066844698</v>
      </c>
      <c r="AF878" s="48">
        <f t="shared" si="170"/>
        <v>0.15860803709201227</v>
      </c>
      <c r="AH878" s="48">
        <f t="shared" si="171"/>
        <v>0</v>
      </c>
    </row>
    <row r="879" spans="4:34" ht="13.9" customHeight="1">
      <c r="D879" s="8"/>
      <c r="E879" s="9"/>
      <c r="F879" s="18"/>
      <c r="G879" s="18"/>
      <c r="H879" s="18"/>
      <c r="J879" s="40"/>
      <c r="K879" s="40"/>
      <c r="L879" s="40"/>
      <c r="M879" s="38"/>
      <c r="O879" s="12">
        <f t="shared" si="161"/>
        <v>72.166666666666671</v>
      </c>
      <c r="P879" s="13">
        <v>866</v>
      </c>
      <c r="Q879" s="21">
        <v>2.5873838672578087E-2</v>
      </c>
      <c r="R879" s="18">
        <f t="shared" si="162"/>
        <v>2.6284557758715188E-2</v>
      </c>
      <c r="S879" s="21">
        <v>3.6940671925724144E-2</v>
      </c>
      <c r="T879" s="18">
        <f t="shared" si="163"/>
        <v>4.2980161274684958E-2</v>
      </c>
      <c r="U879" s="23">
        <v>3.8617202329636502E-2</v>
      </c>
      <c r="V879" s="23">
        <f t="shared" si="164"/>
        <v>4.2978321965376098E-2</v>
      </c>
      <c r="W879" s="22">
        <f t="shared" si="167"/>
        <v>3.5128367238832503E-3</v>
      </c>
      <c r="X879" s="23">
        <v>3.8281276074088266E-2</v>
      </c>
      <c r="Y879" s="23">
        <f t="shared" si="168"/>
        <v>4.2978752439614798E-2</v>
      </c>
      <c r="Z879" s="22">
        <f t="shared" si="169"/>
        <v>3.5128713656564781E-3</v>
      </c>
      <c r="AA879" s="33"/>
      <c r="AB879" s="50">
        <f t="shared" si="165"/>
        <v>866</v>
      </c>
      <c r="AC879" s="48">
        <f t="shared" si="160"/>
        <v>0.15826550299731362</v>
      </c>
      <c r="AE879" s="48">
        <f t="shared" si="166"/>
        <v>0.99784037365963207</v>
      </c>
      <c r="AF879" s="48">
        <f t="shared" si="170"/>
        <v>0.15826550299731432</v>
      </c>
      <c r="AH879" s="48">
        <f t="shared" si="171"/>
        <v>6.9388939039072284E-16</v>
      </c>
    </row>
    <row r="880" spans="4:34" ht="13.9" customHeight="1">
      <c r="D880" s="8"/>
      <c r="E880" s="9"/>
      <c r="F880" s="18"/>
      <c r="G880" s="18"/>
      <c r="H880" s="18"/>
      <c r="J880" s="40"/>
      <c r="K880" s="40"/>
      <c r="L880" s="40"/>
      <c r="M880" s="38"/>
      <c r="O880" s="12">
        <f t="shared" si="161"/>
        <v>72.25</v>
      </c>
      <c r="P880" s="13">
        <v>867</v>
      </c>
      <c r="Q880" s="21">
        <v>2.5874312302318625E-2</v>
      </c>
      <c r="R880" s="18">
        <f t="shared" si="162"/>
        <v>2.6286099308780342E-2</v>
      </c>
      <c r="S880" s="21">
        <v>3.694761770370536E-2</v>
      </c>
      <c r="T880" s="18">
        <f t="shared" si="163"/>
        <v>4.2980379069836427E-2</v>
      </c>
      <c r="U880" s="23">
        <v>3.8622221937022028E-2</v>
      </c>
      <c r="V880" s="23">
        <f t="shared" si="164"/>
        <v>4.2978546973202914E-2</v>
      </c>
      <c r="W880" s="22">
        <f t="shared" si="167"/>
        <v>3.5128549543188559E-3</v>
      </c>
      <c r="X880" s="23">
        <v>3.828668194970275E-2</v>
      </c>
      <c r="Y880" s="23">
        <f t="shared" si="168"/>
        <v>4.297897585839805E-2</v>
      </c>
      <c r="Z880" s="22">
        <f t="shared" si="169"/>
        <v>3.5128894697653568E-3</v>
      </c>
      <c r="AA880" s="33"/>
      <c r="AB880" s="50">
        <f t="shared" si="165"/>
        <v>867</v>
      </c>
      <c r="AC880" s="48">
        <f t="shared" si="160"/>
        <v>0.15792368871457119</v>
      </c>
      <c r="AE880" s="48">
        <f t="shared" si="166"/>
        <v>0.99784024770863322</v>
      </c>
      <c r="AF880" s="48">
        <f t="shared" si="170"/>
        <v>0.15792368871457155</v>
      </c>
      <c r="AH880" s="48">
        <f t="shared" si="171"/>
        <v>3.6082248300317588E-16</v>
      </c>
    </row>
    <row r="881" spans="4:34" ht="13.9" customHeight="1">
      <c r="D881" s="8"/>
      <c r="E881" s="9"/>
      <c r="F881" s="18"/>
      <c r="G881" s="18"/>
      <c r="H881" s="18"/>
      <c r="J881" s="40"/>
      <c r="K881" s="40"/>
      <c r="L881" s="40"/>
      <c r="M881" s="38"/>
      <c r="O881" s="12">
        <f t="shared" si="161"/>
        <v>72.333333333333329</v>
      </c>
      <c r="P881" s="13">
        <v>868</v>
      </c>
      <c r="Q881" s="21">
        <v>2.5874786616233214E-2</v>
      </c>
      <c r="R881" s="18">
        <f t="shared" si="162"/>
        <v>2.6287628022527265E-2</v>
      </c>
      <c r="S881" s="21">
        <v>3.6954547773420776E-2</v>
      </c>
      <c r="T881" s="18">
        <f t="shared" si="163"/>
        <v>4.2980594473948086E-2</v>
      </c>
      <c r="U881" s="23">
        <v>3.862723026081194E-2</v>
      </c>
      <c r="V881" s="23">
        <f t="shared" si="164"/>
        <v>4.2978769645487525E-2</v>
      </c>
      <c r="W881" s="22">
        <f t="shared" si="167"/>
        <v>3.5128729954596594E-3</v>
      </c>
      <c r="X881" s="23">
        <v>3.8292075653669544E-2</v>
      </c>
      <c r="Y881" s="23">
        <f t="shared" si="168"/>
        <v>4.2979196927142915E-2</v>
      </c>
      <c r="Z881" s="22">
        <f t="shared" si="169"/>
        <v>3.5129073834898605E-3</v>
      </c>
      <c r="AA881" s="33"/>
      <c r="AB881" s="50">
        <f t="shared" si="165"/>
        <v>868</v>
      </c>
      <c r="AC881" s="48">
        <f t="shared" si="160"/>
        <v>0.15758259294103061</v>
      </c>
      <c r="AE881" s="48">
        <f t="shared" si="166"/>
        <v>0.99784012280667189</v>
      </c>
      <c r="AF881" s="48">
        <f t="shared" si="170"/>
        <v>0.15758259294103069</v>
      </c>
      <c r="AH881" s="48">
        <f t="shared" si="171"/>
        <v>0</v>
      </c>
    </row>
    <row r="882" spans="4:34" ht="13.9" customHeight="1">
      <c r="D882" s="8"/>
      <c r="E882" s="9"/>
      <c r="F882" s="18"/>
      <c r="G882" s="18"/>
      <c r="H882" s="18"/>
      <c r="J882" s="40"/>
      <c r="K882" s="40"/>
      <c r="L882" s="40"/>
      <c r="M882" s="38"/>
      <c r="O882" s="12">
        <f t="shared" si="161"/>
        <v>72.416666666666671</v>
      </c>
      <c r="P882" s="13">
        <v>869</v>
      </c>
      <c r="Q882" s="21">
        <v>2.5875261597193555E-2</v>
      </c>
      <c r="R882" s="18">
        <f t="shared" si="162"/>
        <v>2.6289144007672682E-2</v>
      </c>
      <c r="S882" s="21">
        <v>3.6961462186208882E-2</v>
      </c>
      <c r="T882" s="18">
        <f t="shared" si="163"/>
        <v>4.2980807512632335E-2</v>
      </c>
      <c r="U882" s="23">
        <v>3.863222733720395E-2</v>
      </c>
      <c r="V882" s="23">
        <f t="shared" si="164"/>
        <v>4.2978990006443007E-2</v>
      </c>
      <c r="W882" s="22">
        <f t="shared" si="167"/>
        <v>3.5128908493329281E-3</v>
      </c>
      <c r="X882" s="23">
        <v>3.8297457225223708E-2</v>
      </c>
      <c r="Y882" s="23">
        <f t="shared" si="168"/>
        <v>4.2979415671378751E-2</v>
      </c>
      <c r="Z882" s="22">
        <f t="shared" si="169"/>
        <v>3.512925108784648E-3</v>
      </c>
      <c r="AA882" s="33"/>
      <c r="AB882" s="50">
        <f t="shared" si="165"/>
        <v>869</v>
      </c>
      <c r="AC882" s="48">
        <f t="shared" si="160"/>
        <v>0.15724221437402125</v>
      </c>
      <c r="AE882" s="48">
        <f t="shared" si="166"/>
        <v>0.99783999894495656</v>
      </c>
      <c r="AF882" s="48">
        <f t="shared" si="170"/>
        <v>0.15724221437402158</v>
      </c>
      <c r="AH882" s="48">
        <f t="shared" si="171"/>
        <v>3.3306690738754696E-16</v>
      </c>
    </row>
    <row r="883" spans="4:34" ht="13.9" customHeight="1">
      <c r="D883" s="8"/>
      <c r="E883" s="9"/>
      <c r="F883" s="18"/>
      <c r="G883" s="18"/>
      <c r="H883" s="18"/>
      <c r="J883" s="40"/>
      <c r="K883" s="40"/>
      <c r="L883" s="40"/>
      <c r="M883" s="38"/>
      <c r="O883" s="12">
        <f t="shared" si="161"/>
        <v>72.5</v>
      </c>
      <c r="P883" s="13">
        <v>870</v>
      </c>
      <c r="Q883" s="21">
        <v>2.5875737228273854E-2</v>
      </c>
      <c r="R883" s="18">
        <f t="shared" si="162"/>
        <v>2.6290647369835218E-2</v>
      </c>
      <c r="S883" s="21">
        <v>3.696836099320211E-2</v>
      </c>
      <c r="T883" s="18">
        <f t="shared" si="163"/>
        <v>4.2981018212783884E-2</v>
      </c>
      <c r="U883" s="23">
        <v>3.8637213202257215E-2</v>
      </c>
      <c r="V883" s="23">
        <f t="shared" si="164"/>
        <v>4.2979208079340969E-2</v>
      </c>
      <c r="W883" s="22">
        <f t="shared" si="167"/>
        <v>3.512908517880442E-3</v>
      </c>
      <c r="X883" s="23">
        <v>3.8302826703448867E-2</v>
      </c>
      <c r="Y883" s="23">
        <f t="shared" si="168"/>
        <v>4.2979632115086819E-2</v>
      </c>
      <c r="Z883" s="22">
        <f t="shared" si="169"/>
        <v>3.5129426476967485E-3</v>
      </c>
      <c r="AA883" s="33"/>
      <c r="AB883" s="50">
        <f t="shared" si="165"/>
        <v>870</v>
      </c>
      <c r="AC883" s="48">
        <f t="shared" si="160"/>
        <v>0.15690255171098261</v>
      </c>
      <c r="AE883" s="48">
        <f t="shared" si="166"/>
        <v>0.997839876114754</v>
      </c>
      <c r="AF883" s="48">
        <f t="shared" si="170"/>
        <v>0.15690255171098327</v>
      </c>
      <c r="AH883" s="48">
        <f t="shared" si="171"/>
        <v>6.6613381477509392E-16</v>
      </c>
    </row>
    <row r="884" spans="4:34" ht="13.9" customHeight="1">
      <c r="D884" s="8"/>
      <c r="E884" s="9"/>
      <c r="F884" s="18"/>
      <c r="G884" s="18"/>
      <c r="H884" s="18"/>
      <c r="J884" s="40"/>
      <c r="K884" s="40"/>
      <c r="L884" s="40"/>
      <c r="M884" s="38"/>
      <c r="O884" s="12">
        <f t="shared" si="161"/>
        <v>72.583333333333329</v>
      </c>
      <c r="P884" s="13">
        <v>871</v>
      </c>
      <c r="Q884" s="21">
        <v>2.5876213492747269E-2</v>
      </c>
      <c r="R884" s="18">
        <f t="shared" si="162"/>
        <v>2.6292138214794702E-2</v>
      </c>
      <c r="S884" s="21">
        <v>3.6975244245329275E-2</v>
      </c>
      <c r="T884" s="18">
        <f t="shared" si="163"/>
        <v>4.2981226599228206E-2</v>
      </c>
      <c r="U884" s="23">
        <v>3.8642187891892776E-2</v>
      </c>
      <c r="V884" s="23">
        <f t="shared" si="164"/>
        <v>4.2979423888564572E-2</v>
      </c>
      <c r="W884" s="22">
        <f t="shared" si="167"/>
        <v>3.51292600296782E-3</v>
      </c>
      <c r="X884" s="23">
        <v>3.8308184127277212E-2</v>
      </c>
      <c r="Y884" s="23">
        <f t="shared" si="168"/>
        <v>4.2979846282513279E-2</v>
      </c>
      <c r="Z884" s="22">
        <f t="shared" si="169"/>
        <v>3.5129600021492902E-3</v>
      </c>
      <c r="AA884" s="33"/>
      <c r="AB884" s="50">
        <f t="shared" si="165"/>
        <v>871</v>
      </c>
      <c r="AC884" s="48">
        <f t="shared" si="160"/>
        <v>0.15656360364950697</v>
      </c>
      <c r="AE884" s="48">
        <f t="shared" si="166"/>
        <v>0.99783975430750216</v>
      </c>
      <c r="AF884" s="48">
        <f t="shared" si="170"/>
        <v>0.15656360364950769</v>
      </c>
      <c r="AH884" s="48">
        <f t="shared" si="171"/>
        <v>7.2164496600635175E-16</v>
      </c>
    </row>
    <row r="885" spans="4:34" ht="13.9" customHeight="1">
      <c r="D885" s="8"/>
      <c r="E885" s="9"/>
      <c r="F885" s="18"/>
      <c r="G885" s="18"/>
      <c r="H885" s="18"/>
      <c r="J885" s="40"/>
      <c r="K885" s="40"/>
      <c r="L885" s="40"/>
      <c r="M885" s="38"/>
      <c r="O885" s="12">
        <f t="shared" si="161"/>
        <v>72.666666666666671</v>
      </c>
      <c r="P885" s="13">
        <v>872</v>
      </c>
      <c r="Q885" s="21">
        <v>2.5876690374085021E-2</v>
      </c>
      <c r="R885" s="18">
        <f t="shared" si="162"/>
        <v>2.6293616647353524E-2</v>
      </c>
      <c r="S885" s="21">
        <v>3.6982111993314692E-2</v>
      </c>
      <c r="T885" s="18">
        <f t="shared" si="163"/>
        <v>4.298143269755883E-2</v>
      </c>
      <c r="U885" s="23">
        <v>3.8647151441894234E-2</v>
      </c>
      <c r="V885" s="23">
        <f t="shared" si="164"/>
        <v>4.2979637457776443E-2</v>
      </c>
      <c r="W885" s="22">
        <f t="shared" si="167"/>
        <v>3.5129433065506088E-3</v>
      </c>
      <c r="X885" s="23">
        <v>3.8313529535490387E-2</v>
      </c>
      <c r="Y885" s="23">
        <f t="shared" si="168"/>
        <v>4.2980058197713999E-2</v>
      </c>
      <c r="Z885" s="22">
        <f t="shared" si="169"/>
        <v>3.5129771740864957E-3</v>
      </c>
      <c r="AA885" s="33"/>
      <c r="AB885" s="50">
        <f t="shared" si="165"/>
        <v>872</v>
      </c>
      <c r="AC885" s="48">
        <f t="shared" si="160"/>
        <v>0.15622536888735336</v>
      </c>
      <c r="AE885" s="48">
        <f t="shared" si="166"/>
        <v>0.99783963351462512</v>
      </c>
      <c r="AF885" s="48">
        <f t="shared" si="170"/>
        <v>0.15622536888735378</v>
      </c>
      <c r="AH885" s="48">
        <f t="shared" si="171"/>
        <v>4.163336342344337E-16</v>
      </c>
    </row>
    <row r="886" spans="4:34" ht="13.9" customHeight="1">
      <c r="D886" s="8"/>
      <c r="E886" s="9"/>
      <c r="F886" s="18"/>
      <c r="G886" s="18"/>
      <c r="H886" s="18"/>
      <c r="J886" s="40"/>
      <c r="K886" s="40"/>
      <c r="L886" s="40"/>
      <c r="M886" s="38"/>
      <c r="O886" s="12">
        <f t="shared" si="161"/>
        <v>72.75</v>
      </c>
      <c r="P886" s="13">
        <v>873</v>
      </c>
      <c r="Q886" s="21">
        <v>2.5877167855954175E-2</v>
      </c>
      <c r="R886" s="18">
        <f t="shared" si="162"/>
        <v>2.6295082770906753E-2</v>
      </c>
      <c r="S886" s="21">
        <v>3.6988964287679948E-2</v>
      </c>
      <c r="T886" s="18">
        <f t="shared" si="163"/>
        <v>4.2981636533043543E-2</v>
      </c>
      <c r="U886" s="23">
        <v>3.8652103887909073E-2</v>
      </c>
      <c r="V886" s="23">
        <f t="shared" si="164"/>
        <v>4.2979848809597598E-2</v>
      </c>
      <c r="W886" s="22">
        <f t="shared" si="167"/>
        <v>3.5129604305261797E-3</v>
      </c>
      <c r="X886" s="23">
        <v>3.8318862966720157E-2</v>
      </c>
      <c r="Y886" s="23">
        <f t="shared" si="168"/>
        <v>4.2980267884371814E-2</v>
      </c>
      <c r="Z886" s="22">
        <f t="shared" si="169"/>
        <v>3.5129941654370445E-3</v>
      </c>
      <c r="AA886" s="33"/>
      <c r="AB886" s="50">
        <f t="shared" si="165"/>
        <v>873</v>
      </c>
      <c r="AC886" s="48">
        <f t="shared" si="160"/>
        <v>0.15588784612247591</v>
      </c>
      <c r="AE886" s="48">
        <f t="shared" si="166"/>
        <v>0.99783951372762725</v>
      </c>
      <c r="AF886" s="48">
        <f t="shared" si="170"/>
        <v>0.15588784612247628</v>
      </c>
      <c r="AH886" s="48">
        <f t="shared" si="171"/>
        <v>3.6082248300317588E-16</v>
      </c>
    </row>
    <row r="887" spans="4:34" ht="13.9" customHeight="1">
      <c r="D887" s="8"/>
      <c r="E887" s="9"/>
      <c r="F887" s="18"/>
      <c r="G887" s="18"/>
      <c r="H887" s="18"/>
      <c r="J887" s="40"/>
      <c r="K887" s="40"/>
      <c r="L887" s="40"/>
      <c r="M887" s="38"/>
      <c r="O887" s="12">
        <f t="shared" si="161"/>
        <v>72.833333333333329</v>
      </c>
      <c r="P887" s="13">
        <v>874</v>
      </c>
      <c r="Q887" s="21">
        <v>2.5877645922214754E-2</v>
      </c>
      <c r="R887" s="18">
        <f t="shared" si="162"/>
        <v>2.6296536688044547E-2</v>
      </c>
      <c r="S887" s="21">
        <v>3.6995801178744792E-2</v>
      </c>
      <c r="T887" s="18">
        <f t="shared" si="163"/>
        <v>4.2981838130631056E-2</v>
      </c>
      <c r="U887" s="23">
        <v>3.8657045265447776E-2</v>
      </c>
      <c r="V887" s="23">
        <f t="shared" si="164"/>
        <v>4.2980057967433982E-2</v>
      </c>
      <c r="W887" s="22">
        <f t="shared" si="167"/>
        <v>3.5129773767079708E-3</v>
      </c>
      <c r="X887" s="23">
        <v>3.8324184459448851E-2</v>
      </c>
      <c r="Y887" s="23">
        <f t="shared" si="168"/>
        <v>4.2980475365827386E-2</v>
      </c>
      <c r="Z887" s="22">
        <f t="shared" si="169"/>
        <v>3.513010978100084E-3</v>
      </c>
      <c r="AA887" s="33"/>
      <c r="AB887" s="50">
        <f t="shared" si="165"/>
        <v>874</v>
      </c>
      <c r="AC887" s="48">
        <f t="shared" si="160"/>
        <v>0.15555103405305906</v>
      </c>
      <c r="AE887" s="48">
        <f t="shared" si="166"/>
        <v>0.99783939493812601</v>
      </c>
      <c r="AF887" s="48">
        <f t="shared" si="170"/>
        <v>0.15555103405305942</v>
      </c>
      <c r="AH887" s="48">
        <f t="shared" si="171"/>
        <v>3.6082248300317588E-16</v>
      </c>
    </row>
    <row r="888" spans="4:34" ht="13.9" customHeight="1">
      <c r="D888" s="8"/>
      <c r="E888" s="9"/>
      <c r="F888" s="18"/>
      <c r="G888" s="18"/>
      <c r="H888" s="18"/>
      <c r="J888" s="40"/>
      <c r="K888" s="40"/>
      <c r="L888" s="40"/>
      <c r="M888" s="38"/>
      <c r="O888" s="12">
        <f t="shared" si="161"/>
        <v>72.916666666666671</v>
      </c>
      <c r="P888" s="13">
        <v>875</v>
      </c>
      <c r="Q888" s="21">
        <v>2.5878124556917736E-2</v>
      </c>
      <c r="R888" s="18">
        <f t="shared" si="162"/>
        <v>2.6297978501287567E-2</v>
      </c>
      <c r="S888" s="21">
        <v>3.7002622716627798E-2</v>
      </c>
      <c r="T888" s="18">
        <f t="shared" si="163"/>
        <v>4.2982037514844196E-2</v>
      </c>
      <c r="U888" s="23">
        <v>3.8661975609885157E-2</v>
      </c>
      <c r="V888" s="23">
        <f t="shared" si="164"/>
        <v>4.2980264954227687E-2</v>
      </c>
      <c r="W888" s="22">
        <f t="shared" si="167"/>
        <v>3.5129941469731474E-3</v>
      </c>
      <c r="X888" s="23">
        <v>3.8329494052009583E-2</v>
      </c>
      <c r="Y888" s="23">
        <f t="shared" si="168"/>
        <v>4.2980680665317017E-2</v>
      </c>
      <c r="Z888" s="22">
        <f t="shared" si="169"/>
        <v>3.5130276139470062E-3</v>
      </c>
      <c r="AA888" s="33"/>
      <c r="AB888" s="50">
        <f t="shared" si="165"/>
        <v>875</v>
      </c>
      <c r="AC888" s="48">
        <f t="shared" si="160"/>
        <v>0.15521493137754316</v>
      </c>
      <c r="AE888" s="48">
        <f t="shared" si="166"/>
        <v>0.99783927713780496</v>
      </c>
      <c r="AF888" s="48">
        <f t="shared" si="170"/>
        <v>0.15521493137754289</v>
      </c>
      <c r="AH888" s="48">
        <f t="shared" si="171"/>
        <v>-2.7755575615628914E-16</v>
      </c>
    </row>
    <row r="889" spans="4:34" ht="13.9" customHeight="1">
      <c r="D889" s="8"/>
      <c r="E889" s="9"/>
      <c r="F889" s="18"/>
      <c r="G889" s="18"/>
      <c r="H889" s="18"/>
      <c r="J889" s="40"/>
      <c r="K889" s="40"/>
      <c r="L889" s="40"/>
      <c r="M889" s="38"/>
      <c r="O889" s="12">
        <f t="shared" si="161"/>
        <v>73</v>
      </c>
      <c r="P889" s="13">
        <v>876</v>
      </c>
      <c r="Q889" s="21">
        <v>2.5878603744304174E-2</v>
      </c>
      <c r="R889" s="18">
        <f t="shared" si="162"/>
        <v>2.6299408311043271E-2</v>
      </c>
      <c r="S889" s="21">
        <v>3.7009428951247259E-2</v>
      </c>
      <c r="T889" s="18">
        <f t="shared" si="163"/>
        <v>4.2982234709702416E-2</v>
      </c>
      <c r="U889" s="23">
        <v>3.8666894956461029E-2</v>
      </c>
      <c r="V889" s="23">
        <f t="shared" si="164"/>
        <v>4.2980469792039955E-2</v>
      </c>
      <c r="W889" s="22">
        <f t="shared" si="167"/>
        <v>3.5130107431613489E-3</v>
      </c>
      <c r="X889" s="23">
        <v>3.8334791782587363E-2</v>
      </c>
      <c r="Y889" s="23">
        <f t="shared" si="168"/>
        <v>4.2980883805816994E-2</v>
      </c>
      <c r="Z889" s="22">
        <f t="shared" si="169"/>
        <v>3.5130440748409875E-3</v>
      </c>
      <c r="AA889" s="33"/>
      <c r="AB889" s="50">
        <f t="shared" si="165"/>
        <v>876</v>
      </c>
      <c r="AC889" s="48">
        <f t="shared" si="160"/>
        <v>0.15487953679463798</v>
      </c>
      <c r="AE889" s="48">
        <f t="shared" si="166"/>
        <v>0.99783916031835296</v>
      </c>
      <c r="AF889" s="48">
        <f t="shared" si="170"/>
        <v>0.15487953679463817</v>
      </c>
      <c r="AH889" s="48">
        <f t="shared" si="171"/>
        <v>0</v>
      </c>
    </row>
    <row r="890" spans="4:34" ht="13.9" customHeight="1">
      <c r="D890" s="8"/>
      <c r="E890" s="9"/>
      <c r="F890" s="18"/>
      <c r="G890" s="18"/>
      <c r="H890" s="18"/>
      <c r="J890" s="40"/>
      <c r="K890" s="40"/>
      <c r="L890" s="40"/>
      <c r="M890" s="38"/>
      <c r="O890" s="12">
        <f t="shared" si="161"/>
        <v>73.083333333333329</v>
      </c>
      <c r="P890" s="13">
        <v>877</v>
      </c>
      <c r="Q890" s="21">
        <v>2.5879083468801189E-2</v>
      </c>
      <c r="R890" s="18">
        <f t="shared" si="162"/>
        <v>2.6300826218133233E-2</v>
      </c>
      <c r="S890" s="21">
        <v>3.7016219932321626E-2</v>
      </c>
      <c r="T890" s="18">
        <f t="shared" si="163"/>
        <v>4.2982429739546912E-2</v>
      </c>
      <c r="U890" s="23">
        <v>3.8671803340279753E-2</v>
      </c>
      <c r="V890" s="23">
        <f t="shared" si="164"/>
        <v>4.2980672503691641E-2</v>
      </c>
      <c r="W890" s="22">
        <f t="shared" si="167"/>
        <v>3.5130271670411606E-3</v>
      </c>
      <c r="X890" s="23">
        <v>3.8340077689219543E-2</v>
      </c>
      <c r="Y890" s="23">
        <f t="shared" si="168"/>
        <v>4.2981084810053583E-2</v>
      </c>
      <c r="Z890" s="22">
        <f t="shared" si="169"/>
        <v>3.5130603626245538E-3</v>
      </c>
      <c r="AA890" s="33"/>
      <c r="AB890" s="50">
        <f t="shared" si="165"/>
        <v>877</v>
      </c>
      <c r="AC890" s="48">
        <f t="shared" si="160"/>
        <v>0.15454484900337082</v>
      </c>
      <c r="AE890" s="48">
        <f t="shared" si="166"/>
        <v>0.99783904447163008</v>
      </c>
      <c r="AF890" s="48">
        <f t="shared" si="170"/>
        <v>0.15454484900337043</v>
      </c>
      <c r="AH890" s="48">
        <f t="shared" si="171"/>
        <v>-3.8857805861880479E-16</v>
      </c>
    </row>
    <row r="891" spans="4:34" ht="13.9" customHeight="1">
      <c r="D891" s="8"/>
      <c r="E891" s="9"/>
      <c r="F891" s="18"/>
      <c r="G891" s="18"/>
      <c r="H891" s="18"/>
      <c r="J891" s="40"/>
      <c r="K891" s="40"/>
      <c r="L891" s="40"/>
      <c r="M891" s="38"/>
      <c r="O891" s="12">
        <f t="shared" si="161"/>
        <v>73.166666666666671</v>
      </c>
      <c r="P891" s="13">
        <v>878</v>
      </c>
      <c r="Q891" s="21">
        <v>2.587956371502198E-2</v>
      </c>
      <c r="R891" s="18">
        <f t="shared" si="162"/>
        <v>2.6302232321822272E-2</v>
      </c>
      <c r="S891" s="21">
        <v>3.7022995709371065E-2</v>
      </c>
      <c r="T891" s="18">
        <f t="shared" si="163"/>
        <v>4.2982622628109812E-2</v>
      </c>
      <c r="U891" s="23">
        <v>3.8676700796312025E-2</v>
      </c>
      <c r="V891" s="23">
        <f t="shared" si="164"/>
        <v>4.2980873110840756E-2</v>
      </c>
      <c r="W891" s="22">
        <f t="shared" si="167"/>
        <v>3.5130434204426741E-3</v>
      </c>
      <c r="X891" s="23">
        <v>3.8345351809796258E-2</v>
      </c>
      <c r="Y891" s="23">
        <f t="shared" si="168"/>
        <v>4.2981283700570083E-2</v>
      </c>
      <c r="Z891" s="22">
        <f t="shared" si="169"/>
        <v>3.5130764791200253E-3</v>
      </c>
      <c r="AA891" s="33"/>
      <c r="AB891" s="50">
        <f t="shared" si="165"/>
        <v>878</v>
      </c>
      <c r="AC891" s="48">
        <f t="shared" si="160"/>
        <v>0.15421086670308756</v>
      </c>
      <c r="AE891" s="48">
        <f t="shared" si="166"/>
        <v>0.9978389295894633</v>
      </c>
      <c r="AF891" s="48">
        <f t="shared" si="170"/>
        <v>0.15421086670308837</v>
      </c>
      <c r="AH891" s="48">
        <f t="shared" si="171"/>
        <v>8.0491169285323849E-16</v>
      </c>
    </row>
    <row r="892" spans="4:34" ht="13.9" customHeight="1">
      <c r="D892" s="8"/>
      <c r="E892" s="9"/>
      <c r="F892" s="18"/>
      <c r="G892" s="18"/>
      <c r="H892" s="18"/>
      <c r="J892" s="40"/>
      <c r="K892" s="40"/>
      <c r="L892" s="40"/>
      <c r="M892" s="38"/>
      <c r="O892" s="12">
        <f t="shared" si="161"/>
        <v>73.25</v>
      </c>
      <c r="P892" s="13">
        <v>879</v>
      </c>
      <c r="Q892" s="21">
        <v>2.5880044467762264E-2</v>
      </c>
      <c r="R892" s="18">
        <f t="shared" si="162"/>
        <v>2.6303626720314721E-2</v>
      </c>
      <c r="S892" s="21">
        <v>3.7029756331717678E-2</v>
      </c>
      <c r="T892" s="18">
        <f t="shared" si="163"/>
        <v>4.2982813398839692E-2</v>
      </c>
      <c r="U892" s="23">
        <v>3.8681587359394198E-2</v>
      </c>
      <c r="V892" s="23">
        <f t="shared" si="164"/>
        <v>4.2981071635534107E-2</v>
      </c>
      <c r="W892" s="22">
        <f t="shared" si="167"/>
        <v>3.5130595051027225E-3</v>
      </c>
      <c r="X892" s="23">
        <v>3.8350614182060871E-2</v>
      </c>
      <c r="Y892" s="23">
        <f t="shared" si="168"/>
        <v>4.2981480499346025E-2</v>
      </c>
      <c r="Z892" s="22">
        <f t="shared" si="169"/>
        <v>3.513092426134623E-3</v>
      </c>
      <c r="AA892" s="33"/>
      <c r="AB892" s="50">
        <f t="shared" si="165"/>
        <v>879</v>
      </c>
      <c r="AC892" s="48">
        <f t="shared" si="160"/>
        <v>0.15387758859349793</v>
      </c>
      <c r="AE892" s="48">
        <f t="shared" si="166"/>
        <v>0.99783881566380561</v>
      </c>
      <c r="AF892" s="48">
        <f t="shared" si="170"/>
        <v>0.1538775885934987</v>
      </c>
      <c r="AH892" s="48">
        <f t="shared" si="171"/>
        <v>7.7715611723760958E-16</v>
      </c>
    </row>
    <row r="893" spans="4:34" ht="13.9" customHeight="1">
      <c r="D893" s="8"/>
      <c r="E893" s="9"/>
      <c r="F893" s="18"/>
      <c r="G893" s="18"/>
      <c r="H893" s="18"/>
      <c r="J893" s="40"/>
      <c r="K893" s="40"/>
      <c r="L893" s="40"/>
      <c r="M893" s="38"/>
      <c r="O893" s="12">
        <f t="shared" si="161"/>
        <v>73.333333333333329</v>
      </c>
      <c r="P893" s="13">
        <v>880</v>
      </c>
      <c r="Q893" s="21">
        <v>2.5880525711998725E-2</v>
      </c>
      <c r="R893" s="18">
        <f t="shared" si="162"/>
        <v>2.6305009511927713E-2</v>
      </c>
      <c r="S893" s="21">
        <v>3.7036501848486614E-2</v>
      </c>
      <c r="T893" s="18">
        <f t="shared" si="163"/>
        <v>4.2983002075174026E-2</v>
      </c>
      <c r="U893" s="23">
        <v>3.8686463064229626E-2</v>
      </c>
      <c r="V893" s="23">
        <f t="shared" si="164"/>
        <v>4.2981268099540726E-2</v>
      </c>
      <c r="W893" s="22">
        <f t="shared" si="167"/>
        <v>3.5130754227887806E-3</v>
      </c>
      <c r="X893" s="23">
        <v>3.8355864843610865E-2</v>
      </c>
      <c r="Y893" s="23">
        <f t="shared" si="168"/>
        <v>4.298167522860874E-2</v>
      </c>
      <c r="Z893" s="22">
        <f t="shared" si="169"/>
        <v>3.5131082054311591E-3</v>
      </c>
      <c r="AA893" s="33"/>
      <c r="AB893" s="50">
        <f t="shared" si="165"/>
        <v>880</v>
      </c>
      <c r="AC893" s="48">
        <f t="shared" si="160"/>
        <v>0.15354501337469381</v>
      </c>
      <c r="AE893" s="48">
        <f t="shared" si="166"/>
        <v>0.99783870268669617</v>
      </c>
      <c r="AF893" s="48">
        <f t="shared" si="170"/>
        <v>0.15354501337469389</v>
      </c>
      <c r="AH893" s="48">
        <f t="shared" si="171"/>
        <v>0</v>
      </c>
    </row>
    <row r="894" spans="4:34" ht="13.9" customHeight="1">
      <c r="D894" s="8"/>
      <c r="E894" s="9"/>
      <c r="F894" s="18"/>
      <c r="G894" s="18"/>
      <c r="H894" s="18"/>
      <c r="J894" s="40"/>
      <c r="K894" s="40"/>
      <c r="L894" s="40"/>
      <c r="M894" s="38"/>
      <c r="O894" s="12">
        <f t="shared" si="161"/>
        <v>73.416666666666671</v>
      </c>
      <c r="P894" s="13">
        <v>881</v>
      </c>
      <c r="Q894" s="21">
        <v>2.5881007432887904E-2</v>
      </c>
      <c r="R894" s="18">
        <f t="shared" si="162"/>
        <v>2.6306380793069684E-2</v>
      </c>
      <c r="S894" s="21">
        <v>3.7043232308606955E-2</v>
      </c>
      <c r="T894" s="18">
        <f t="shared" si="163"/>
        <v>4.2983188679853734E-2</v>
      </c>
      <c r="U894" s="23">
        <v>3.8691327945388876E-2</v>
      </c>
      <c r="V894" s="23">
        <f t="shared" si="164"/>
        <v>4.2981462524131375E-2</v>
      </c>
      <c r="W894" s="22">
        <f t="shared" si="167"/>
        <v>3.5130911752463412E-3</v>
      </c>
      <c r="X894" s="23">
        <v>3.8361103831898058E-2</v>
      </c>
      <c r="Y894" s="23">
        <f t="shared" si="168"/>
        <v>4.2981867910146132E-2</v>
      </c>
      <c r="Z894" s="22">
        <f t="shared" si="169"/>
        <v>3.5131238187917635E-3</v>
      </c>
      <c r="AA894" s="33"/>
      <c r="AB894" s="50">
        <f t="shared" si="165"/>
        <v>881</v>
      </c>
      <c r="AC894" s="48">
        <f t="shared" si="160"/>
        <v>0.15321313974716527</v>
      </c>
      <c r="AE894" s="48">
        <f t="shared" si="166"/>
        <v>0.99783859065016478</v>
      </c>
      <c r="AF894" s="48">
        <f t="shared" si="170"/>
        <v>0.15321313974716524</v>
      </c>
      <c r="AH894" s="48">
        <f t="shared" si="171"/>
        <v>0</v>
      </c>
    </row>
    <row r="895" spans="4:34" ht="13.9" customHeight="1">
      <c r="D895" s="8"/>
      <c r="E895" s="9"/>
      <c r="F895" s="18"/>
      <c r="G895" s="18"/>
      <c r="H895" s="18"/>
      <c r="J895" s="40"/>
      <c r="K895" s="40"/>
      <c r="L895" s="40"/>
      <c r="M895" s="38"/>
      <c r="O895" s="12">
        <f t="shared" si="161"/>
        <v>73.5</v>
      </c>
      <c r="P895" s="13">
        <v>882</v>
      </c>
      <c r="Q895" s="21">
        <v>2.5881489615762865E-2</v>
      </c>
      <c r="R895" s="18">
        <f t="shared" si="162"/>
        <v>2.6307740659966328E-2</v>
      </c>
      <c r="S895" s="21">
        <v>3.7049947760812163E-2</v>
      </c>
      <c r="T895" s="18">
        <f t="shared" si="163"/>
        <v>4.2983373235669475E-2</v>
      </c>
      <c r="U895" s="23">
        <v>3.8696182037309956E-2</v>
      </c>
      <c r="V895" s="23">
        <f t="shared" si="164"/>
        <v>4.2981654930402069E-2</v>
      </c>
      <c r="W895" s="22">
        <f t="shared" si="167"/>
        <v>3.5131067641813729E-3</v>
      </c>
      <c r="X895" s="23">
        <v>3.8366331184229496E-2</v>
      </c>
      <c r="Y895" s="23">
        <f t="shared" si="168"/>
        <v>4.2982058565190551E-2</v>
      </c>
      <c r="Z895" s="22">
        <f t="shared" si="169"/>
        <v>3.5131392679634832E-3</v>
      </c>
      <c r="AA895" s="33"/>
      <c r="AB895" s="50">
        <f t="shared" si="165"/>
        <v>882</v>
      </c>
      <c r="AC895" s="48">
        <f t="shared" si="160"/>
        <v>0.15288196641184026</v>
      </c>
      <c r="AE895" s="48">
        <f t="shared" si="166"/>
        <v>0.99783847954639615</v>
      </c>
      <c r="AF895" s="48">
        <f t="shared" si="170"/>
        <v>0.15288196641184087</v>
      </c>
      <c r="AH895" s="48">
        <f t="shared" si="171"/>
        <v>6.106226635438361E-16</v>
      </c>
    </row>
    <row r="896" spans="4:34" ht="13.9" customHeight="1">
      <c r="D896" s="8"/>
      <c r="E896" s="9"/>
      <c r="F896" s="18"/>
      <c r="G896" s="18"/>
      <c r="H896" s="18"/>
      <c r="J896" s="40"/>
      <c r="K896" s="40"/>
      <c r="L896" s="40"/>
      <c r="M896" s="38"/>
      <c r="O896" s="12">
        <f t="shared" si="161"/>
        <v>73.583333333333329</v>
      </c>
      <c r="P896" s="13">
        <v>883</v>
      </c>
      <c r="Q896" s="21">
        <v>2.5881972246131868E-2</v>
      </c>
      <c r="R896" s="18">
        <f t="shared" si="162"/>
        <v>2.6309089208264913E-2</v>
      </c>
      <c r="S896" s="21">
        <v>3.7056648253641189E-2</v>
      </c>
      <c r="T896" s="18">
        <f t="shared" si="163"/>
        <v>4.2983555764951387E-2</v>
      </c>
      <c r="U896" s="23">
        <v>3.8701025374299203E-2</v>
      </c>
      <c r="V896" s="23">
        <f t="shared" si="164"/>
        <v>4.2981845339205904E-2</v>
      </c>
      <c r="W896" s="22">
        <f t="shared" si="167"/>
        <v>3.5131221912849675E-3</v>
      </c>
      <c r="X896" s="23">
        <v>3.8371546937767675E-2</v>
      </c>
      <c r="Y896" s="23">
        <f t="shared" si="168"/>
        <v>4.2982247215409997E-2</v>
      </c>
      <c r="Z896" s="22">
        <f t="shared" si="169"/>
        <v>3.5131545546487342E-3</v>
      </c>
      <c r="AA896" s="33"/>
      <c r="AB896" s="50">
        <f t="shared" si="165"/>
        <v>883</v>
      </c>
      <c r="AC896" s="48">
        <f t="shared" si="160"/>
        <v>0.15255149207010199</v>
      </c>
      <c r="AE896" s="48">
        <f t="shared" si="166"/>
        <v>0.99783836936758996</v>
      </c>
      <c r="AF896" s="48">
        <f t="shared" si="170"/>
        <v>0.15255149207010196</v>
      </c>
      <c r="AH896" s="48">
        <f t="shared" si="171"/>
        <v>0</v>
      </c>
    </row>
    <row r="897" spans="4:34" ht="13.9" customHeight="1">
      <c r="D897" s="8"/>
      <c r="E897" s="9"/>
      <c r="F897" s="18"/>
      <c r="G897" s="18"/>
      <c r="H897" s="18"/>
      <c r="J897" s="40"/>
      <c r="K897" s="40"/>
      <c r="L897" s="40"/>
      <c r="M897" s="38"/>
      <c r="O897" s="12">
        <f t="shared" si="161"/>
        <v>73.666666666666671</v>
      </c>
      <c r="P897" s="13">
        <v>884</v>
      </c>
      <c r="Q897" s="21">
        <v>2.5882455309677255E-2</v>
      </c>
      <c r="R897" s="18">
        <f t="shared" si="162"/>
        <v>2.631042653170379E-2</v>
      </c>
      <c r="S897" s="21">
        <v>3.7063333835439138E-2</v>
      </c>
      <c r="T897" s="18">
        <f t="shared" si="163"/>
        <v>4.2983736290946206E-2</v>
      </c>
      <c r="U897" s="23">
        <v>3.87058579905315E-2</v>
      </c>
      <c r="V897" s="23">
        <f t="shared" si="164"/>
        <v>4.2982033771756134E-2</v>
      </c>
      <c r="W897" s="22">
        <f t="shared" si="167"/>
        <v>3.5131374582295649E-3</v>
      </c>
      <c r="X897" s="23">
        <v>3.8376751129531428E-2</v>
      </c>
      <c r="Y897" s="23">
        <f t="shared" si="168"/>
        <v>4.2982433881865401E-2</v>
      </c>
      <c r="Z897" s="22">
        <f t="shared" si="169"/>
        <v>3.5131696805847934E-3</v>
      </c>
      <c r="AA897" s="33"/>
      <c r="AB897" s="50">
        <f t="shared" si="165"/>
        <v>884</v>
      </c>
      <c r="AC897" s="48">
        <f t="shared" si="160"/>
        <v>0.15222171542380392</v>
      </c>
      <c r="AE897" s="48">
        <f t="shared" si="166"/>
        <v>0.99783826010599241</v>
      </c>
      <c r="AF897" s="48">
        <f t="shared" si="170"/>
        <v>0.15222171542380364</v>
      </c>
      <c r="AH897" s="48">
        <f t="shared" si="171"/>
        <v>-2.7755575615628914E-16</v>
      </c>
    </row>
    <row r="898" spans="4:34" ht="13.9" customHeight="1">
      <c r="D898" s="8"/>
      <c r="E898" s="9"/>
      <c r="F898" s="18"/>
      <c r="G898" s="18"/>
      <c r="H898" s="18"/>
      <c r="J898" s="40"/>
      <c r="K898" s="40"/>
      <c r="L898" s="40"/>
      <c r="M898" s="38"/>
      <c r="O898" s="12">
        <f t="shared" si="161"/>
        <v>73.75</v>
      </c>
      <c r="P898" s="13">
        <v>885</v>
      </c>
      <c r="Q898" s="21">
        <v>2.5882938792251897E-2</v>
      </c>
      <c r="R898" s="18">
        <f t="shared" si="162"/>
        <v>2.6311752724894832E-2</v>
      </c>
      <c r="S898" s="21">
        <v>3.7070004554359048E-2</v>
      </c>
      <c r="T898" s="18">
        <f t="shared" si="163"/>
        <v>4.2983914833964132E-2</v>
      </c>
      <c r="U898" s="23">
        <v>3.8710679920051172E-2</v>
      </c>
      <c r="V898" s="23">
        <f t="shared" si="164"/>
        <v>4.2982220248030334E-2</v>
      </c>
      <c r="W898" s="22">
        <f t="shared" si="167"/>
        <v>3.5131525667160268E-3</v>
      </c>
      <c r="X898" s="23">
        <v>3.8381943796396589E-2</v>
      </c>
      <c r="Y898" s="23">
        <f t="shared" si="168"/>
        <v>4.2982618585321708E-2</v>
      </c>
      <c r="Z898" s="22">
        <f t="shared" si="169"/>
        <v>3.5131846474607542E-3</v>
      </c>
      <c r="AA898" s="33"/>
      <c r="AB898" s="50">
        <f t="shared" si="165"/>
        <v>885</v>
      </c>
      <c r="AC898" s="48">
        <f t="shared" si="160"/>
        <v>0.15189263517531187</v>
      </c>
      <c r="AE898" s="48">
        <f t="shared" si="166"/>
        <v>0.99783815175400514</v>
      </c>
      <c r="AF898" s="48">
        <f t="shared" si="170"/>
        <v>0.15189263517531237</v>
      </c>
      <c r="AH898" s="48">
        <f t="shared" si="171"/>
        <v>4.9960036108132044E-16</v>
      </c>
    </row>
    <row r="899" spans="4:34" ht="13.9" customHeight="1">
      <c r="D899" s="8"/>
      <c r="E899" s="9"/>
      <c r="F899" s="18"/>
      <c r="G899" s="18"/>
      <c r="H899" s="18"/>
      <c r="J899" s="40"/>
      <c r="K899" s="40"/>
      <c r="L899" s="40"/>
      <c r="M899" s="38"/>
      <c r="O899" s="12">
        <f t="shared" si="161"/>
        <v>73.833333333333329</v>
      </c>
      <c r="P899" s="13">
        <v>886</v>
      </c>
      <c r="Q899" s="21">
        <v>2.5883422679878976E-2</v>
      </c>
      <c r="R899" s="18">
        <f t="shared" si="162"/>
        <v>2.6313067880101126E-2</v>
      </c>
      <c r="S899" s="21">
        <v>3.7076660458360333E-2</v>
      </c>
      <c r="T899" s="18">
        <f t="shared" si="163"/>
        <v>4.2984091417482384E-2</v>
      </c>
      <c r="U899" s="23">
        <v>3.8715491196771756E-2</v>
      </c>
      <c r="V899" s="23">
        <f t="shared" si="164"/>
        <v>4.2982404788383333E-2</v>
      </c>
      <c r="W899" s="22">
        <f t="shared" si="167"/>
        <v>3.513167518345961E-3</v>
      </c>
      <c r="X899" s="23">
        <v>3.8387124975095777E-2</v>
      </c>
      <c r="Y899" s="23">
        <f t="shared" si="168"/>
        <v>4.2982801346235E-2</v>
      </c>
      <c r="Z899" s="22">
        <f t="shared" si="169"/>
        <v>3.513199456941507E-3</v>
      </c>
      <c r="AA899" s="33"/>
      <c r="AB899" s="50">
        <f t="shared" si="165"/>
        <v>886</v>
      </c>
      <c r="AC899" s="48">
        <f t="shared" si="160"/>
        <v>0.15156425002750903</v>
      </c>
      <c r="AE899" s="48">
        <f t="shared" si="166"/>
        <v>0.99783804430395884</v>
      </c>
      <c r="AF899" s="48">
        <f t="shared" si="170"/>
        <v>0.1515642500275084</v>
      </c>
      <c r="AH899" s="48">
        <f t="shared" si="171"/>
        <v>-6.3837823915946501E-16</v>
      </c>
    </row>
    <row r="900" spans="4:34" ht="13.9" customHeight="1">
      <c r="D900" s="8"/>
      <c r="E900" s="9"/>
      <c r="F900" s="18"/>
      <c r="G900" s="18"/>
      <c r="H900" s="18"/>
      <c r="J900" s="40"/>
      <c r="K900" s="40"/>
      <c r="L900" s="40"/>
      <c r="M900" s="38"/>
      <c r="O900" s="12">
        <f t="shared" si="161"/>
        <v>73.916666666666671</v>
      </c>
      <c r="P900" s="13">
        <v>887</v>
      </c>
      <c r="Q900" s="21">
        <v>2.5883906958749314E-2</v>
      </c>
      <c r="R900" s="18">
        <f t="shared" si="162"/>
        <v>2.631437208949583E-2</v>
      </c>
      <c r="S900" s="21">
        <v>3.7083301595212559E-2</v>
      </c>
      <c r="T900" s="18">
        <f t="shared" si="163"/>
        <v>4.298426606211736E-2</v>
      </c>
      <c r="U900" s="23">
        <v>3.8720291854477118E-2</v>
      </c>
      <c r="V900" s="23">
        <f t="shared" si="164"/>
        <v>4.2982587413757933E-2</v>
      </c>
      <c r="W900" s="22">
        <f t="shared" si="167"/>
        <v>3.5131823147518393E-3</v>
      </c>
      <c r="X900" s="23">
        <v>3.839229470221972E-2</v>
      </c>
      <c r="Y900" s="23">
        <f t="shared" si="168"/>
        <v>4.2982982185544749E-2</v>
      </c>
      <c r="Z900" s="22">
        <f t="shared" si="169"/>
        <v>3.5132141106672954E-3</v>
      </c>
      <c r="AA900" s="33"/>
      <c r="AB900" s="50">
        <f t="shared" si="165"/>
        <v>887</v>
      </c>
      <c r="AC900" s="48">
        <f t="shared" si="160"/>
        <v>0.15123655868382765</v>
      </c>
      <c r="AE900" s="48">
        <f t="shared" si="166"/>
        <v>0.99783793774837393</v>
      </c>
      <c r="AF900" s="48">
        <f t="shared" si="170"/>
        <v>0.1512365586838279</v>
      </c>
      <c r="AH900" s="48">
        <f t="shared" si="171"/>
        <v>2.4980018054066022E-16</v>
      </c>
    </row>
    <row r="901" spans="4:34" ht="13.9" customHeight="1">
      <c r="D901" s="8"/>
      <c r="E901" s="9"/>
      <c r="F901" s="18"/>
      <c r="G901" s="18"/>
      <c r="H901" s="18"/>
      <c r="J901" s="40"/>
      <c r="K901" s="40"/>
      <c r="L901" s="40"/>
      <c r="M901" s="38"/>
      <c r="O901" s="12">
        <f t="shared" si="161"/>
        <v>74</v>
      </c>
      <c r="P901" s="13">
        <v>888</v>
      </c>
      <c r="Q901" s="21">
        <v>2.588439161521916E-2</v>
      </c>
      <c r="R901" s="18">
        <f t="shared" si="162"/>
        <v>2.6315665444905045E-2</v>
      </c>
      <c r="S901" s="21">
        <v>3.7089928012494111E-2</v>
      </c>
      <c r="T901" s="18">
        <f t="shared" si="163"/>
        <v>4.2984438788893797E-2</v>
      </c>
      <c r="U901" s="23">
        <v>3.8725081926822336E-2</v>
      </c>
      <c r="V901" s="23">
        <f t="shared" si="164"/>
        <v>4.298276814264379E-2</v>
      </c>
      <c r="W901" s="22">
        <f t="shared" si="167"/>
        <v>3.5131969576127631E-3</v>
      </c>
      <c r="X901" s="23">
        <v>3.8397453014217708E-2</v>
      </c>
      <c r="Y901" s="23">
        <f t="shared" si="168"/>
        <v>4.2983161122674085E-2</v>
      </c>
      <c r="Z901" s="22">
        <f t="shared" si="169"/>
        <v>3.5132286103167765E-3</v>
      </c>
      <c r="AA901" s="33"/>
      <c r="AB901" s="50">
        <f t="shared" si="165"/>
        <v>888</v>
      </c>
      <c r="AC901" s="48">
        <f t="shared" si="160"/>
        <v>0.15090955984827695</v>
      </c>
      <c r="AE901" s="48">
        <f t="shared" si="166"/>
        <v>0.99783783207977916</v>
      </c>
      <c r="AF901" s="48">
        <f t="shared" si="170"/>
        <v>0.15090955984827714</v>
      </c>
      <c r="AH901" s="48">
        <f t="shared" si="171"/>
        <v>0</v>
      </c>
    </row>
    <row r="902" spans="4:34" ht="13.9" customHeight="1">
      <c r="D902" s="8"/>
      <c r="E902" s="9"/>
      <c r="F902" s="18"/>
      <c r="G902" s="18"/>
      <c r="H902" s="18"/>
      <c r="J902" s="40"/>
      <c r="K902" s="40"/>
      <c r="L902" s="40"/>
      <c r="M902" s="38"/>
      <c r="O902" s="12">
        <f t="shared" si="161"/>
        <v>74.083333333333329</v>
      </c>
      <c r="P902" s="13">
        <v>889</v>
      </c>
      <c r="Q902" s="21">
        <v>2.5884876635809517E-2</v>
      </c>
      <c r="R902" s="18">
        <f t="shared" si="162"/>
        <v>2.6316948036258614E-2</v>
      </c>
      <c r="S902" s="21">
        <v>3.7096539757593305E-2</v>
      </c>
      <c r="T902" s="18">
        <f t="shared" si="163"/>
        <v>4.2984609619819869E-2</v>
      </c>
      <c r="U902" s="23">
        <v>3.8729861447332592E-2</v>
      </c>
      <c r="V902" s="23">
        <f t="shared" si="164"/>
        <v>4.298294699597216E-2</v>
      </c>
      <c r="W902" s="22">
        <f t="shared" si="167"/>
        <v>3.5132114484115462E-3</v>
      </c>
      <c r="X902" s="23">
        <v>3.8402599947397587E-2</v>
      </c>
      <c r="Y902" s="23">
        <f t="shared" si="168"/>
        <v>4.2983338178807617E-2</v>
      </c>
      <c r="Z902" s="22">
        <f t="shared" si="169"/>
        <v>3.5132429574478152E-3</v>
      </c>
      <c r="AA902" s="33"/>
      <c r="AB902" s="50">
        <f t="shared" si="165"/>
        <v>889</v>
      </c>
      <c r="AC902" s="48">
        <f t="shared" si="160"/>
        <v>0.15058325222544999</v>
      </c>
      <c r="AE902" s="48">
        <f t="shared" si="166"/>
        <v>0.99783772729073072</v>
      </c>
      <c r="AF902" s="48">
        <f t="shared" si="170"/>
        <v>0.15058325222544938</v>
      </c>
      <c r="AH902" s="48">
        <f t="shared" si="171"/>
        <v>-6.106226635438361E-16</v>
      </c>
    </row>
    <row r="903" spans="4:34" ht="13.9" customHeight="1">
      <c r="D903" s="8"/>
      <c r="E903" s="9"/>
      <c r="F903" s="18"/>
      <c r="G903" s="18"/>
      <c r="H903" s="18"/>
      <c r="J903" s="40"/>
      <c r="K903" s="40"/>
      <c r="L903" s="40"/>
      <c r="M903" s="38"/>
      <c r="O903" s="12">
        <f t="shared" si="161"/>
        <v>74.166666666666671</v>
      </c>
      <c r="P903" s="13">
        <v>890</v>
      </c>
      <c r="Q903" s="21">
        <v>2.5885362007203483E-2</v>
      </c>
      <c r="R903" s="18">
        <f t="shared" si="162"/>
        <v>2.6318219954155175E-2</v>
      </c>
      <c r="S903" s="21">
        <v>3.7103136877710607E-2</v>
      </c>
      <c r="T903" s="18">
        <f t="shared" si="163"/>
        <v>4.2984778574660432E-2</v>
      </c>
      <c r="U903" s="23">
        <v>3.8734630449405616E-2</v>
      </c>
      <c r="V903" s="23">
        <f t="shared" si="164"/>
        <v>4.298312399261639E-2</v>
      </c>
      <c r="W903" s="22">
        <f t="shared" si="167"/>
        <v>3.5132257888261798E-3</v>
      </c>
      <c r="X903" s="23">
        <v>3.8407735537927534E-2</v>
      </c>
      <c r="Y903" s="23">
        <f t="shared" si="168"/>
        <v>4.298351337242412E-2</v>
      </c>
      <c r="Z903" s="22">
        <f t="shared" si="169"/>
        <v>3.5132571537590529E-3</v>
      </c>
      <c r="AA903" s="33"/>
      <c r="AB903" s="50">
        <f t="shared" si="165"/>
        <v>890</v>
      </c>
      <c r="AC903" s="48">
        <f t="shared" si="160"/>
        <v>0.15025763452056023</v>
      </c>
      <c r="AE903" s="48">
        <f t="shared" si="166"/>
        <v>0.99783762337393911</v>
      </c>
      <c r="AF903" s="48">
        <f t="shared" si="170"/>
        <v>0.15025763452056085</v>
      </c>
      <c r="AH903" s="48">
        <f t="shared" si="171"/>
        <v>6.106226635438361E-16</v>
      </c>
    </row>
    <row r="904" spans="4:34" ht="13.9" customHeight="1">
      <c r="D904" s="8"/>
      <c r="E904" s="9"/>
      <c r="F904" s="18"/>
      <c r="G904" s="18"/>
      <c r="H904" s="18"/>
      <c r="J904" s="40"/>
      <c r="K904" s="40"/>
      <c r="L904" s="40"/>
      <c r="M904" s="38"/>
      <c r="O904" s="12">
        <f t="shared" si="161"/>
        <v>74.25</v>
      </c>
      <c r="P904" s="13">
        <v>891</v>
      </c>
      <c r="Q904" s="21">
        <v>2.5885847716244914E-2</v>
      </c>
      <c r="R904" s="18">
        <f t="shared" si="162"/>
        <v>2.6319481286880331E-2</v>
      </c>
      <c r="S904" s="21">
        <v>3.7109719419857301E-2</v>
      </c>
      <c r="T904" s="18">
        <f t="shared" si="163"/>
        <v>4.2984945674870989E-2</v>
      </c>
      <c r="U904" s="23">
        <v>3.8739388966310795E-2</v>
      </c>
      <c r="V904" s="23">
        <f t="shared" si="164"/>
        <v>4.2983299151936105E-2</v>
      </c>
      <c r="W904" s="22">
        <f t="shared" si="167"/>
        <v>3.5132399803698977E-3</v>
      </c>
      <c r="X904" s="23">
        <v>3.8412859821834733E-2</v>
      </c>
      <c r="Y904" s="23">
        <f t="shared" si="168"/>
        <v>4.2983686723679471E-2</v>
      </c>
      <c r="Z904" s="22">
        <f t="shared" si="169"/>
        <v>3.513271200731749E-3</v>
      </c>
      <c r="AA904" s="33"/>
      <c r="AB904" s="50">
        <f t="shared" si="165"/>
        <v>891</v>
      </c>
      <c r="AC904" s="48">
        <f t="shared" si="160"/>
        <v>0.14993270543945411</v>
      </c>
      <c r="AE904" s="48">
        <f t="shared" si="166"/>
        <v>0.99783752032206008</v>
      </c>
      <c r="AF904" s="48">
        <f t="shared" si="170"/>
        <v>0.14993270543945481</v>
      </c>
      <c r="AH904" s="48">
        <f t="shared" si="171"/>
        <v>6.9388939039072284E-16</v>
      </c>
    </row>
    <row r="905" spans="4:34" ht="13.9" customHeight="1">
      <c r="D905" s="8"/>
      <c r="E905" s="9"/>
      <c r="F905" s="18"/>
      <c r="G905" s="18"/>
      <c r="H905" s="18"/>
      <c r="J905" s="40"/>
      <c r="K905" s="40"/>
      <c r="L905" s="40"/>
      <c r="M905" s="38"/>
      <c r="O905" s="12">
        <f t="shared" si="161"/>
        <v>74.333333333333329</v>
      </c>
      <c r="P905" s="13">
        <v>892</v>
      </c>
      <c r="Q905" s="21">
        <v>2.5886333749935986E-2</v>
      </c>
      <c r="R905" s="18">
        <f t="shared" si="162"/>
        <v>2.6320732123202628E-2</v>
      </c>
      <c r="S905" s="21">
        <v>3.7116287430858153E-2</v>
      </c>
      <c r="T905" s="18">
        <f t="shared" si="163"/>
        <v>4.2985110940595206E-2</v>
      </c>
      <c r="U905" s="23">
        <v>3.8744137031190284E-2</v>
      </c>
      <c r="V905" s="23">
        <f t="shared" si="164"/>
        <v>4.2983472492752028E-2</v>
      </c>
      <c r="W905" s="22">
        <f t="shared" si="167"/>
        <v>3.513254024595458E-3</v>
      </c>
      <c r="X905" s="23">
        <v>3.8417972835007586E-2</v>
      </c>
      <c r="Y905" s="23">
        <f t="shared" si="168"/>
        <v>4.2983858252521934E-2</v>
      </c>
      <c r="Z905" s="22">
        <f t="shared" si="169"/>
        <v>3.5132850999826104E-3</v>
      </c>
      <c r="AA905" s="33"/>
      <c r="AB905" s="50">
        <f t="shared" si="165"/>
        <v>892</v>
      </c>
      <c r="AC905" s="48">
        <f t="shared" si="160"/>
        <v>0.14960846368864186</v>
      </c>
      <c r="AE905" s="48">
        <f t="shared" si="166"/>
        <v>0.99783741812793747</v>
      </c>
      <c r="AF905" s="48">
        <f t="shared" si="170"/>
        <v>0.14960846368864214</v>
      </c>
      <c r="AH905" s="48">
        <f t="shared" si="171"/>
        <v>2.7755575615628914E-16</v>
      </c>
    </row>
    <row r="906" spans="4:34" ht="13.9" customHeight="1">
      <c r="D906" s="8"/>
      <c r="E906" s="9"/>
      <c r="F906" s="18"/>
      <c r="G906" s="18"/>
      <c r="H906" s="18"/>
      <c r="J906" s="40"/>
      <c r="K906" s="40"/>
      <c r="L906" s="40"/>
      <c r="M906" s="38"/>
      <c r="O906" s="12">
        <f t="shared" si="161"/>
        <v>74.416666666666671</v>
      </c>
      <c r="P906" s="13">
        <v>893</v>
      </c>
      <c r="Q906" s="21">
        <v>2.5886820095436525E-2</v>
      </c>
      <c r="R906" s="18">
        <f t="shared" si="162"/>
        <v>2.6321972550681805E-2</v>
      </c>
      <c r="S906" s="21">
        <v>3.7122840957351189E-2</v>
      </c>
      <c r="T906" s="18">
        <f t="shared" si="163"/>
        <v>4.2985274391240669E-2</v>
      </c>
      <c r="U906" s="23">
        <v>3.8748874677059009E-2</v>
      </c>
      <c r="V906" s="23">
        <f t="shared" si="164"/>
        <v>4.2983644034586099E-2</v>
      </c>
      <c r="W906" s="22">
        <f t="shared" si="167"/>
        <v>3.5132679230118757E-3</v>
      </c>
      <c r="X906" s="23">
        <v>3.842307461319594E-2</v>
      </c>
      <c r="Y906" s="23">
        <f t="shared" si="168"/>
        <v>4.2984027977180039E-2</v>
      </c>
      <c r="Z906" s="22">
        <f t="shared" si="169"/>
        <v>3.5132988531105802E-3</v>
      </c>
      <c r="AA906" s="33"/>
      <c r="AB906" s="50">
        <f t="shared" si="165"/>
        <v>893</v>
      </c>
      <c r="AC906" s="48">
        <f t="shared" si="160"/>
        <v>0.14928490797530683</v>
      </c>
      <c r="AE906" s="48">
        <f t="shared" si="166"/>
        <v>0.99783731678437548</v>
      </c>
      <c r="AF906" s="48">
        <f t="shared" si="170"/>
        <v>0.14928490797530736</v>
      </c>
      <c r="AH906" s="48">
        <f t="shared" si="171"/>
        <v>5.2735593669694936E-16</v>
      </c>
    </row>
    <row r="907" spans="4:34" ht="13.9" customHeight="1">
      <c r="D907" s="8"/>
      <c r="E907" s="9"/>
      <c r="F907" s="18"/>
      <c r="G907" s="18"/>
      <c r="H907" s="18"/>
      <c r="J907" s="40"/>
      <c r="K907" s="40"/>
      <c r="L907" s="40"/>
      <c r="M907" s="38"/>
      <c r="O907" s="12">
        <f t="shared" si="161"/>
        <v>74.5</v>
      </c>
      <c r="P907" s="13">
        <v>894</v>
      </c>
      <c r="Q907" s="21">
        <v>2.5887306740061566E-2</v>
      </c>
      <c r="R907" s="18">
        <f t="shared" si="162"/>
        <v>2.6323202656327815E-2</v>
      </c>
      <c r="S907" s="21">
        <v>3.7129380045788363E-2</v>
      </c>
      <c r="T907" s="18">
        <f t="shared" si="163"/>
        <v>4.2985436048003978E-2</v>
      </c>
      <c r="U907" s="23">
        <v>3.8753601936805993E-2</v>
      </c>
      <c r="V907" s="23">
        <f t="shared" si="164"/>
        <v>4.2983813795516523E-2</v>
      </c>
      <c r="W907" s="22">
        <f t="shared" si="167"/>
        <v>3.5132816771841213E-3</v>
      </c>
      <c r="X907" s="23">
        <v>3.8428165192010866E-2</v>
      </c>
      <c r="Y907" s="23">
        <f t="shared" si="168"/>
        <v>4.2984195917233681E-2</v>
      </c>
      <c r="Z907" s="22">
        <f t="shared" si="169"/>
        <v>3.5133124615778222E-3</v>
      </c>
      <c r="AA907" s="33"/>
      <c r="AB907" s="50">
        <f t="shared" si="165"/>
        <v>894</v>
      </c>
      <c r="AC907" s="48">
        <f t="shared" si="160"/>
        <v>0.14896203700733454</v>
      </c>
      <c r="AE907" s="48">
        <f t="shared" si="166"/>
        <v>0.99783721628427691</v>
      </c>
      <c r="AF907" s="48">
        <f t="shared" si="170"/>
        <v>0.14896203700733515</v>
      </c>
      <c r="AH907" s="48">
        <f t="shared" si="171"/>
        <v>6.106226635438361E-16</v>
      </c>
    </row>
    <row r="908" spans="4:34" ht="13.9" customHeight="1">
      <c r="D908" s="8"/>
      <c r="E908" s="9"/>
      <c r="F908" s="18"/>
      <c r="G908" s="18"/>
      <c r="H908" s="18"/>
      <c r="J908" s="40"/>
      <c r="K908" s="40"/>
      <c r="L908" s="40"/>
      <c r="M908" s="38"/>
      <c r="O908" s="12">
        <f t="shared" si="161"/>
        <v>74.583333333333329</v>
      </c>
      <c r="P908" s="13">
        <v>895</v>
      </c>
      <c r="Q908" s="21">
        <v>2.5887793671280024E-2</v>
      </c>
      <c r="R908" s="18">
        <f t="shared" si="162"/>
        <v>2.6324422525845659E-2</v>
      </c>
      <c r="S908" s="21">
        <v>3.7135904742437331E-2</v>
      </c>
      <c r="T908" s="18">
        <f t="shared" si="163"/>
        <v>4.298559592982909E-2</v>
      </c>
      <c r="U908" s="23">
        <v>3.8758318843193917E-2</v>
      </c>
      <c r="V908" s="23">
        <f t="shared" si="164"/>
        <v>4.2983981794627146E-2</v>
      </c>
      <c r="W908" s="22">
        <f t="shared" si="167"/>
        <v>3.513295288562146E-3</v>
      </c>
      <c r="X908" s="23">
        <v>3.8433244606925987E-2</v>
      </c>
      <c r="Y908" s="23">
        <f t="shared" si="168"/>
        <v>4.2984362091168071E-2</v>
      </c>
      <c r="Z908" s="22">
        <f t="shared" si="169"/>
        <v>3.5133259269539696E-3</v>
      </c>
      <c r="AA908" s="33"/>
      <c r="AB908" s="50">
        <f t="shared" si="165"/>
        <v>895</v>
      </c>
      <c r="AC908" s="48">
        <f t="shared" si="160"/>
        <v>0.14863984949332901</v>
      </c>
      <c r="AE908" s="48">
        <f t="shared" si="166"/>
        <v>0.99783711662058872</v>
      </c>
      <c r="AF908" s="48">
        <f t="shared" si="170"/>
        <v>0.14863984949332873</v>
      </c>
      <c r="AH908" s="48">
        <f t="shared" si="171"/>
        <v>-2.7755575615628914E-16</v>
      </c>
    </row>
    <row r="909" spans="4:34" ht="13.9" customHeight="1">
      <c r="D909" s="8"/>
      <c r="E909" s="9"/>
      <c r="F909" s="18"/>
      <c r="G909" s="18"/>
      <c r="H909" s="18"/>
      <c r="J909" s="40"/>
      <c r="K909" s="40"/>
      <c r="L909" s="40"/>
      <c r="M909" s="38"/>
      <c r="O909" s="12">
        <f t="shared" si="161"/>
        <v>74.666666666666671</v>
      </c>
      <c r="P909" s="13">
        <v>896</v>
      </c>
      <c r="Q909" s="21">
        <v>2.5888280876712688E-2</v>
      </c>
      <c r="R909" s="18">
        <f t="shared" si="162"/>
        <v>2.6325632244719621E-2</v>
      </c>
      <c r="S909" s="21">
        <v>3.7142415093381453E-2</v>
      </c>
      <c r="T909" s="18">
        <f t="shared" si="163"/>
        <v>4.2985754055937964E-2</v>
      </c>
      <c r="U909" s="23">
        <v>3.8763025428860676E-2</v>
      </c>
      <c r="V909" s="23">
        <f t="shared" si="164"/>
        <v>4.2984148049410864E-2</v>
      </c>
      <c r="W909" s="22">
        <f t="shared" si="167"/>
        <v>3.5133087586760592E-3</v>
      </c>
      <c r="X909" s="23">
        <v>3.8438312893277482E-2</v>
      </c>
      <c r="Y909" s="23">
        <f t="shared" si="168"/>
        <v>4.2984526517607202E-2</v>
      </c>
      <c r="Z909" s="22">
        <f t="shared" si="169"/>
        <v>3.5133392507211703E-3</v>
      </c>
      <c r="AA909" s="33"/>
      <c r="AB909" s="50">
        <f t="shared" si="165"/>
        <v>896</v>
      </c>
      <c r="AC909" s="48">
        <f t="shared" ref="AC909:AC972" si="172">1/(1+Q909)^(P909/12)</f>
        <v>0.14831834414263678</v>
      </c>
      <c r="AE909" s="48">
        <f t="shared" si="166"/>
        <v>0.99783701778636391</v>
      </c>
      <c r="AF909" s="48">
        <f t="shared" si="170"/>
        <v>0.14831834414263712</v>
      </c>
      <c r="AH909" s="48">
        <f t="shared" si="171"/>
        <v>3.3306690738754696E-16</v>
      </c>
    </row>
    <row r="910" spans="4:34" ht="13.9" customHeight="1">
      <c r="D910" s="8"/>
      <c r="E910" s="9"/>
      <c r="F910" s="18"/>
      <c r="G910" s="18"/>
      <c r="H910" s="18"/>
      <c r="J910" s="40"/>
      <c r="K910" s="40"/>
      <c r="L910" s="40"/>
      <c r="M910" s="38"/>
      <c r="O910" s="12">
        <f t="shared" ref="O910:O973" si="173">P910/12</f>
        <v>74.75</v>
      </c>
      <c r="P910" s="13">
        <v>897</v>
      </c>
      <c r="Q910" s="21">
        <v>2.5888768344130453E-2</v>
      </c>
      <c r="R910" s="18">
        <f t="shared" ref="R910:R973" si="174">(1+Q911)^P911/(1+Q910)^P910-1</f>
        <v>2.6326831897946379E-2</v>
      </c>
      <c r="S910" s="21">
        <v>3.7148911144520236E-2</v>
      </c>
      <c r="T910" s="18">
        <f t="shared" ref="T910:T973" si="175">(1+S911)^P911/(1+S910)^P910-1</f>
        <v>4.2985910446418973E-2</v>
      </c>
      <c r="U910" s="23">
        <v>3.8767721726318261E-2</v>
      </c>
      <c r="V910" s="23">
        <f t="shared" ref="V910:V973" si="176">(1+U911)^P911/(1+U910)^P910-1</f>
        <v>4.2984312578697725E-2</v>
      </c>
      <c r="W910" s="22">
        <f t="shared" si="167"/>
        <v>3.5133220889285166E-3</v>
      </c>
      <c r="X910" s="23">
        <v>3.8443370086265194E-2</v>
      </c>
      <c r="Y910" s="23">
        <f t="shared" si="168"/>
        <v>4.2984689215245009E-2</v>
      </c>
      <c r="Z910" s="22">
        <f t="shared" si="169"/>
        <v>3.5133524343731182E-3</v>
      </c>
      <c r="AA910" s="33"/>
      <c r="AB910" s="50">
        <f t="shared" ref="AB910:AB973" si="177">+P910</f>
        <v>897</v>
      </c>
      <c r="AC910" s="48">
        <f t="shared" si="172"/>
        <v>0.14799751966536814</v>
      </c>
      <c r="AE910" s="48">
        <f t="shared" ref="AE910:AE973" si="178">1/(1+R909)^(1/12)</f>
        <v>0.99783691977467315</v>
      </c>
      <c r="AF910" s="48">
        <f t="shared" si="170"/>
        <v>0.14799751966536895</v>
      </c>
      <c r="AH910" s="48">
        <f t="shared" si="171"/>
        <v>8.0491169285323849E-16</v>
      </c>
    </row>
    <row r="911" spans="4:34" ht="13.9" customHeight="1">
      <c r="D911" s="8"/>
      <c r="E911" s="9"/>
      <c r="F911" s="18"/>
      <c r="G911" s="18"/>
      <c r="H911" s="18"/>
      <c r="J911" s="40"/>
      <c r="K911" s="40"/>
      <c r="L911" s="40"/>
      <c r="M911" s="38"/>
      <c r="O911" s="12">
        <f t="shared" si="173"/>
        <v>74.833333333333329</v>
      </c>
      <c r="P911" s="13">
        <v>898</v>
      </c>
      <c r="Q911" s="21">
        <v>2.5889256061453425E-2</v>
      </c>
      <c r="R911" s="18">
        <f t="shared" si="174"/>
        <v>2.6328021569567595E-2</v>
      </c>
      <c r="S911" s="21">
        <v>3.715539294157133E-2</v>
      </c>
      <c r="T911" s="18">
        <f t="shared" si="175"/>
        <v>4.2986065119598793E-2</v>
      </c>
      <c r="U911" s="23">
        <v>3.8772407767954764E-2</v>
      </c>
      <c r="V911" s="23">
        <f t="shared" si="176"/>
        <v>4.2984475399837407E-2</v>
      </c>
      <c r="W911" s="22">
        <f t="shared" ref="W911:W974" si="179">(1+V910)^(1/12)-1</f>
        <v>3.5133352808291995E-3</v>
      </c>
      <c r="X911" s="23">
        <v>3.8448416220952852E-2</v>
      </c>
      <c r="Y911" s="23">
        <f t="shared" ref="Y911:Y974" si="180">(1+X912)^P912/(1+X911)^P911-1</f>
        <v>4.2984850201624347E-2</v>
      </c>
      <c r="Z911" s="22">
        <f t="shared" ref="Z911:Z974" si="181">(1+Y910)^(1/12)-1</f>
        <v>3.5133654794086144E-3</v>
      </c>
      <c r="AA911" s="33"/>
      <c r="AB911" s="50">
        <f t="shared" si="177"/>
        <v>898</v>
      </c>
      <c r="AC911" s="48">
        <f t="shared" si="172"/>
        <v>0.14767737477240897</v>
      </c>
      <c r="AE911" s="48">
        <f t="shared" si="178"/>
        <v>0.99783682257862683</v>
      </c>
      <c r="AF911" s="48">
        <f t="shared" ref="AF911:AF974" si="182">+AF910*AE911</f>
        <v>0.14767737477240958</v>
      </c>
      <c r="AH911" s="48">
        <f t="shared" ref="AH911:AH974" si="183">+AF911-AC911</f>
        <v>6.106226635438361E-16</v>
      </c>
    </row>
    <row r="912" spans="4:34" ht="13.9" customHeight="1">
      <c r="D912" s="8"/>
      <c r="E912" s="9"/>
      <c r="F912" s="18"/>
      <c r="G912" s="18"/>
      <c r="H912" s="18"/>
      <c r="J912" s="40"/>
      <c r="K912" s="40"/>
      <c r="L912" s="40"/>
      <c r="M912" s="38"/>
      <c r="O912" s="12">
        <f t="shared" si="173"/>
        <v>74.916666666666671</v>
      </c>
      <c r="P912" s="13">
        <v>899</v>
      </c>
      <c r="Q912" s="21">
        <v>2.5889744016748928E-2</v>
      </c>
      <c r="R912" s="18">
        <f t="shared" si="174"/>
        <v>2.6329201342143893E-2</v>
      </c>
      <c r="S912" s="21">
        <v>3.716186053007009E-2</v>
      </c>
      <c r="T912" s="18">
        <f t="shared" si="175"/>
        <v>4.2986218094605233E-2</v>
      </c>
      <c r="U912" s="23">
        <v>3.8777083586034156E-2</v>
      </c>
      <c r="V912" s="23">
        <f t="shared" si="176"/>
        <v>4.2984636531339326E-2</v>
      </c>
      <c r="W912" s="22">
        <f t="shared" si="179"/>
        <v>3.5133483357692175E-3</v>
      </c>
      <c r="X912" s="23">
        <v>3.8453451332268296E-2</v>
      </c>
      <c r="Y912" s="23">
        <f t="shared" si="180"/>
        <v>4.2985009495528193E-2</v>
      </c>
      <c r="Z912" s="22">
        <f t="shared" si="181"/>
        <v>3.5133783872338675E-3</v>
      </c>
      <c r="AA912" s="33"/>
      <c r="AB912" s="50">
        <f t="shared" si="177"/>
        <v>899</v>
      </c>
      <c r="AC912" s="48">
        <f t="shared" si="172"/>
        <v>0.147357908175444</v>
      </c>
      <c r="AE912" s="48">
        <f t="shared" si="178"/>
        <v>0.99783672619141317</v>
      </c>
      <c r="AF912" s="48">
        <f t="shared" si="182"/>
        <v>0.14735790817544356</v>
      </c>
      <c r="AH912" s="48">
        <f t="shared" si="183"/>
        <v>-4.4408920985006262E-16</v>
      </c>
    </row>
    <row r="913" spans="4:34" ht="13.9" customHeight="1">
      <c r="D913" s="8"/>
      <c r="E913" s="9"/>
      <c r="F913" s="18"/>
      <c r="G913" s="18"/>
      <c r="H913" s="18"/>
      <c r="J913" s="40"/>
      <c r="K913" s="40"/>
      <c r="L913" s="40"/>
      <c r="M913" s="38"/>
      <c r="O913" s="12">
        <f t="shared" si="173"/>
        <v>75</v>
      </c>
      <c r="P913" s="13">
        <v>900</v>
      </c>
      <c r="Q913" s="21">
        <v>2.5890232198229279E-2</v>
      </c>
      <c r="R913" s="18">
        <f t="shared" si="174"/>
        <v>2.6330371298876498E-2</v>
      </c>
      <c r="S913" s="21">
        <v>3.7168313955370902E-2</v>
      </c>
      <c r="T913" s="18">
        <f t="shared" si="175"/>
        <v>4.2986369390611623E-2</v>
      </c>
      <c r="U913" s="23">
        <v>3.8781749212697392E-2</v>
      </c>
      <c r="V913" s="23">
        <f t="shared" si="176"/>
        <v>4.2984795989846836E-2</v>
      </c>
      <c r="W913" s="22">
        <f t="shared" si="179"/>
        <v>3.5133612552329385E-3</v>
      </c>
      <c r="X913" s="23">
        <v>3.8458475455004804E-2</v>
      </c>
      <c r="Y913" s="23">
        <f t="shared" si="180"/>
        <v>4.2985167113843481E-2</v>
      </c>
      <c r="Z913" s="22">
        <f t="shared" si="181"/>
        <v>3.5133911593556721E-3</v>
      </c>
      <c r="AA913" s="33"/>
      <c r="AB913" s="50">
        <f t="shared" si="177"/>
        <v>900</v>
      </c>
      <c r="AC913" s="48">
        <f t="shared" si="172"/>
        <v>0.14703911858698276</v>
      </c>
      <c r="AE913" s="48">
        <f t="shared" si="178"/>
        <v>0.99783663060633954</v>
      </c>
      <c r="AF913" s="48">
        <f t="shared" si="182"/>
        <v>0.14703911858698299</v>
      </c>
      <c r="AH913" s="48">
        <f t="shared" si="183"/>
        <v>2.2204460492503131E-16</v>
      </c>
    </row>
    <row r="914" spans="4:34" ht="13.9" customHeight="1">
      <c r="D914" s="8"/>
      <c r="E914" s="9"/>
      <c r="F914" s="18"/>
      <c r="G914" s="18"/>
      <c r="H914" s="18"/>
      <c r="J914" s="40"/>
      <c r="K914" s="40"/>
      <c r="L914" s="40"/>
      <c r="M914" s="38"/>
      <c r="O914" s="12">
        <f t="shared" si="173"/>
        <v>75.083333333333329</v>
      </c>
      <c r="P914" s="13">
        <v>901</v>
      </c>
      <c r="Q914" s="21">
        <v>2.5890720594251126E-2</v>
      </c>
      <c r="R914" s="18">
        <f t="shared" si="174"/>
        <v>2.6331531521728291E-2</v>
      </c>
      <c r="S914" s="21">
        <v>3.7174753262648519E-2</v>
      </c>
      <c r="T914" s="18">
        <f t="shared" si="175"/>
        <v>4.2986519025313141E-2</v>
      </c>
      <c r="U914" s="23">
        <v>3.8786404679961528E-2</v>
      </c>
      <c r="V914" s="23">
        <f t="shared" si="176"/>
        <v>4.2984953793269831E-2</v>
      </c>
      <c r="W914" s="22">
        <f t="shared" si="179"/>
        <v>3.5133740405548508E-3</v>
      </c>
      <c r="X914" s="23">
        <v>3.8463488623820652E-2</v>
      </c>
      <c r="Y914" s="23">
        <f t="shared" si="180"/>
        <v>4.2985323075458659E-2</v>
      </c>
      <c r="Z914" s="22">
        <f t="shared" si="181"/>
        <v>3.5134037971273901E-3</v>
      </c>
      <c r="AA914" s="33"/>
      <c r="AB914" s="50">
        <f t="shared" si="177"/>
        <v>901</v>
      </c>
      <c r="AC914" s="48">
        <f t="shared" si="172"/>
        <v>0.14672100472037031</v>
      </c>
      <c r="AE914" s="48">
        <f t="shared" si="178"/>
        <v>0.99783653581666254</v>
      </c>
      <c r="AF914" s="48">
        <f t="shared" si="182"/>
        <v>0.14672100472037053</v>
      </c>
      <c r="AH914" s="48">
        <f t="shared" si="183"/>
        <v>2.2204460492503131E-16</v>
      </c>
    </row>
    <row r="915" spans="4:34" ht="13.9" customHeight="1">
      <c r="D915" s="8"/>
      <c r="E915" s="9"/>
      <c r="F915" s="18"/>
      <c r="G915" s="18"/>
      <c r="H915" s="18"/>
      <c r="J915" s="40"/>
      <c r="K915" s="40"/>
      <c r="L915" s="40"/>
      <c r="M915" s="38"/>
      <c r="O915" s="12">
        <f t="shared" si="173"/>
        <v>75.166666666666671</v>
      </c>
      <c r="P915" s="13">
        <v>902</v>
      </c>
      <c r="Q915" s="21">
        <v>2.5891209193313669E-2</v>
      </c>
      <c r="R915" s="18">
        <f t="shared" si="174"/>
        <v>2.6332682091420478E-2</v>
      </c>
      <c r="S915" s="21">
        <v>3.7181178496897616E-2</v>
      </c>
      <c r="T915" s="18">
        <f t="shared" si="175"/>
        <v>4.2986667016813973E-2</v>
      </c>
      <c r="U915" s="23">
        <v>3.8791050019721496E-2</v>
      </c>
      <c r="V915" s="23">
        <f t="shared" si="176"/>
        <v>4.2985109958808776E-2</v>
      </c>
      <c r="W915" s="22">
        <f t="shared" si="179"/>
        <v>3.5133866931709168E-3</v>
      </c>
      <c r="X915" s="23">
        <v>3.8468490873241112E-2</v>
      </c>
      <c r="Y915" s="23">
        <f t="shared" si="180"/>
        <v>4.2985477396228156E-2</v>
      </c>
      <c r="Z915" s="22">
        <f t="shared" si="181"/>
        <v>3.5134163020640319E-3</v>
      </c>
      <c r="AA915" s="33"/>
      <c r="AB915" s="50">
        <f t="shared" si="177"/>
        <v>902</v>
      </c>
      <c r="AC915" s="48">
        <f t="shared" si="172"/>
        <v>0.14640356528980414</v>
      </c>
      <c r="AE915" s="48">
        <f t="shared" si="178"/>
        <v>0.99783644181573827</v>
      </c>
      <c r="AF915" s="48">
        <f t="shared" si="182"/>
        <v>0.14640356528980467</v>
      </c>
      <c r="AH915" s="48">
        <f t="shared" si="183"/>
        <v>5.2735593669694936E-16</v>
      </c>
    </row>
    <row r="916" spans="4:34" ht="13.9" customHeight="1">
      <c r="D916" s="8"/>
      <c r="E916" s="9"/>
      <c r="F916" s="18"/>
      <c r="G916" s="18"/>
      <c r="H916" s="18"/>
      <c r="J916" s="40"/>
      <c r="K916" s="40"/>
      <c r="L916" s="40"/>
      <c r="M916" s="38"/>
      <c r="O916" s="12">
        <f t="shared" si="173"/>
        <v>75.25</v>
      </c>
      <c r="P916" s="13">
        <v>903</v>
      </c>
      <c r="Q916" s="21">
        <v>2.5891697984056439E-2</v>
      </c>
      <c r="R916" s="18">
        <f t="shared" si="174"/>
        <v>2.6333823088975583E-2</v>
      </c>
      <c r="S916" s="21">
        <v>3.7187589702933899E-2</v>
      </c>
      <c r="T916" s="18">
        <f t="shared" si="175"/>
        <v>4.2986813383842915E-2</v>
      </c>
      <c r="U916" s="23">
        <v>3.8795685263750546E-2</v>
      </c>
      <c r="V916" s="23">
        <f t="shared" si="176"/>
        <v>4.2985264502977572E-2</v>
      </c>
      <c r="W916" s="22">
        <f t="shared" si="179"/>
        <v>3.5133992144604775E-3</v>
      </c>
      <c r="X916" s="23">
        <v>3.8473482237656675E-2</v>
      </c>
      <c r="Y916" s="23">
        <f t="shared" si="180"/>
        <v>4.2985630094541039E-2</v>
      </c>
      <c r="Z916" s="22">
        <f t="shared" si="181"/>
        <v>3.5134286754365807E-3</v>
      </c>
      <c r="AA916" s="33"/>
      <c r="AB916" s="50">
        <f t="shared" si="177"/>
        <v>903</v>
      </c>
      <c r="AC916" s="48">
        <f t="shared" si="172"/>
        <v>0.14608679901036434</v>
      </c>
      <c r="AE916" s="48">
        <f t="shared" si="178"/>
        <v>0.99783634859702397</v>
      </c>
      <c r="AF916" s="48">
        <f t="shared" si="182"/>
        <v>0.1460867990103647</v>
      </c>
      <c r="AH916" s="48">
        <f t="shared" si="183"/>
        <v>3.6082248300317588E-16</v>
      </c>
    </row>
    <row r="917" spans="4:34" ht="13.9" customHeight="1">
      <c r="D917" s="8"/>
      <c r="E917" s="9"/>
      <c r="F917" s="18"/>
      <c r="G917" s="18"/>
      <c r="H917" s="18"/>
      <c r="J917" s="40"/>
      <c r="K917" s="40"/>
      <c r="L917" s="40"/>
      <c r="M917" s="38"/>
      <c r="O917" s="12">
        <f t="shared" si="173"/>
        <v>75.333333333333329</v>
      </c>
      <c r="P917" s="13">
        <v>904</v>
      </c>
      <c r="Q917" s="21">
        <v>2.5892186955258856E-2</v>
      </c>
      <c r="R917" s="18">
        <f t="shared" si="174"/>
        <v>2.6334954593578264E-2</v>
      </c>
      <c r="S917" s="21">
        <v>3.7193986925395883E-2</v>
      </c>
      <c r="T917" s="18">
        <f t="shared" si="175"/>
        <v>4.2986958144253018E-2</v>
      </c>
      <c r="U917" s="23">
        <v>3.8800310443699582E-2</v>
      </c>
      <c r="V917" s="23">
        <f t="shared" si="176"/>
        <v>4.298541744326867E-2</v>
      </c>
      <c r="W917" s="22">
        <f t="shared" si="179"/>
        <v>3.513411605747363E-3</v>
      </c>
      <c r="X917" s="23">
        <v>3.8478462751325937E-2</v>
      </c>
      <c r="Y917" s="23">
        <f t="shared" si="180"/>
        <v>4.29857811871448E-2</v>
      </c>
      <c r="Z917" s="22">
        <f t="shared" si="181"/>
        <v>3.5134409187196347E-3</v>
      </c>
      <c r="AA917" s="33"/>
      <c r="AB917" s="50">
        <f t="shared" si="177"/>
        <v>904</v>
      </c>
      <c r="AC917" s="48">
        <f t="shared" si="172"/>
        <v>0.14577070459801753</v>
      </c>
      <c r="AE917" s="48">
        <f t="shared" si="178"/>
        <v>0.99783625615395233</v>
      </c>
      <c r="AF917" s="48">
        <f t="shared" si="182"/>
        <v>0.14577070459801722</v>
      </c>
      <c r="AH917" s="48">
        <f t="shared" si="183"/>
        <v>-3.0531133177191805E-16</v>
      </c>
    </row>
    <row r="918" spans="4:34" ht="13.9" customHeight="1">
      <c r="D918" s="8"/>
      <c r="E918" s="9"/>
      <c r="F918" s="18"/>
      <c r="G918" s="18"/>
      <c r="H918" s="18"/>
      <c r="J918" s="40"/>
      <c r="K918" s="40"/>
      <c r="L918" s="40"/>
      <c r="M918" s="38"/>
      <c r="O918" s="12">
        <f t="shared" si="173"/>
        <v>75.416666666666671</v>
      </c>
      <c r="P918" s="13">
        <v>905</v>
      </c>
      <c r="Q918" s="21">
        <v>2.5892676095837563E-2</v>
      </c>
      <c r="R918" s="18">
        <f t="shared" si="174"/>
        <v>2.6336076684915E-2</v>
      </c>
      <c r="S918" s="21">
        <v>3.7200370208744893E-2</v>
      </c>
      <c r="T918" s="18">
        <f t="shared" si="175"/>
        <v>4.2987101314693632E-2</v>
      </c>
      <c r="U918" s="23">
        <v>3.8804925591098938E-2</v>
      </c>
      <c r="V918" s="23">
        <f t="shared" si="176"/>
        <v>4.2985568795972151E-2</v>
      </c>
      <c r="W918" s="22">
        <f t="shared" si="179"/>
        <v>3.513423868434451E-3</v>
      </c>
      <c r="X918" s="23">
        <v>3.8483432448375154E-2</v>
      </c>
      <c r="Y918" s="23">
        <f t="shared" si="180"/>
        <v>4.2985930691097796E-2</v>
      </c>
      <c r="Z918" s="22">
        <f t="shared" si="181"/>
        <v>3.5134530332561198E-3</v>
      </c>
      <c r="AA918" s="33"/>
      <c r="AB918" s="50">
        <f t="shared" si="177"/>
        <v>905</v>
      </c>
      <c r="AC918" s="48">
        <f t="shared" si="172"/>
        <v>0.14545528076964759</v>
      </c>
      <c r="AE918" s="48">
        <f t="shared" si="178"/>
        <v>0.99783616448010493</v>
      </c>
      <c r="AF918" s="48">
        <f t="shared" si="182"/>
        <v>0.14545528076964789</v>
      </c>
      <c r="AH918" s="48">
        <f t="shared" si="183"/>
        <v>3.0531133177191805E-16</v>
      </c>
    </row>
    <row r="919" spans="4:34" ht="13.9" customHeight="1">
      <c r="D919" s="8"/>
      <c r="E919" s="9"/>
      <c r="F919" s="18"/>
      <c r="G919" s="18"/>
      <c r="H919" s="18"/>
      <c r="J919" s="40"/>
      <c r="K919" s="40"/>
      <c r="L919" s="40"/>
      <c r="M919" s="38"/>
      <c r="O919" s="12">
        <f t="shared" si="173"/>
        <v>75.5</v>
      </c>
      <c r="P919" s="13">
        <v>906</v>
      </c>
      <c r="Q919" s="21">
        <v>2.5893165394845763E-2</v>
      </c>
      <c r="R919" s="18">
        <f t="shared" si="174"/>
        <v>2.6337189441462794E-2</v>
      </c>
      <c r="S919" s="21">
        <v>3.7206739597264837E-2</v>
      </c>
      <c r="T919" s="18">
        <f t="shared" si="175"/>
        <v>4.2987242913906432E-2</v>
      </c>
      <c r="U919" s="23">
        <v>3.8809530737358156E-2</v>
      </c>
      <c r="V919" s="23">
        <f t="shared" si="176"/>
        <v>4.2985718577524645E-2</v>
      </c>
      <c r="W919" s="22">
        <f t="shared" si="179"/>
        <v>3.5134360038278079E-3</v>
      </c>
      <c r="X919" s="23">
        <v>3.8488391362798469E-2</v>
      </c>
      <c r="Y919" s="23">
        <f t="shared" si="180"/>
        <v>4.2986078622608836E-2</v>
      </c>
      <c r="Z919" s="22">
        <f t="shared" si="181"/>
        <v>3.5134650204136086E-3</v>
      </c>
      <c r="AA919" s="33"/>
      <c r="AB919" s="50">
        <f t="shared" si="177"/>
        <v>906</v>
      </c>
      <c r="AC919" s="48">
        <f t="shared" si="172"/>
        <v>0.14514052624306484</v>
      </c>
      <c r="AE919" s="48">
        <f t="shared" si="178"/>
        <v>0.99783607356902293</v>
      </c>
      <c r="AF919" s="48">
        <f t="shared" si="182"/>
        <v>0.14514052624306525</v>
      </c>
      <c r="AH919" s="48">
        <f t="shared" si="183"/>
        <v>4.163336342344337E-16</v>
      </c>
    </row>
    <row r="920" spans="4:34" ht="13.9" customHeight="1">
      <c r="D920" s="8"/>
      <c r="E920" s="9"/>
      <c r="F920" s="18"/>
      <c r="G920" s="18"/>
      <c r="H920" s="18"/>
      <c r="J920" s="40"/>
      <c r="K920" s="40"/>
      <c r="L920" s="40"/>
      <c r="M920" s="38"/>
      <c r="O920" s="12">
        <f t="shared" si="173"/>
        <v>75.583333333333329</v>
      </c>
      <c r="P920" s="13">
        <v>907</v>
      </c>
      <c r="Q920" s="21">
        <v>2.5893654841471658E-2</v>
      </c>
      <c r="R920" s="18">
        <f t="shared" si="174"/>
        <v>2.6338292940950359E-2</v>
      </c>
      <c r="S920" s="21">
        <v>3.7213095135065322E-2</v>
      </c>
      <c r="T920" s="18">
        <f t="shared" si="175"/>
        <v>4.2987382958235232E-2</v>
      </c>
      <c r="U920" s="23">
        <v>3.8814125913766651E-2</v>
      </c>
      <c r="V920" s="23">
        <f t="shared" si="176"/>
        <v>4.2985866804327033E-2</v>
      </c>
      <c r="W920" s="22">
        <f t="shared" si="179"/>
        <v>3.5134480132454904E-3</v>
      </c>
      <c r="X920" s="23">
        <v>3.8493339528458792E-2</v>
      </c>
      <c r="Y920" s="23">
        <f t="shared" si="180"/>
        <v>4.2986224998661893E-2</v>
      </c>
      <c r="Z920" s="22">
        <f t="shared" si="181"/>
        <v>3.5134768814919504E-3</v>
      </c>
      <c r="AA920" s="33"/>
      <c r="AB920" s="50">
        <f t="shared" si="177"/>
        <v>907</v>
      </c>
      <c r="AC920" s="48">
        <f t="shared" si="172"/>
        <v>0.14482643973702378</v>
      </c>
      <c r="AE920" s="48">
        <f t="shared" si="178"/>
        <v>0.99783598341434576</v>
      </c>
      <c r="AF920" s="48">
        <f t="shared" si="182"/>
        <v>0.14482643973702466</v>
      </c>
      <c r="AH920" s="48">
        <f t="shared" si="183"/>
        <v>8.8817841970012523E-16</v>
      </c>
    </row>
    <row r="921" spans="4:34" ht="13.9" customHeight="1">
      <c r="D921" s="8"/>
      <c r="E921" s="9"/>
      <c r="F921" s="18"/>
      <c r="G921" s="18"/>
      <c r="H921" s="18"/>
      <c r="J921" s="40"/>
      <c r="K921" s="40"/>
      <c r="L921" s="40"/>
      <c r="M921" s="38"/>
      <c r="O921" s="12">
        <f t="shared" si="173"/>
        <v>75.666666666666671</v>
      </c>
      <c r="P921" s="13">
        <v>908</v>
      </c>
      <c r="Q921" s="21">
        <v>2.5894144425036458E-2</v>
      </c>
      <c r="R921" s="18">
        <f t="shared" si="174"/>
        <v>2.6339387260501557E-2</v>
      </c>
      <c r="S921" s="21">
        <v>3.7219436866080091E-2</v>
      </c>
      <c r="T921" s="18">
        <f t="shared" si="175"/>
        <v>4.2987521465025491E-2</v>
      </c>
      <c r="U921" s="23">
        <v>3.8818711151494156E-2</v>
      </c>
      <c r="V921" s="23">
        <f t="shared" si="176"/>
        <v>4.2986013492569031E-2</v>
      </c>
      <c r="W921" s="22">
        <f t="shared" si="179"/>
        <v>3.5134598980022247E-3</v>
      </c>
      <c r="X921" s="23">
        <v>3.8498276979088253E-2</v>
      </c>
      <c r="Y921" s="23">
        <f t="shared" si="180"/>
        <v>4.2986369835677385E-2</v>
      </c>
      <c r="Z921" s="22">
        <f t="shared" si="181"/>
        <v>3.5134886178529445E-3</v>
      </c>
      <c r="AA921" s="33"/>
      <c r="AB921" s="50">
        <f t="shared" si="177"/>
        <v>908</v>
      </c>
      <c r="AC921" s="48">
        <f t="shared" si="172"/>
        <v>0.14451301997124616</v>
      </c>
      <c r="AE921" s="48">
        <f t="shared" si="178"/>
        <v>0.99783589400977313</v>
      </c>
      <c r="AF921" s="48">
        <f t="shared" si="182"/>
        <v>0.14451301997124655</v>
      </c>
      <c r="AH921" s="48">
        <f t="shared" si="183"/>
        <v>3.8857805861880479E-16</v>
      </c>
    </row>
    <row r="922" spans="4:34" ht="13.9" customHeight="1">
      <c r="D922" s="8"/>
      <c r="E922" s="9"/>
      <c r="F922" s="18"/>
      <c r="G922" s="18"/>
      <c r="H922" s="18"/>
      <c r="J922" s="40"/>
      <c r="K922" s="40"/>
      <c r="L922" s="40"/>
      <c r="M922" s="38"/>
      <c r="O922" s="12">
        <f t="shared" si="173"/>
        <v>75.75</v>
      </c>
      <c r="P922" s="13">
        <v>909</v>
      </c>
      <c r="Q922" s="21">
        <v>2.5894634134993488E-2</v>
      </c>
      <c r="R922" s="18">
        <f t="shared" si="174"/>
        <v>2.6340472476995558E-2</v>
      </c>
      <c r="S922" s="21">
        <v>3.7225764834069031E-2</v>
      </c>
      <c r="T922" s="18">
        <f t="shared" si="175"/>
        <v>4.2987658451645538E-2</v>
      </c>
      <c r="U922" s="23">
        <v>3.8823286481590946E-2</v>
      </c>
      <c r="V922" s="23">
        <f t="shared" si="176"/>
        <v>4.2986158658322005E-2</v>
      </c>
      <c r="W922" s="22">
        <f t="shared" si="179"/>
        <v>3.5134716593965276E-3</v>
      </c>
      <c r="X922" s="23">
        <v>3.8503203748289083E-2</v>
      </c>
      <c r="Y922" s="23">
        <f t="shared" si="180"/>
        <v>4.2986513149470884E-2</v>
      </c>
      <c r="Z922" s="22">
        <f t="shared" si="181"/>
        <v>3.5135002308130936E-3</v>
      </c>
      <c r="AA922" s="33"/>
      <c r="AB922" s="50">
        <f t="shared" si="177"/>
        <v>909</v>
      </c>
      <c r="AC922" s="48">
        <f t="shared" si="172"/>
        <v>0.1442002656664321</v>
      </c>
      <c r="AE922" s="48">
        <f t="shared" si="178"/>
        <v>0.99783580534905369</v>
      </c>
      <c r="AF922" s="48">
        <f t="shared" si="182"/>
        <v>0.14420026566643268</v>
      </c>
      <c r="AH922" s="48">
        <f t="shared" si="183"/>
        <v>5.8286708792820718E-16</v>
      </c>
    </row>
    <row r="923" spans="4:34" ht="13.9" customHeight="1">
      <c r="D923" s="8"/>
      <c r="E923" s="9"/>
      <c r="F923" s="18"/>
      <c r="G923" s="18"/>
      <c r="H923" s="18"/>
      <c r="J923" s="40"/>
      <c r="K923" s="40"/>
      <c r="L923" s="40"/>
      <c r="M923" s="38"/>
      <c r="O923" s="12">
        <f t="shared" si="173"/>
        <v>75.833333333333329</v>
      </c>
      <c r="P923" s="13">
        <v>910</v>
      </c>
      <c r="Q923" s="21">
        <v>2.5895123960926636E-2</v>
      </c>
      <c r="R923" s="18">
        <f t="shared" si="174"/>
        <v>2.6341548665488324E-2</v>
      </c>
      <c r="S923" s="21">
        <v>3.7232079082619052E-2</v>
      </c>
      <c r="T923" s="18">
        <f t="shared" si="175"/>
        <v>4.2987793933731755E-2</v>
      </c>
      <c r="U923" s="23">
        <v>3.8827851934988944E-2</v>
      </c>
      <c r="V923" s="23">
        <f t="shared" si="176"/>
        <v>4.2986302316981861E-2</v>
      </c>
      <c r="W923" s="22">
        <f t="shared" si="179"/>
        <v>3.513483298716702E-3</v>
      </c>
      <c r="X923" s="23">
        <v>3.8508119869533397E-2</v>
      </c>
      <c r="Y923" s="23">
        <f t="shared" si="180"/>
        <v>4.298665495627163E-2</v>
      </c>
      <c r="Z923" s="22">
        <f t="shared" si="181"/>
        <v>3.5135117216404943E-3</v>
      </c>
      <c r="AA923" s="33"/>
      <c r="AB923" s="50">
        <f t="shared" si="177"/>
        <v>910</v>
      </c>
      <c r="AC923" s="48">
        <f t="shared" si="172"/>
        <v>0.14388817554427782</v>
      </c>
      <c r="AE923" s="48">
        <f t="shared" si="178"/>
        <v>0.99783571742595623</v>
      </c>
      <c r="AF923" s="48">
        <f t="shared" si="182"/>
        <v>0.14388817554427835</v>
      </c>
      <c r="AH923" s="48">
        <f t="shared" si="183"/>
        <v>5.2735593669694936E-16</v>
      </c>
    </row>
    <row r="924" spans="4:34" ht="13.9" customHeight="1">
      <c r="D924" s="8"/>
      <c r="E924" s="9"/>
      <c r="F924" s="18"/>
      <c r="G924" s="18"/>
      <c r="H924" s="18"/>
      <c r="J924" s="40"/>
      <c r="K924" s="40"/>
      <c r="L924" s="40"/>
      <c r="M924" s="38"/>
      <c r="O924" s="12">
        <f t="shared" si="173"/>
        <v>75.916666666666671</v>
      </c>
      <c r="P924" s="13">
        <v>911</v>
      </c>
      <c r="Q924" s="21">
        <v>2.5895613892547908E-2</v>
      </c>
      <c r="R924" s="18">
        <f t="shared" si="174"/>
        <v>2.634261590243292E-2</v>
      </c>
      <c r="S924" s="21">
        <v>3.723837965514365E-2</v>
      </c>
      <c r="T924" s="18">
        <f t="shared" si="175"/>
        <v>4.2987927928723302E-2</v>
      </c>
      <c r="U924" s="23">
        <v>3.8832407542501501E-2</v>
      </c>
      <c r="V924" s="23">
        <f t="shared" si="176"/>
        <v>4.2986444484733211E-2</v>
      </c>
      <c r="W924" s="22">
        <f t="shared" si="179"/>
        <v>3.5134948171975378E-3</v>
      </c>
      <c r="X924" s="23">
        <v>3.8513025376164522E-2</v>
      </c>
      <c r="Y924" s="23">
        <f t="shared" si="180"/>
        <v>4.2986795272137224E-2</v>
      </c>
      <c r="Z924" s="22">
        <f t="shared" si="181"/>
        <v>3.5135230916365501E-3</v>
      </c>
      <c r="AA924" s="33"/>
      <c r="AB924" s="50">
        <f t="shared" si="177"/>
        <v>911</v>
      </c>
      <c r="AC924" s="48">
        <f t="shared" si="172"/>
        <v>0.14357674832750286</v>
      </c>
      <c r="AE924" s="48">
        <f t="shared" si="178"/>
        <v>0.9978356302343977</v>
      </c>
      <c r="AF924" s="48">
        <f t="shared" si="182"/>
        <v>0.14357674832750264</v>
      </c>
      <c r="AH924" s="48">
        <f t="shared" si="183"/>
        <v>-2.2204460492503131E-16</v>
      </c>
    </row>
    <row r="925" spans="4:34" ht="13.9" customHeight="1">
      <c r="D925" s="8"/>
      <c r="E925" s="9"/>
      <c r="F925" s="18"/>
      <c r="G925" s="18"/>
      <c r="H925" s="18"/>
      <c r="J925" s="40"/>
      <c r="K925" s="40"/>
      <c r="L925" s="40"/>
      <c r="M925" s="38"/>
      <c r="O925" s="12">
        <f t="shared" si="173"/>
        <v>76</v>
      </c>
      <c r="P925" s="13">
        <v>912</v>
      </c>
      <c r="Q925" s="21">
        <v>2.5896103919698543E-2</v>
      </c>
      <c r="R925" s="18">
        <f t="shared" si="174"/>
        <v>2.6343674261798178E-2</v>
      </c>
      <c r="S925" s="21">
        <v>3.7244666594884901E-2</v>
      </c>
      <c r="T925" s="18">
        <f t="shared" si="175"/>
        <v>4.2988060452600285E-2</v>
      </c>
      <c r="U925" s="23">
        <v>3.8836953334824287E-2</v>
      </c>
      <c r="V925" s="23">
        <f t="shared" si="176"/>
        <v>4.2986585176709502E-2</v>
      </c>
      <c r="W925" s="22">
        <f t="shared" si="179"/>
        <v>3.5135062161366637E-3</v>
      </c>
      <c r="X925" s="23">
        <v>3.8517920301397002E-2</v>
      </c>
      <c r="Y925" s="23">
        <f t="shared" si="180"/>
        <v>4.2986934112142494E-2</v>
      </c>
      <c r="Z925" s="22">
        <f t="shared" si="181"/>
        <v>3.5135343420888976E-3</v>
      </c>
      <c r="AA925" s="33"/>
      <c r="AB925" s="50">
        <f t="shared" si="177"/>
        <v>912</v>
      </c>
      <c r="AC925" s="48">
        <f t="shared" si="172"/>
        <v>0.14326598273984062</v>
      </c>
      <c r="AE925" s="48">
        <f t="shared" si="178"/>
        <v>0.99783554376818095</v>
      </c>
      <c r="AF925" s="48">
        <f t="shared" si="182"/>
        <v>0.14326598273984087</v>
      </c>
      <c r="AH925" s="48">
        <f t="shared" si="183"/>
        <v>2.4980018054066022E-16</v>
      </c>
    </row>
    <row r="926" spans="4:34" ht="13.9" customHeight="1">
      <c r="D926" s="8"/>
      <c r="E926" s="9"/>
      <c r="F926" s="18"/>
      <c r="G926" s="18"/>
      <c r="H926" s="18"/>
      <c r="J926" s="40"/>
      <c r="K926" s="40"/>
      <c r="L926" s="40"/>
      <c r="M926" s="38"/>
      <c r="O926" s="12">
        <f t="shared" si="173"/>
        <v>76.083333333333329</v>
      </c>
      <c r="P926" s="13">
        <v>913</v>
      </c>
      <c r="Q926" s="21">
        <v>2.5896594032344789E-2</v>
      </c>
      <c r="R926" s="18">
        <f t="shared" si="174"/>
        <v>2.6344723817542492E-2</v>
      </c>
      <c r="S926" s="21">
        <v>3.7250939944913686E-2</v>
      </c>
      <c r="T926" s="18">
        <f t="shared" si="175"/>
        <v>4.2988191521330377E-2</v>
      </c>
      <c r="U926" s="23">
        <v>3.8841489342535729E-2</v>
      </c>
      <c r="V926" s="23">
        <f t="shared" si="176"/>
        <v>4.2986724408251131E-2</v>
      </c>
      <c r="W926" s="22">
        <f t="shared" si="179"/>
        <v>3.5135174967475535E-3</v>
      </c>
      <c r="X926" s="23">
        <v>3.8522804678317035E-2</v>
      </c>
      <c r="Y926" s="23">
        <f t="shared" si="180"/>
        <v>4.298707149252623E-2</v>
      </c>
      <c r="Z926" s="22">
        <f t="shared" si="181"/>
        <v>3.5135454742063477E-3</v>
      </c>
      <c r="AA926" s="33"/>
      <c r="AB926" s="50">
        <f t="shared" si="177"/>
        <v>913</v>
      </c>
      <c r="AC926" s="48">
        <f t="shared" si="172"/>
        <v>0.14295587750608194</v>
      </c>
      <c r="AE926" s="48">
        <f t="shared" si="178"/>
        <v>0.99783545802131079</v>
      </c>
      <c r="AF926" s="48">
        <f t="shared" si="182"/>
        <v>0.14295587750608232</v>
      </c>
      <c r="AH926" s="48">
        <f t="shared" si="183"/>
        <v>3.8857805861880479E-16</v>
      </c>
    </row>
    <row r="927" spans="4:34" ht="13.9" customHeight="1">
      <c r="D927" s="8"/>
      <c r="E927" s="9"/>
      <c r="F927" s="18"/>
      <c r="G927" s="18"/>
      <c r="H927" s="18"/>
      <c r="J927" s="40"/>
      <c r="K927" s="40"/>
      <c r="L927" s="40"/>
      <c r="M927" s="38"/>
      <c r="O927" s="12">
        <f t="shared" si="173"/>
        <v>76.166666666666671</v>
      </c>
      <c r="P927" s="13">
        <v>914</v>
      </c>
      <c r="Q927" s="21">
        <v>2.5897084220578126E-2</v>
      </c>
      <c r="R927" s="18">
        <f t="shared" si="174"/>
        <v>2.6345764643347147E-2</v>
      </c>
      <c r="S927" s="21">
        <v>3.7257199748130132E-2</v>
      </c>
      <c r="T927" s="18">
        <f t="shared" si="175"/>
        <v>4.2988321151577358E-2</v>
      </c>
      <c r="U927" s="23">
        <v>3.8846015596097017E-2</v>
      </c>
      <c r="V927" s="23">
        <f t="shared" si="176"/>
        <v>4.2986862194575481E-2</v>
      </c>
      <c r="W927" s="22">
        <f t="shared" si="179"/>
        <v>3.5135286602601123E-3</v>
      </c>
      <c r="X927" s="23">
        <v>3.8527678539883592E-2</v>
      </c>
      <c r="Y927" s="23">
        <f t="shared" si="180"/>
        <v>4.2987207428133223E-2</v>
      </c>
      <c r="Z927" s="22">
        <f t="shared" si="181"/>
        <v>3.5135564892905258E-3</v>
      </c>
      <c r="AA927" s="33"/>
      <c r="AB927" s="50">
        <f t="shared" si="177"/>
        <v>914</v>
      </c>
      <c r="AC927" s="48">
        <f t="shared" si="172"/>
        <v>0.14264643135207788</v>
      </c>
      <c r="AE927" s="48">
        <f t="shared" si="178"/>
        <v>0.99783537298779301</v>
      </c>
      <c r="AF927" s="48">
        <f t="shared" si="182"/>
        <v>0.14264643135207891</v>
      </c>
      <c r="AH927" s="48">
        <f t="shared" si="183"/>
        <v>1.0269562977782698E-15</v>
      </c>
    </row>
    <row r="928" spans="4:34" ht="13.9" customHeight="1">
      <c r="D928" s="8"/>
      <c r="E928" s="9"/>
      <c r="F928" s="18"/>
      <c r="G928" s="18"/>
      <c r="H928" s="18"/>
      <c r="J928" s="40"/>
      <c r="K928" s="40"/>
      <c r="L928" s="40"/>
      <c r="M928" s="38"/>
      <c r="O928" s="12">
        <f t="shared" si="173"/>
        <v>76.25</v>
      </c>
      <c r="P928" s="13">
        <v>915</v>
      </c>
      <c r="Q928" s="21">
        <v>2.5897574474613494E-2</v>
      </c>
      <c r="R928" s="18">
        <f t="shared" si="174"/>
        <v>2.6346796811855366E-2</v>
      </c>
      <c r="S928" s="21">
        <v>3.7263446047265614E-2</v>
      </c>
      <c r="T928" s="18">
        <f t="shared" si="175"/>
        <v>4.2988449358358327E-2</v>
      </c>
      <c r="U928" s="23">
        <v>3.885053212585321E-2</v>
      </c>
      <c r="V928" s="23">
        <f t="shared" si="176"/>
        <v>4.2986998550662348E-2</v>
      </c>
      <c r="W928" s="22">
        <f t="shared" si="179"/>
        <v>3.5135397078944752E-3</v>
      </c>
      <c r="X928" s="23">
        <v>3.8532541918928187E-2</v>
      </c>
      <c r="Y928" s="23">
        <f t="shared" si="180"/>
        <v>4.2987341934301204E-2</v>
      </c>
      <c r="Z928" s="22">
        <f t="shared" si="181"/>
        <v>3.5135673885320351E-3</v>
      </c>
      <c r="AA928" s="33"/>
      <c r="AB928" s="50">
        <f t="shared" si="177"/>
        <v>915</v>
      </c>
      <c r="AC928" s="48">
        <f t="shared" si="172"/>
        <v>0.14233764300475629</v>
      </c>
      <c r="AE928" s="48">
        <f t="shared" si="178"/>
        <v>0.99783528866165561</v>
      </c>
      <c r="AF928" s="48">
        <f t="shared" si="182"/>
        <v>0.14233764300475671</v>
      </c>
      <c r="AH928" s="48">
        <f t="shared" si="183"/>
        <v>4.163336342344337E-16</v>
      </c>
    </row>
    <row r="929" spans="4:34" ht="13.9" customHeight="1">
      <c r="D929" s="8"/>
      <c r="E929" s="9"/>
      <c r="F929" s="18"/>
      <c r="G929" s="18"/>
      <c r="H929" s="18"/>
      <c r="J929" s="40"/>
      <c r="K929" s="40"/>
      <c r="L929" s="40"/>
      <c r="M929" s="38"/>
      <c r="O929" s="12">
        <f t="shared" si="173"/>
        <v>76.333333333333329</v>
      </c>
      <c r="P929" s="13">
        <v>916</v>
      </c>
      <c r="Q929" s="21">
        <v>2.5898064784788177E-2</v>
      </c>
      <c r="R929" s="18">
        <f t="shared" si="174"/>
        <v>2.6347820394914123E-2</v>
      </c>
      <c r="S929" s="21">
        <v>3.7269678884881197E-2</v>
      </c>
      <c r="T929" s="18">
        <f t="shared" si="175"/>
        <v>4.2988576157554581E-2</v>
      </c>
      <c r="U929" s="23">
        <v>3.8855038962033461E-2</v>
      </c>
      <c r="V929" s="23">
        <f t="shared" si="176"/>
        <v>4.2987133491691587E-2</v>
      </c>
      <c r="W929" s="22">
        <f t="shared" si="179"/>
        <v>3.5135506408519035E-3</v>
      </c>
      <c r="X929" s="23">
        <v>3.8537394848155992E-2</v>
      </c>
      <c r="Y929" s="23">
        <f t="shared" si="180"/>
        <v>4.2987475026319055E-2</v>
      </c>
      <c r="Z929" s="22">
        <f t="shared" si="181"/>
        <v>3.5135781731607807E-3</v>
      </c>
      <c r="AA929" s="33"/>
      <c r="AB929" s="50">
        <f t="shared" si="177"/>
        <v>916</v>
      </c>
      <c r="AC929" s="48">
        <f t="shared" si="172"/>
        <v>0.14202951119213603</v>
      </c>
      <c r="AE929" s="48">
        <f t="shared" si="178"/>
        <v>0.99783520503701095</v>
      </c>
      <c r="AF929" s="48">
        <f t="shared" si="182"/>
        <v>0.14202951119213628</v>
      </c>
      <c r="AH929" s="48">
        <f t="shared" si="183"/>
        <v>2.4980018054066022E-16</v>
      </c>
    </row>
    <row r="930" spans="4:34" ht="13.9" customHeight="1">
      <c r="D930" s="8"/>
      <c r="E930" s="9"/>
      <c r="F930" s="18"/>
      <c r="G930" s="18"/>
      <c r="H930" s="18"/>
      <c r="J930" s="40"/>
      <c r="K930" s="40"/>
      <c r="L930" s="40"/>
      <c r="M930" s="38"/>
      <c r="O930" s="12">
        <f t="shared" si="173"/>
        <v>76.416666666666671</v>
      </c>
      <c r="P930" s="13">
        <v>917</v>
      </c>
      <c r="Q930" s="21">
        <v>2.5898555141559809E-2</v>
      </c>
      <c r="R930" s="18">
        <f t="shared" si="174"/>
        <v>2.6348835465235698E-2</v>
      </c>
      <c r="S930" s="21">
        <v>3.7275898303370747E-2</v>
      </c>
      <c r="T930" s="18">
        <f t="shared" si="175"/>
        <v>4.2988701565104703E-2</v>
      </c>
      <c r="U930" s="23">
        <v>3.885953613475146E-2</v>
      </c>
      <c r="V930" s="23">
        <f t="shared" si="176"/>
        <v>4.2987267031658671E-2</v>
      </c>
      <c r="W930" s="22">
        <f t="shared" si="179"/>
        <v>3.5135614603494236E-3</v>
      </c>
      <c r="X930" s="23">
        <v>3.8542237360146503E-2</v>
      </c>
      <c r="Y930" s="23">
        <f t="shared" si="180"/>
        <v>4.2987606718536631E-2</v>
      </c>
      <c r="Z930" s="22">
        <f t="shared" si="181"/>
        <v>3.5135888444024488E-3</v>
      </c>
      <c r="AA930" s="33"/>
      <c r="AB930" s="50">
        <f t="shared" si="177"/>
        <v>917</v>
      </c>
      <c r="AC930" s="48">
        <f t="shared" si="172"/>
        <v>0.1417220346433492</v>
      </c>
      <c r="AE930" s="48">
        <f t="shared" si="178"/>
        <v>0.99783512210803538</v>
      </c>
      <c r="AF930" s="48">
        <f t="shared" si="182"/>
        <v>0.14172203464334987</v>
      </c>
      <c r="AH930" s="48">
        <f t="shared" si="183"/>
        <v>6.6613381477509392E-16</v>
      </c>
    </row>
    <row r="931" spans="4:34" ht="13.9" customHeight="1">
      <c r="D931" s="8"/>
      <c r="E931" s="9"/>
      <c r="F931" s="18"/>
      <c r="G931" s="18"/>
      <c r="H931" s="18"/>
      <c r="J931" s="40"/>
      <c r="K931" s="40"/>
      <c r="L931" s="40"/>
      <c r="M931" s="38"/>
      <c r="O931" s="12">
        <f t="shared" si="173"/>
        <v>76.5</v>
      </c>
      <c r="P931" s="13">
        <v>918</v>
      </c>
      <c r="Q931" s="21">
        <v>2.5899045535506593E-2</v>
      </c>
      <c r="R931" s="18">
        <f t="shared" si="174"/>
        <v>2.6349842091969444E-2</v>
      </c>
      <c r="S931" s="21">
        <v>3.7282104344960487E-2</v>
      </c>
      <c r="T931" s="18">
        <f t="shared" si="175"/>
        <v>4.2988825595232205E-2</v>
      </c>
      <c r="U931" s="23">
        <v>3.8864023674005432E-2</v>
      </c>
      <c r="V931" s="23">
        <f t="shared" si="176"/>
        <v>4.2987399185658859E-2</v>
      </c>
      <c r="W931" s="22">
        <f t="shared" si="179"/>
        <v>3.5135721675092491E-3</v>
      </c>
      <c r="X931" s="23">
        <v>3.8547069487352648E-2</v>
      </c>
      <c r="Y931" s="23">
        <f t="shared" si="180"/>
        <v>4.2987737025982131E-2</v>
      </c>
      <c r="Z931" s="22">
        <f t="shared" si="181"/>
        <v>3.5135994034076745E-3</v>
      </c>
      <c r="AA931" s="33"/>
      <c r="AB931" s="50">
        <f t="shared" si="177"/>
        <v>918</v>
      </c>
      <c r="AC931" s="48">
        <f t="shared" si="172"/>
        <v>0.14141521208863961</v>
      </c>
      <c r="AE931" s="48">
        <f t="shared" si="178"/>
        <v>0.99783503986883604</v>
      </c>
      <c r="AF931" s="48">
        <f t="shared" si="182"/>
        <v>0.14141521208863958</v>
      </c>
      <c r="AH931" s="48">
        <f t="shared" si="183"/>
        <v>0</v>
      </c>
    </row>
    <row r="932" spans="4:34" ht="13.9" customHeight="1">
      <c r="D932" s="8"/>
      <c r="E932" s="9"/>
      <c r="F932" s="18"/>
      <c r="G932" s="18"/>
      <c r="H932" s="18"/>
      <c r="J932" s="40"/>
      <c r="K932" s="40"/>
      <c r="L932" s="40"/>
      <c r="M932" s="38"/>
      <c r="O932" s="12">
        <f t="shared" si="173"/>
        <v>76.583333333333329</v>
      </c>
      <c r="P932" s="13">
        <v>919</v>
      </c>
      <c r="Q932" s="21">
        <v>2.5899535957323305E-2</v>
      </c>
      <c r="R932" s="18">
        <f t="shared" si="174"/>
        <v>2.6350840346978543E-2</v>
      </c>
      <c r="S932" s="21">
        <v>3.7288297051709218E-2</v>
      </c>
      <c r="T932" s="18">
        <f t="shared" si="175"/>
        <v>4.2988948264028437E-2</v>
      </c>
      <c r="U932" s="23">
        <v>3.8868501609679473E-2</v>
      </c>
      <c r="V932" s="23">
        <f t="shared" si="176"/>
        <v>4.2987529968045557E-2</v>
      </c>
      <c r="W932" s="22">
        <f t="shared" si="179"/>
        <v>3.513582763541967E-3</v>
      </c>
      <c r="X932" s="23">
        <v>3.8551891262103233E-2</v>
      </c>
      <c r="Y932" s="23">
        <f t="shared" si="180"/>
        <v>4.2987865963652228E-2</v>
      </c>
      <c r="Z932" s="22">
        <f t="shared" si="181"/>
        <v>3.5136098513812719E-3</v>
      </c>
      <c r="AA932" s="33"/>
      <c r="AB932" s="50">
        <f t="shared" si="177"/>
        <v>919</v>
      </c>
      <c r="AC932" s="48">
        <f t="shared" si="172"/>
        <v>0.14110904225940615</v>
      </c>
      <c r="AE932" s="48">
        <f t="shared" si="178"/>
        <v>0.9978349583138082</v>
      </c>
      <c r="AF932" s="48">
        <f t="shared" si="182"/>
        <v>0.14110904225940601</v>
      </c>
      <c r="AH932" s="48">
        <f t="shared" si="183"/>
        <v>0</v>
      </c>
    </row>
    <row r="933" spans="4:34" ht="13.9" customHeight="1">
      <c r="D933" s="8"/>
      <c r="E933" s="9"/>
      <c r="F933" s="18"/>
      <c r="G933" s="18"/>
      <c r="H933" s="18"/>
      <c r="J933" s="40"/>
      <c r="K933" s="40"/>
      <c r="L933" s="40"/>
      <c r="M933" s="38"/>
      <c r="O933" s="12">
        <f t="shared" si="173"/>
        <v>76.666666666666671</v>
      </c>
      <c r="P933" s="13">
        <v>920</v>
      </c>
      <c r="Q933" s="21">
        <v>2.5900026397823073E-2</v>
      </c>
      <c r="R933" s="18">
        <f t="shared" si="174"/>
        <v>2.6351830299938594E-2</v>
      </c>
      <c r="S933" s="21">
        <v>3.7294476465510318E-2</v>
      </c>
      <c r="T933" s="18">
        <f t="shared" si="175"/>
        <v>4.2989069586186091E-2</v>
      </c>
      <c r="U933" s="23">
        <v>3.8872969971543547E-2</v>
      </c>
      <c r="V933" s="23">
        <f t="shared" si="176"/>
        <v>4.2987659392436095E-2</v>
      </c>
      <c r="W933" s="22">
        <f t="shared" si="179"/>
        <v>3.5135932495979905E-3</v>
      </c>
      <c r="X933" s="23">
        <v>3.8556702716602498E-2</v>
      </c>
      <c r="Y933" s="23">
        <f t="shared" si="180"/>
        <v>4.2987993545001935E-2</v>
      </c>
      <c r="Z933" s="22">
        <f t="shared" si="181"/>
        <v>3.5136201895262786E-3</v>
      </c>
      <c r="AA933" s="33"/>
      <c r="AB933" s="50">
        <f t="shared" si="177"/>
        <v>920</v>
      </c>
      <c r="AC933" s="48">
        <f t="shared" si="172"/>
        <v>0.14080352388818451</v>
      </c>
      <c r="AE933" s="48">
        <f t="shared" si="178"/>
        <v>0.99783487743712762</v>
      </c>
      <c r="AF933" s="48">
        <f t="shared" si="182"/>
        <v>0.14080352388818487</v>
      </c>
      <c r="AH933" s="48">
        <f t="shared" si="183"/>
        <v>3.6082248300317588E-16</v>
      </c>
    </row>
    <row r="934" spans="4:34" ht="13.9" customHeight="1">
      <c r="D934" s="8"/>
      <c r="E934" s="9"/>
      <c r="F934" s="18"/>
      <c r="G934" s="18"/>
      <c r="H934" s="18"/>
      <c r="J934" s="40"/>
      <c r="K934" s="40"/>
      <c r="L934" s="40"/>
      <c r="M934" s="38"/>
      <c r="O934" s="12">
        <f t="shared" si="173"/>
        <v>76.75</v>
      </c>
      <c r="P934" s="13">
        <v>921</v>
      </c>
      <c r="Q934" s="21">
        <v>2.5900516847934485E-2</v>
      </c>
      <c r="R934" s="18">
        <f t="shared" si="174"/>
        <v>2.6352812019029503E-2</v>
      </c>
      <c r="S934" s="21">
        <v>3.7300642628091962E-2</v>
      </c>
      <c r="T934" s="18">
        <f t="shared" si="175"/>
        <v>4.2989189576422504E-2</v>
      </c>
      <c r="U934" s="23">
        <v>3.8877428789253488E-2</v>
      </c>
      <c r="V934" s="23">
        <f t="shared" si="176"/>
        <v>4.2987787474323857E-2</v>
      </c>
      <c r="W934" s="22">
        <f t="shared" si="179"/>
        <v>3.513603626769779E-3</v>
      </c>
      <c r="X934" s="23">
        <v>3.8561503882930115E-2</v>
      </c>
      <c r="Y934" s="23">
        <f t="shared" si="180"/>
        <v>4.2988119784936885E-2</v>
      </c>
      <c r="Z934" s="22">
        <f t="shared" si="181"/>
        <v>3.5136304189209433E-3</v>
      </c>
      <c r="AA934" s="33"/>
      <c r="AB934" s="50">
        <f t="shared" si="177"/>
        <v>921</v>
      </c>
      <c r="AC934" s="48">
        <f t="shared" si="172"/>
        <v>0.14049865570867923</v>
      </c>
      <c r="AE934" s="48">
        <f t="shared" si="178"/>
        <v>0.99783479723314705</v>
      </c>
      <c r="AF934" s="48">
        <f t="shared" si="182"/>
        <v>0.14049865570867953</v>
      </c>
      <c r="AH934" s="48">
        <f t="shared" si="183"/>
        <v>3.0531133177191805E-16</v>
      </c>
    </row>
    <row r="935" spans="4:34" ht="13.9" customHeight="1">
      <c r="D935" s="8"/>
      <c r="E935" s="9"/>
      <c r="F935" s="18"/>
      <c r="G935" s="18"/>
      <c r="H935" s="18"/>
      <c r="J935" s="40"/>
      <c r="K935" s="40"/>
      <c r="L935" s="40"/>
      <c r="M935" s="38"/>
      <c r="O935" s="12">
        <f t="shared" si="173"/>
        <v>76.833333333333329</v>
      </c>
      <c r="P935" s="13">
        <v>922</v>
      </c>
      <c r="Q935" s="21">
        <v>2.5901007298699597E-2</v>
      </c>
      <c r="R935" s="18">
        <f t="shared" si="174"/>
        <v>2.6353785573832056E-2</v>
      </c>
      <c r="S935" s="21">
        <v>3.7306795581017349E-2</v>
      </c>
      <c r="T935" s="18">
        <f t="shared" si="175"/>
        <v>4.2989308249023583E-2</v>
      </c>
      <c r="U935" s="23">
        <v>3.8881878092352995E-2</v>
      </c>
      <c r="V935" s="23">
        <f t="shared" si="176"/>
        <v>4.298791422584558E-2</v>
      </c>
      <c r="W935" s="22">
        <f t="shared" si="179"/>
        <v>3.513613896299228E-3</v>
      </c>
      <c r="X935" s="23">
        <v>3.8566294793042744E-2</v>
      </c>
      <c r="Y935" s="23">
        <f t="shared" si="180"/>
        <v>4.29882446974299E-2</v>
      </c>
      <c r="Z935" s="22">
        <f t="shared" si="181"/>
        <v>3.513640540760754E-3</v>
      </c>
      <c r="AA935" s="33"/>
      <c r="AB935" s="50">
        <f t="shared" si="177"/>
        <v>922</v>
      </c>
      <c r="AC935" s="48">
        <f t="shared" si="172"/>
        <v>0.14019443645578472</v>
      </c>
      <c r="AE935" s="48">
        <f t="shared" si="178"/>
        <v>0.99783471769634069</v>
      </c>
      <c r="AF935" s="48">
        <f t="shared" si="182"/>
        <v>0.14019443645578561</v>
      </c>
      <c r="AH935" s="48">
        <f t="shared" si="183"/>
        <v>8.8817841970012523E-16</v>
      </c>
    </row>
    <row r="936" spans="4:34" ht="13.9" customHeight="1">
      <c r="D936" s="8"/>
      <c r="E936" s="9"/>
      <c r="F936" s="18"/>
      <c r="G936" s="18"/>
      <c r="H936" s="18"/>
      <c r="J936" s="40"/>
      <c r="K936" s="40"/>
      <c r="L936" s="40"/>
      <c r="M936" s="38"/>
      <c r="O936" s="12">
        <f t="shared" si="173"/>
        <v>76.916666666666671</v>
      </c>
      <c r="P936" s="13">
        <v>923</v>
      </c>
      <c r="Q936" s="21">
        <v>2.5901497741274371E-2</v>
      </c>
      <c r="R936" s="18">
        <f t="shared" si="174"/>
        <v>2.6354751031899104E-2</v>
      </c>
      <c r="S936" s="21">
        <v>3.7312935365685584E-2</v>
      </c>
      <c r="T936" s="18">
        <f t="shared" si="175"/>
        <v>4.2989425619362809E-2</v>
      </c>
      <c r="U936" s="23">
        <v>3.8886317910271639E-2</v>
      </c>
      <c r="V936" s="23">
        <f t="shared" si="176"/>
        <v>4.2988039662409605E-2</v>
      </c>
      <c r="W936" s="22">
        <f t="shared" si="179"/>
        <v>3.5136240591595591E-3</v>
      </c>
      <c r="X936" s="23">
        <v>3.8571075478773809E-2</v>
      </c>
      <c r="Y936" s="23">
        <f t="shared" si="180"/>
        <v>4.2988368296738244E-2</v>
      </c>
      <c r="Z936" s="22">
        <f t="shared" si="181"/>
        <v>3.5136505561659259E-3</v>
      </c>
      <c r="AA936" s="33"/>
      <c r="AB936" s="50">
        <f t="shared" si="177"/>
        <v>923</v>
      </c>
      <c r="AC936" s="48">
        <f t="shared" si="172"/>
        <v>0.13989086486558186</v>
      </c>
      <c r="AE936" s="48">
        <f t="shared" si="178"/>
        <v>0.99783463882106904</v>
      </c>
      <c r="AF936" s="48">
        <f t="shared" si="182"/>
        <v>0.13989086486558214</v>
      </c>
      <c r="AH936" s="48">
        <f t="shared" si="183"/>
        <v>2.7755575615628914E-16</v>
      </c>
    </row>
    <row r="937" spans="4:34" ht="13.9" customHeight="1">
      <c r="D937" s="8"/>
      <c r="E937" s="9"/>
      <c r="F937" s="18"/>
      <c r="G937" s="18"/>
      <c r="H937" s="18"/>
      <c r="J937" s="40"/>
      <c r="K937" s="40"/>
      <c r="L937" s="40"/>
      <c r="M937" s="38"/>
      <c r="O937" s="12">
        <f t="shared" si="173"/>
        <v>77</v>
      </c>
      <c r="P937" s="13">
        <v>924</v>
      </c>
      <c r="Q937" s="21">
        <v>2.590198816692646E-2</v>
      </c>
      <c r="R937" s="18">
        <f t="shared" si="174"/>
        <v>2.6355708461276661E-2</v>
      </c>
      <c r="S937" s="21">
        <v>3.731906202333346E-2</v>
      </c>
      <c r="T937" s="18">
        <f t="shared" si="175"/>
        <v>4.2989541700516831E-2</v>
      </c>
      <c r="U937" s="23">
        <v>3.8890748272327968E-2</v>
      </c>
      <c r="V937" s="23">
        <f t="shared" si="176"/>
        <v>4.298816379654169E-2</v>
      </c>
      <c r="W937" s="22">
        <f t="shared" si="179"/>
        <v>3.5136341165862284E-3</v>
      </c>
      <c r="X937" s="23">
        <v>3.857584597183461E-2</v>
      </c>
      <c r="Y937" s="23">
        <f t="shared" si="180"/>
        <v>4.29884905958684E-2</v>
      </c>
      <c r="Z937" s="22">
        <f t="shared" si="181"/>
        <v>3.5136604662797666E-3</v>
      </c>
      <c r="AA937" s="33"/>
      <c r="AB937" s="50">
        <f t="shared" si="177"/>
        <v>924</v>
      </c>
      <c r="AC937" s="48">
        <f t="shared" si="172"/>
        <v>0.13958793967536173</v>
      </c>
      <c r="AE937" s="48">
        <f t="shared" si="178"/>
        <v>0.99783456060185705</v>
      </c>
      <c r="AF937" s="48">
        <f t="shared" si="182"/>
        <v>0.13958793967536193</v>
      </c>
      <c r="AH937" s="48">
        <f t="shared" si="183"/>
        <v>0</v>
      </c>
    </row>
    <row r="938" spans="4:34" ht="13.9" customHeight="1">
      <c r="D938" s="8"/>
      <c r="E938" s="9"/>
      <c r="F938" s="18"/>
      <c r="G938" s="18"/>
      <c r="H938" s="18"/>
      <c r="J938" s="40"/>
      <c r="K938" s="40"/>
      <c r="L938" s="40"/>
      <c r="M938" s="38"/>
      <c r="O938" s="12">
        <f t="shared" si="173"/>
        <v>77.083333333333329</v>
      </c>
      <c r="P938" s="13">
        <v>925</v>
      </c>
      <c r="Q938" s="21">
        <v>2.5902478567034759E-2</v>
      </c>
      <c r="R938" s="18">
        <f t="shared" si="174"/>
        <v>2.6356657928143568E-2</v>
      </c>
      <c r="S938" s="21">
        <v>3.7325175595034121E-2</v>
      </c>
      <c r="T938" s="18">
        <f t="shared" si="175"/>
        <v>4.2989656507807172E-2</v>
      </c>
      <c r="U938" s="23">
        <v>3.8895169207727731E-2</v>
      </c>
      <c r="V938" s="23">
        <f t="shared" si="176"/>
        <v>4.2988286642223095E-2</v>
      </c>
      <c r="W938" s="22">
        <f t="shared" si="179"/>
        <v>3.5136440695835436E-3</v>
      </c>
      <c r="X938" s="23">
        <v>3.858060630381388E-2</v>
      </c>
      <c r="Y938" s="23">
        <f t="shared" si="180"/>
        <v>4.2988611609389604E-2</v>
      </c>
      <c r="Z938" s="22">
        <f t="shared" si="181"/>
        <v>3.5136702721449975E-3</v>
      </c>
      <c r="AA938" s="33"/>
      <c r="AB938" s="50">
        <f t="shared" si="177"/>
        <v>925</v>
      </c>
      <c r="AC938" s="48">
        <f t="shared" si="172"/>
        <v>0.13928565962363199</v>
      </c>
      <c r="AE938" s="48">
        <f t="shared" si="178"/>
        <v>0.99783448303319</v>
      </c>
      <c r="AF938" s="48">
        <f t="shared" si="182"/>
        <v>0.13928565962363287</v>
      </c>
      <c r="AH938" s="48">
        <f t="shared" si="183"/>
        <v>8.8817841970012523E-16</v>
      </c>
    </row>
    <row r="939" spans="4:34" ht="13.9" customHeight="1">
      <c r="D939" s="8"/>
      <c r="E939" s="9"/>
      <c r="F939" s="18"/>
      <c r="G939" s="18"/>
      <c r="H939" s="18"/>
      <c r="J939" s="40"/>
      <c r="K939" s="40"/>
      <c r="L939" s="40"/>
      <c r="M939" s="38"/>
      <c r="O939" s="12">
        <f t="shared" si="173"/>
        <v>77.166666666666671</v>
      </c>
      <c r="P939" s="13">
        <v>926</v>
      </c>
      <c r="Q939" s="21">
        <v>2.5902968933086523E-2</v>
      </c>
      <c r="R939" s="18">
        <f t="shared" si="174"/>
        <v>2.6357599499461148E-2</v>
      </c>
      <c r="S939" s="21">
        <v>3.7331276121699952E-2</v>
      </c>
      <c r="T939" s="18">
        <f t="shared" si="175"/>
        <v>4.2989770054379317E-2</v>
      </c>
      <c r="U939" s="23">
        <v>3.8899580745565654E-2</v>
      </c>
      <c r="V939" s="23">
        <f t="shared" si="176"/>
        <v>4.2988408213081364E-2</v>
      </c>
      <c r="W939" s="22">
        <f t="shared" si="179"/>
        <v>3.51365391927283E-3</v>
      </c>
      <c r="X939" s="23">
        <v>3.8585356506179336E-2</v>
      </c>
      <c r="Y939" s="23">
        <f t="shared" si="180"/>
        <v>4.2988731350331433E-2</v>
      </c>
      <c r="Z939" s="22">
        <f t="shared" si="181"/>
        <v>3.5136799749300174E-3</v>
      </c>
      <c r="AA939" s="33"/>
      <c r="AB939" s="50">
        <f t="shared" si="177"/>
        <v>926</v>
      </c>
      <c r="AC939" s="48">
        <f t="shared" si="172"/>
        <v>0.13898402345014552</v>
      </c>
      <c r="AE939" s="48">
        <f t="shared" si="178"/>
        <v>0.9978344061097042</v>
      </c>
      <c r="AF939" s="48">
        <f t="shared" si="182"/>
        <v>0.13898402345014613</v>
      </c>
      <c r="AH939" s="48">
        <f t="shared" si="183"/>
        <v>6.106226635438361E-16</v>
      </c>
    </row>
    <row r="940" spans="4:34" ht="13.9" customHeight="1">
      <c r="D940" s="8"/>
      <c r="E940" s="9"/>
      <c r="F940" s="18"/>
      <c r="G940" s="18"/>
      <c r="H940" s="18"/>
      <c r="J940" s="40"/>
      <c r="K940" s="40"/>
      <c r="L940" s="40"/>
      <c r="M940" s="38"/>
      <c r="O940" s="12">
        <f t="shared" si="173"/>
        <v>77.25</v>
      </c>
      <c r="P940" s="13">
        <v>927</v>
      </c>
      <c r="Q940" s="21">
        <v>2.5903459256678252E-2</v>
      </c>
      <c r="R940" s="18">
        <f t="shared" si="174"/>
        <v>2.635853324026094E-2</v>
      </c>
      <c r="S940" s="21">
        <v>3.7337363644081689E-2</v>
      </c>
      <c r="T940" s="18">
        <f t="shared" si="175"/>
        <v>4.29898823544963E-2</v>
      </c>
      <c r="U940" s="23">
        <v>3.8903982914825885E-2</v>
      </c>
      <c r="V940" s="23">
        <f t="shared" si="176"/>
        <v>4.2988528521993974E-2</v>
      </c>
      <c r="W940" s="22">
        <f t="shared" si="179"/>
        <v>3.5136636667465471E-3</v>
      </c>
      <c r="X940" s="23">
        <v>3.859009661027768E-2</v>
      </c>
      <c r="Y940" s="23">
        <f t="shared" si="180"/>
        <v>4.2988849832108933E-2</v>
      </c>
      <c r="Z940" s="22">
        <f t="shared" si="181"/>
        <v>3.5136895756793241E-3</v>
      </c>
      <c r="AA940" s="33"/>
      <c r="AB940" s="50">
        <f t="shared" si="177"/>
        <v>927</v>
      </c>
      <c r="AC940" s="48">
        <f t="shared" si="172"/>
        <v>0.13868302989589409</v>
      </c>
      <c r="AE940" s="48">
        <f t="shared" si="178"/>
        <v>0.99783432982597253</v>
      </c>
      <c r="AF940" s="48">
        <f t="shared" si="182"/>
        <v>0.13868302989589382</v>
      </c>
      <c r="AH940" s="48">
        <f t="shared" si="183"/>
        <v>-2.7755575615628914E-16</v>
      </c>
    </row>
    <row r="941" spans="4:34" ht="13.9" customHeight="1">
      <c r="D941" s="8"/>
      <c r="E941" s="9"/>
      <c r="F941" s="18"/>
      <c r="G941" s="18"/>
      <c r="H941" s="18"/>
      <c r="J941" s="40"/>
      <c r="K941" s="40"/>
      <c r="L941" s="40"/>
      <c r="M941" s="38"/>
      <c r="O941" s="12">
        <f t="shared" si="173"/>
        <v>77.333333333333329</v>
      </c>
      <c r="P941" s="13">
        <v>928</v>
      </c>
      <c r="Q941" s="21">
        <v>2.5903949529512804E-2</v>
      </c>
      <c r="R941" s="18">
        <f t="shared" si="174"/>
        <v>2.6359459216747316E-2</v>
      </c>
      <c r="S941" s="21">
        <v>3.7343438202769974E-2</v>
      </c>
      <c r="T941" s="18">
        <f t="shared" si="175"/>
        <v>4.2989993421907347E-2</v>
      </c>
      <c r="U941" s="23">
        <v>3.8908375744381773E-2</v>
      </c>
      <c r="V941" s="23">
        <f t="shared" si="176"/>
        <v>4.2988647581879036E-2</v>
      </c>
      <c r="W941" s="22">
        <f t="shared" si="179"/>
        <v>3.5136733130369802E-3</v>
      </c>
      <c r="X941" s="23">
        <v>3.8594826647334823E-2</v>
      </c>
      <c r="Y941" s="23">
        <f t="shared" si="180"/>
        <v>4.2988967068155581E-2</v>
      </c>
      <c r="Z941" s="22">
        <f t="shared" si="181"/>
        <v>3.5136990754687236E-3</v>
      </c>
      <c r="AA941" s="33"/>
      <c r="AB941" s="50">
        <f t="shared" si="177"/>
        <v>928</v>
      </c>
      <c r="AC941" s="48">
        <f t="shared" si="172"/>
        <v>0.13838267770313775</v>
      </c>
      <c r="AE941" s="48">
        <f t="shared" si="178"/>
        <v>0.99783425417672478</v>
      </c>
      <c r="AF941" s="48">
        <f t="shared" si="182"/>
        <v>0.13838267770313764</v>
      </c>
      <c r="AH941" s="48">
        <f t="shared" si="183"/>
        <v>0</v>
      </c>
    </row>
    <row r="942" spans="4:34" ht="13.9" customHeight="1">
      <c r="D942" s="8"/>
      <c r="E942" s="9"/>
      <c r="F942" s="18"/>
      <c r="G942" s="18"/>
      <c r="H942" s="18"/>
      <c r="J942" s="40"/>
      <c r="K942" s="40"/>
      <c r="L942" s="40"/>
      <c r="M942" s="38"/>
      <c r="O942" s="12">
        <f t="shared" si="173"/>
        <v>77.416666666666671</v>
      </c>
      <c r="P942" s="13">
        <v>929</v>
      </c>
      <c r="Q942" s="21">
        <v>2.5904439743399843E-2</v>
      </c>
      <c r="R942" s="18">
        <f t="shared" si="174"/>
        <v>2.6360377493484854E-2</v>
      </c>
      <c r="S942" s="21">
        <v>3.7349499838195799E-2</v>
      </c>
      <c r="T942" s="18">
        <f t="shared" si="175"/>
        <v>4.2990103269532565E-2</v>
      </c>
      <c r="U942" s="23">
        <v>3.8912759262996088E-2</v>
      </c>
      <c r="V942" s="23">
        <f t="shared" si="176"/>
        <v>4.2988765406322793E-2</v>
      </c>
      <c r="W942" s="22">
        <f t="shared" si="179"/>
        <v>3.5136828591804115E-3</v>
      </c>
      <c r="X942" s="23">
        <v>3.8599546648456995E-2</v>
      </c>
      <c r="Y942" s="23">
        <f t="shared" si="180"/>
        <v>4.2989083071390377E-2</v>
      </c>
      <c r="Z942" s="22">
        <f t="shared" si="181"/>
        <v>3.5137084753753545E-3</v>
      </c>
      <c r="AA942" s="33"/>
      <c r="AB942" s="50">
        <f t="shared" si="177"/>
        <v>929</v>
      </c>
      <c r="AC942" s="48">
        <f t="shared" si="172"/>
        <v>0.13808296561540095</v>
      </c>
      <c r="AE942" s="48">
        <f t="shared" si="178"/>
        <v>0.99783417915659489</v>
      </c>
      <c r="AF942" s="48">
        <f t="shared" si="182"/>
        <v>0.13808296561540198</v>
      </c>
      <c r="AH942" s="48">
        <f t="shared" si="183"/>
        <v>1.0269562977782698E-15</v>
      </c>
    </row>
    <row r="943" spans="4:34" ht="13.9" customHeight="1">
      <c r="D943" s="8"/>
      <c r="E943" s="9"/>
      <c r="F943" s="18"/>
      <c r="G943" s="18"/>
      <c r="H943" s="18"/>
      <c r="J943" s="40"/>
      <c r="K943" s="40"/>
      <c r="L943" s="40"/>
      <c r="M943" s="38"/>
      <c r="O943" s="12">
        <f t="shared" si="173"/>
        <v>77.5</v>
      </c>
      <c r="P943" s="13">
        <v>930</v>
      </c>
      <c r="Q943" s="21">
        <v>2.5904929890253392E-2</v>
      </c>
      <c r="R943" s="18">
        <f t="shared" si="174"/>
        <v>2.6361288133308181E-2</v>
      </c>
      <c r="S943" s="21">
        <v>3.7355548590630727E-2</v>
      </c>
      <c r="T943" s="18">
        <f t="shared" si="175"/>
        <v>4.2990211911756004E-2</v>
      </c>
      <c r="U943" s="23">
        <v>3.891713349932302E-2</v>
      </c>
      <c r="V943" s="23">
        <f t="shared" si="176"/>
        <v>4.2988882007360285E-2</v>
      </c>
      <c r="W943" s="22">
        <f t="shared" si="179"/>
        <v>3.5136923062659697E-3</v>
      </c>
      <c r="X943" s="23">
        <v>3.8604256644630741E-2</v>
      </c>
      <c r="Y943" s="23">
        <f t="shared" si="180"/>
        <v>4.2989197854670813E-2</v>
      </c>
      <c r="Z943" s="22">
        <f t="shared" si="181"/>
        <v>3.5137177764348326E-3</v>
      </c>
      <c r="AA943" s="33"/>
      <c r="AB943" s="50">
        <f t="shared" si="177"/>
        <v>930</v>
      </c>
      <c r="AC943" s="48">
        <f t="shared" si="172"/>
        <v>0.1377838923774988</v>
      </c>
      <c r="AE943" s="48">
        <f t="shared" si="178"/>
        <v>0.99783410476035039</v>
      </c>
      <c r="AF943" s="48">
        <f t="shared" si="182"/>
        <v>0.13778389237749888</v>
      </c>
      <c r="AH943" s="48">
        <f t="shared" si="183"/>
        <v>0</v>
      </c>
    </row>
    <row r="944" spans="4:34" ht="13.9" customHeight="1">
      <c r="D944" s="8"/>
      <c r="E944" s="9"/>
      <c r="F944" s="18"/>
      <c r="G944" s="18"/>
      <c r="H944" s="18"/>
      <c r="J944" s="40"/>
      <c r="K944" s="40"/>
      <c r="L944" s="40"/>
      <c r="M944" s="38"/>
      <c r="O944" s="12">
        <f t="shared" si="173"/>
        <v>77.583333333333329</v>
      </c>
      <c r="P944" s="13">
        <v>931</v>
      </c>
      <c r="Q944" s="21">
        <v>2.5905419962090281E-2</v>
      </c>
      <c r="R944" s="18">
        <f t="shared" si="174"/>
        <v>2.6362191201674268E-2</v>
      </c>
      <c r="S944" s="21">
        <v>3.7361584500188894E-2</v>
      </c>
      <c r="T944" s="18">
        <f t="shared" si="175"/>
        <v>4.2990319361061013E-2</v>
      </c>
      <c r="U944" s="23">
        <v>3.8921498481906625E-2</v>
      </c>
      <c r="V944" s="23">
        <f t="shared" si="176"/>
        <v>4.2988997398714757E-2</v>
      </c>
      <c r="W944" s="22">
        <f t="shared" si="179"/>
        <v>3.5137016552586608E-3</v>
      </c>
      <c r="X944" s="23">
        <v>3.8608956666723593E-2</v>
      </c>
      <c r="Y944" s="23">
        <f t="shared" si="180"/>
        <v>4.2989311431490762E-2</v>
      </c>
      <c r="Z944" s="22">
        <f t="shared" si="181"/>
        <v>3.5137269796783333E-3</v>
      </c>
      <c r="AA944" s="33"/>
      <c r="AB944" s="50">
        <f t="shared" si="177"/>
        <v>931</v>
      </c>
      <c r="AC944" s="48">
        <f t="shared" si="172"/>
        <v>0.1374854567355531</v>
      </c>
      <c r="AE944" s="48">
        <f t="shared" si="178"/>
        <v>0.99783403098289891</v>
      </c>
      <c r="AF944" s="48">
        <f t="shared" si="182"/>
        <v>0.13748545673555362</v>
      </c>
      <c r="AH944" s="48">
        <f t="shared" si="183"/>
        <v>5.2735593669694936E-16</v>
      </c>
    </row>
    <row r="945" spans="4:34" ht="13.9" customHeight="1">
      <c r="D945" s="8"/>
      <c r="E945" s="9"/>
      <c r="F945" s="18"/>
      <c r="G945" s="18"/>
      <c r="H945" s="18"/>
      <c r="J945" s="40"/>
      <c r="K945" s="40"/>
      <c r="L945" s="40"/>
      <c r="M945" s="38"/>
      <c r="O945" s="12">
        <f t="shared" si="173"/>
        <v>77.666666666666671</v>
      </c>
      <c r="P945" s="13">
        <v>932</v>
      </c>
      <c r="Q945" s="21">
        <v>2.5905909951031258E-2</v>
      </c>
      <c r="R945" s="18">
        <f t="shared" si="174"/>
        <v>2.6363086760554877E-2</v>
      </c>
      <c r="S945" s="21">
        <v>3.7367607606826114E-2</v>
      </c>
      <c r="T945" s="18">
        <f t="shared" si="175"/>
        <v>4.2990425630747842E-2</v>
      </c>
      <c r="U945" s="23">
        <v>3.8925854239183266E-2</v>
      </c>
      <c r="V945" s="23">
        <f t="shared" si="176"/>
        <v>4.2989111592020679E-2</v>
      </c>
      <c r="W945" s="22">
        <f t="shared" si="179"/>
        <v>3.5137109072587158E-3</v>
      </c>
      <c r="X945" s="23">
        <v>3.8613646745485175E-2</v>
      </c>
      <c r="Y945" s="23">
        <f t="shared" si="180"/>
        <v>4.2989423813563299E-2</v>
      </c>
      <c r="Z945" s="22">
        <f t="shared" si="181"/>
        <v>3.5137360861878797E-3</v>
      </c>
      <c r="AA945" s="33"/>
      <c r="AB945" s="50">
        <f t="shared" si="177"/>
        <v>932</v>
      </c>
      <c r="AC945" s="48">
        <f t="shared" si="172"/>
        <v>0.1371876574369815</v>
      </c>
      <c r="AE945" s="48">
        <f t="shared" si="178"/>
        <v>0.99783395781893536</v>
      </c>
      <c r="AF945" s="48">
        <f t="shared" si="182"/>
        <v>0.13718765743698147</v>
      </c>
      <c r="AH945" s="48">
        <f t="shared" si="183"/>
        <v>0</v>
      </c>
    </row>
    <row r="946" spans="4:34" ht="13.9" customHeight="1">
      <c r="D946" s="8"/>
      <c r="E946" s="9"/>
      <c r="F946" s="18"/>
      <c r="G946" s="18"/>
      <c r="H946" s="18"/>
      <c r="J946" s="40"/>
      <c r="K946" s="40"/>
      <c r="L946" s="40"/>
      <c r="M946" s="38"/>
      <c r="O946" s="12">
        <f t="shared" si="173"/>
        <v>77.75</v>
      </c>
      <c r="P946" s="13">
        <v>933</v>
      </c>
      <c r="Q946" s="21">
        <v>2.5906399849297657E-2</v>
      </c>
      <c r="R946" s="18">
        <f t="shared" si="174"/>
        <v>2.6363974873072848E-2</v>
      </c>
      <c r="S946" s="21">
        <v>3.7373617950341664E-2</v>
      </c>
      <c r="T946" s="18">
        <f t="shared" si="175"/>
        <v>4.2990530733688415E-2</v>
      </c>
      <c r="U946" s="23">
        <v>3.8930200799480286E-2</v>
      </c>
      <c r="V946" s="23">
        <f t="shared" si="176"/>
        <v>4.2989224599904619E-2</v>
      </c>
      <c r="W946" s="22">
        <f t="shared" si="179"/>
        <v>3.5137200631991661E-3</v>
      </c>
      <c r="X946" s="23">
        <v>3.8618326911545875E-2</v>
      </c>
      <c r="Y946" s="23">
        <f t="shared" si="180"/>
        <v>4.2989535014149594E-2</v>
      </c>
      <c r="Z946" s="22">
        <f t="shared" si="181"/>
        <v>3.5137450969024986E-3</v>
      </c>
      <c r="AA946" s="33"/>
      <c r="AB946" s="50">
        <f t="shared" si="177"/>
        <v>933</v>
      </c>
      <c r="AC946" s="48">
        <f t="shared" si="172"/>
        <v>0.13689049323053254</v>
      </c>
      <c r="AE946" s="48">
        <f t="shared" si="178"/>
        <v>0.9978338852634373</v>
      </c>
      <c r="AF946" s="48">
        <f t="shared" si="182"/>
        <v>0.13689049323053271</v>
      </c>
      <c r="AH946" s="48">
        <f t="shared" si="183"/>
        <v>0</v>
      </c>
    </row>
    <row r="947" spans="4:34" ht="13.9" customHeight="1">
      <c r="D947" s="8"/>
      <c r="E947" s="9"/>
      <c r="F947" s="18"/>
      <c r="G947" s="18"/>
      <c r="H947" s="18"/>
      <c r="J947" s="40"/>
      <c r="K947" s="40"/>
      <c r="L947" s="40"/>
      <c r="M947" s="38"/>
      <c r="O947" s="12">
        <f t="shared" si="173"/>
        <v>77.833333333333329</v>
      </c>
      <c r="P947" s="13">
        <v>934</v>
      </c>
      <c r="Q947" s="21">
        <v>2.5906889649211395E-2</v>
      </c>
      <c r="R947" s="18">
        <f t="shared" si="174"/>
        <v>2.636485560069679E-2</v>
      </c>
      <c r="S947" s="21">
        <v>3.7379615570378499E-2</v>
      </c>
      <c r="T947" s="18">
        <f t="shared" si="175"/>
        <v>4.2990634682954054E-2</v>
      </c>
      <c r="U947" s="23">
        <v>3.893453819101711E-2</v>
      </c>
      <c r="V947" s="23">
        <f t="shared" si="176"/>
        <v>4.2989336434964498E-2</v>
      </c>
      <c r="W947" s="22">
        <f t="shared" si="179"/>
        <v>3.513729124092535E-3</v>
      </c>
      <c r="X947" s="23">
        <v>3.8622997195419728E-2</v>
      </c>
      <c r="Y947" s="23">
        <f t="shared" si="180"/>
        <v>4.298964504542413E-2</v>
      </c>
      <c r="Z947" s="22">
        <f t="shared" si="181"/>
        <v>3.5137540128853395E-3</v>
      </c>
      <c r="AA947" s="33"/>
      <c r="AB947" s="50">
        <f t="shared" si="177"/>
        <v>934</v>
      </c>
      <c r="AC947" s="48">
        <f t="shared" si="172"/>
        <v>0.13659396286628572</v>
      </c>
      <c r="AE947" s="48">
        <f t="shared" si="178"/>
        <v>0.99783381331128895</v>
      </c>
      <c r="AF947" s="48">
        <f t="shared" si="182"/>
        <v>0.13659396286628564</v>
      </c>
      <c r="AH947" s="48">
        <f t="shared" si="183"/>
        <v>0</v>
      </c>
    </row>
    <row r="948" spans="4:34" ht="13.9" customHeight="1">
      <c r="D948" s="8"/>
      <c r="E948" s="9"/>
      <c r="F948" s="18"/>
      <c r="G948" s="18"/>
      <c r="H948" s="18"/>
      <c r="J948" s="40"/>
      <c r="K948" s="40"/>
      <c r="L948" s="40"/>
      <c r="M948" s="38"/>
      <c r="O948" s="12">
        <f t="shared" si="173"/>
        <v>77.916666666666671</v>
      </c>
      <c r="P948" s="13">
        <v>935</v>
      </c>
      <c r="Q948" s="21">
        <v>2.5907379343193204E-2</v>
      </c>
      <c r="R948" s="18">
        <f t="shared" si="174"/>
        <v>2.6365729005322747E-2</v>
      </c>
      <c r="S948" s="21">
        <v>3.7385600506423922E-2</v>
      </c>
      <c r="T948" s="18">
        <f t="shared" si="175"/>
        <v>4.2990737490853581E-2</v>
      </c>
      <c r="U948" s="23">
        <v>3.8938866441906139E-2</v>
      </c>
      <c r="V948" s="23">
        <f t="shared" si="176"/>
        <v>4.2989447109329948E-2</v>
      </c>
      <c r="W948" s="22">
        <f t="shared" si="179"/>
        <v>3.5137380909486815E-3</v>
      </c>
      <c r="X948" s="23">
        <v>3.8627657627503087E-2</v>
      </c>
      <c r="Y948" s="23">
        <f t="shared" si="180"/>
        <v>4.2989753919514095E-2</v>
      </c>
      <c r="Z948" s="22">
        <f t="shared" si="181"/>
        <v>3.5137628351129546E-3</v>
      </c>
      <c r="AA948" s="33"/>
      <c r="AB948" s="50">
        <f t="shared" si="177"/>
        <v>935</v>
      </c>
      <c r="AC948" s="48">
        <f t="shared" si="172"/>
        <v>0.13629806509567002</v>
      </c>
      <c r="AE948" s="48">
        <f t="shared" si="178"/>
        <v>0.99783374195750851</v>
      </c>
      <c r="AF948" s="48">
        <f t="shared" si="182"/>
        <v>0.13629806509567077</v>
      </c>
      <c r="AH948" s="48">
        <f t="shared" si="183"/>
        <v>7.4940054162198066E-16</v>
      </c>
    </row>
    <row r="949" spans="4:34" ht="13.9" customHeight="1">
      <c r="D949" s="8"/>
      <c r="E949" s="9"/>
      <c r="F949" s="18"/>
      <c r="G949" s="18"/>
      <c r="H949" s="18"/>
      <c r="J949" s="40"/>
      <c r="K949" s="40"/>
      <c r="L949" s="40"/>
      <c r="M949" s="38"/>
      <c r="O949" s="12">
        <f t="shared" si="173"/>
        <v>78</v>
      </c>
      <c r="P949" s="13">
        <v>936</v>
      </c>
      <c r="Q949" s="21">
        <v>2.5907868923761956E-2</v>
      </c>
      <c r="R949" s="18">
        <f t="shared" si="174"/>
        <v>2.6366595147801375E-2</v>
      </c>
      <c r="S949" s="21">
        <v>3.739157279781069E-2</v>
      </c>
      <c r="T949" s="18">
        <f t="shared" si="175"/>
        <v>4.2990839170188755E-2</v>
      </c>
      <c r="U949" s="23">
        <v>3.8943185580152972E-2</v>
      </c>
      <c r="V949" s="23">
        <f t="shared" si="176"/>
        <v>4.2989556634771109E-2</v>
      </c>
      <c r="W949" s="22">
        <f t="shared" si="179"/>
        <v>3.5137469647403829E-3</v>
      </c>
      <c r="X949" s="23">
        <v>3.863230823807573E-2</v>
      </c>
      <c r="Y949" s="23">
        <f t="shared" si="180"/>
        <v>4.2989861649228356E-2</v>
      </c>
      <c r="Z949" s="22">
        <f t="shared" si="181"/>
        <v>3.5137715645574552E-3</v>
      </c>
      <c r="AA949" s="33"/>
      <c r="AB949" s="50">
        <f t="shared" si="177"/>
        <v>936</v>
      </c>
      <c r="AC949" s="48">
        <f t="shared" si="172"/>
        <v>0.13600279867147158</v>
      </c>
      <c r="AE949" s="48">
        <f t="shared" si="178"/>
        <v>0.99783367119708011</v>
      </c>
      <c r="AF949" s="48">
        <f t="shared" si="182"/>
        <v>0.13600279867147178</v>
      </c>
      <c r="AH949" s="48">
        <f t="shared" si="183"/>
        <v>0</v>
      </c>
    </row>
    <row r="950" spans="4:34" ht="13.9" customHeight="1">
      <c r="D950" s="8"/>
      <c r="E950" s="9"/>
      <c r="F950" s="18"/>
      <c r="G950" s="18"/>
      <c r="H950" s="18"/>
      <c r="J950" s="40"/>
      <c r="K950" s="40"/>
      <c r="L950" s="40"/>
      <c r="M950" s="38"/>
      <c r="O950" s="12">
        <f t="shared" si="173"/>
        <v>78.083333333333329</v>
      </c>
      <c r="P950" s="13">
        <v>937</v>
      </c>
      <c r="Q950" s="21">
        <v>2.5908358383533781E-2</v>
      </c>
      <c r="R950" s="18">
        <f t="shared" si="174"/>
        <v>2.6367454089102571E-2</v>
      </c>
      <c r="S950" s="21">
        <v>3.7397532483717022E-2</v>
      </c>
      <c r="T950" s="18">
        <f t="shared" si="175"/>
        <v>4.2990939733246636E-2</v>
      </c>
      <c r="U950" s="23">
        <v>3.8947495633656182E-2</v>
      </c>
      <c r="V950" s="23">
        <f t="shared" si="176"/>
        <v>4.2989665023478896E-2</v>
      </c>
      <c r="W950" s="22">
        <f t="shared" si="179"/>
        <v>3.5137557464111069E-3</v>
      </c>
      <c r="X950" s="23">
        <v>3.8636949057301972E-2</v>
      </c>
      <c r="Y950" s="23">
        <f t="shared" si="180"/>
        <v>4.2989968245868093E-2</v>
      </c>
      <c r="Z950" s="22">
        <f t="shared" si="181"/>
        <v>3.5137802022460196E-3</v>
      </c>
      <c r="AA950" s="33"/>
      <c r="AB950" s="50">
        <f t="shared" si="177"/>
        <v>937</v>
      </c>
      <c r="AC950" s="48">
        <f t="shared" si="172"/>
        <v>0.13570816234784217</v>
      </c>
      <c r="AE950" s="48">
        <f t="shared" si="178"/>
        <v>0.99783360102507157</v>
      </c>
      <c r="AF950" s="48">
        <f t="shared" si="182"/>
        <v>0.1357081623478425</v>
      </c>
      <c r="AH950" s="48">
        <f t="shared" si="183"/>
        <v>3.3306690738754696E-16</v>
      </c>
    </row>
    <row r="951" spans="4:34" ht="13.9" customHeight="1">
      <c r="D951" s="8"/>
      <c r="E951" s="9"/>
      <c r="F951" s="18"/>
      <c r="G951" s="18"/>
      <c r="H951" s="18"/>
      <c r="J951" s="40"/>
      <c r="K951" s="40"/>
      <c r="L951" s="40"/>
      <c r="M951" s="38"/>
      <c r="O951" s="12">
        <f t="shared" si="173"/>
        <v>78.166666666666671</v>
      </c>
      <c r="P951" s="13">
        <v>938</v>
      </c>
      <c r="Q951" s="21">
        <v>2.5908847715220951E-2</v>
      </c>
      <c r="R951" s="18">
        <f t="shared" si="174"/>
        <v>2.6368305888248234E-2</v>
      </c>
      <c r="S951" s="21">
        <v>3.7403479603167922E-2</v>
      </c>
      <c r="T951" s="18">
        <f t="shared" si="175"/>
        <v>4.2991039192438629E-2</v>
      </c>
      <c r="U951" s="23">
        <v>3.8951796630208646E-2</v>
      </c>
      <c r="V951" s="23">
        <f t="shared" si="176"/>
        <v>4.2989772287199912E-2</v>
      </c>
      <c r="W951" s="22">
        <f t="shared" si="179"/>
        <v>3.5137644369387377E-3</v>
      </c>
      <c r="X951" s="23">
        <v>3.8641580115229779E-2</v>
      </c>
      <c r="Y951" s="23">
        <f t="shared" si="180"/>
        <v>4.2990073721480782E-2</v>
      </c>
      <c r="Z951" s="22">
        <f t="shared" si="181"/>
        <v>3.5137887490845898E-3</v>
      </c>
      <c r="AA951" s="33"/>
      <c r="AB951" s="50">
        <f t="shared" si="177"/>
        <v>938</v>
      </c>
      <c r="AC951" s="48">
        <f t="shared" si="172"/>
        <v>0.1354141548803115</v>
      </c>
      <c r="AE951" s="48">
        <f t="shared" si="178"/>
        <v>0.9978335314365423</v>
      </c>
      <c r="AF951" s="48">
        <f t="shared" si="182"/>
        <v>0.13541415488031128</v>
      </c>
      <c r="AH951" s="48">
        <f t="shared" si="183"/>
        <v>-2.2204460492503131E-16</v>
      </c>
    </row>
    <row r="952" spans="4:34" ht="13.9" customHeight="1">
      <c r="D952" s="8"/>
      <c r="E952" s="9"/>
      <c r="F952" s="18"/>
      <c r="G952" s="18"/>
      <c r="H952" s="18"/>
      <c r="J952" s="40"/>
      <c r="K952" s="40"/>
      <c r="L952" s="40"/>
      <c r="M952" s="38"/>
      <c r="O952" s="12">
        <f t="shared" si="173"/>
        <v>78.25</v>
      </c>
      <c r="P952" s="13">
        <v>939</v>
      </c>
      <c r="Q952" s="21">
        <v>2.5909336911629888E-2</v>
      </c>
      <c r="R952" s="18">
        <f t="shared" si="174"/>
        <v>2.6369150605735525E-2</v>
      </c>
      <c r="S952" s="21">
        <v>3.7409414195035628E-2</v>
      </c>
      <c r="T952" s="18">
        <f t="shared" si="175"/>
        <v>4.2991137559722281E-2</v>
      </c>
      <c r="U952" s="23">
        <v>3.8956088597497329E-2</v>
      </c>
      <c r="V952" s="23">
        <f t="shared" si="176"/>
        <v>4.2989878437737161E-2</v>
      </c>
      <c r="W952" s="22">
        <f t="shared" si="179"/>
        <v>3.5137730372649667E-3</v>
      </c>
      <c r="X952" s="23">
        <v>3.8646201441792316E-2</v>
      </c>
      <c r="Y952" s="23">
        <f t="shared" si="180"/>
        <v>4.2990178088524456E-2</v>
      </c>
      <c r="Z952" s="22">
        <f t="shared" si="181"/>
        <v>3.5137972060392819E-3</v>
      </c>
      <c r="AA952" s="33"/>
      <c r="AB952" s="50">
        <f t="shared" si="177"/>
        <v>939</v>
      </c>
      <c r="AC952" s="48">
        <f t="shared" si="172"/>
        <v>0.1351207750258078</v>
      </c>
      <c r="AE952" s="48">
        <f t="shared" si="178"/>
        <v>0.99783346242670878</v>
      </c>
      <c r="AF952" s="48">
        <f t="shared" si="182"/>
        <v>0.1351207750258076</v>
      </c>
      <c r="AH952" s="48">
        <f t="shared" si="183"/>
        <v>0</v>
      </c>
    </row>
    <row r="953" spans="4:34" ht="13.9" customHeight="1">
      <c r="D953" s="8"/>
      <c r="E953" s="9"/>
      <c r="F953" s="18"/>
      <c r="G953" s="18"/>
      <c r="H953" s="18"/>
      <c r="J953" s="40"/>
      <c r="K953" s="40"/>
      <c r="L953" s="40"/>
      <c r="M953" s="38"/>
      <c r="O953" s="12">
        <f t="shared" si="173"/>
        <v>78.333333333333329</v>
      </c>
      <c r="P953" s="13">
        <v>940</v>
      </c>
      <c r="Q953" s="21">
        <v>2.5909825965661826E-2</v>
      </c>
      <c r="R953" s="18">
        <f t="shared" si="174"/>
        <v>2.6369988300084302E-2</v>
      </c>
      <c r="S953" s="21">
        <v>3.7415336298040058E-2</v>
      </c>
      <c r="T953" s="18">
        <f t="shared" si="175"/>
        <v>4.2991234846944781E-2</v>
      </c>
      <c r="U953" s="23">
        <v>3.896037156310439E-2</v>
      </c>
      <c r="V953" s="23">
        <f t="shared" si="176"/>
        <v>4.2989983486250827E-2</v>
      </c>
      <c r="W953" s="22">
        <f t="shared" si="179"/>
        <v>3.5137815483359258E-3</v>
      </c>
      <c r="X953" s="23">
        <v>3.8650813066808398E-2</v>
      </c>
      <c r="Y953" s="23">
        <f t="shared" si="180"/>
        <v>4.2990281357716098E-2</v>
      </c>
      <c r="Z953" s="22">
        <f t="shared" si="181"/>
        <v>3.5138055741088525E-3</v>
      </c>
      <c r="AA953" s="33"/>
      <c r="AB953" s="50">
        <f t="shared" si="177"/>
        <v>940</v>
      </c>
      <c r="AC953" s="48">
        <f t="shared" si="172"/>
        <v>0.13482802154265058</v>
      </c>
      <c r="AE953" s="48">
        <f t="shared" si="178"/>
        <v>0.99783339399066784</v>
      </c>
      <c r="AF953" s="48">
        <f t="shared" si="182"/>
        <v>0.13482802154265108</v>
      </c>
      <c r="AH953" s="48">
        <f t="shared" si="183"/>
        <v>4.9960036108132044E-16</v>
      </c>
    </row>
    <row r="954" spans="4:34" ht="13.9" customHeight="1">
      <c r="D954" s="8"/>
      <c r="E954" s="9"/>
      <c r="F954" s="18"/>
      <c r="G954" s="18"/>
      <c r="H954" s="18"/>
      <c r="J954" s="40"/>
      <c r="K954" s="40"/>
      <c r="L954" s="40"/>
      <c r="M954" s="38"/>
      <c r="O954" s="12">
        <f t="shared" si="173"/>
        <v>78.416666666666671</v>
      </c>
      <c r="P954" s="13">
        <v>941</v>
      </c>
      <c r="Q954" s="21">
        <v>2.5910314870310147E-2</v>
      </c>
      <c r="R954" s="18">
        <f t="shared" si="174"/>
        <v>2.6370819029704284E-2</v>
      </c>
      <c r="S954" s="21">
        <v>3.7421245950749471E-2</v>
      </c>
      <c r="T954" s="18">
        <f t="shared" si="175"/>
        <v>4.2991331066205785E-2</v>
      </c>
      <c r="U954" s="23">
        <v>3.8964645554506516E-2</v>
      </c>
      <c r="V954" s="23">
        <f t="shared" si="176"/>
        <v>4.2990087444221725E-2</v>
      </c>
      <c r="W954" s="22">
        <f t="shared" si="179"/>
        <v>3.5137899710468989E-3</v>
      </c>
      <c r="X954" s="23">
        <v>3.8655415019982042E-2</v>
      </c>
      <c r="Y954" s="23">
        <f t="shared" si="180"/>
        <v>4.2990383541489541E-2</v>
      </c>
      <c r="Z954" s="22">
        <f t="shared" si="181"/>
        <v>3.5138138541528363E-3</v>
      </c>
      <c r="AA954" s="33"/>
      <c r="AB954" s="50">
        <f t="shared" si="177"/>
        <v>941</v>
      </c>
      <c r="AC954" s="48">
        <f t="shared" si="172"/>
        <v>0.13453589319057835</v>
      </c>
      <c r="AE954" s="48">
        <f t="shared" si="178"/>
        <v>0.99783332612367726</v>
      </c>
      <c r="AF954" s="48">
        <f t="shared" si="182"/>
        <v>0.13453589319057835</v>
      </c>
      <c r="AH954" s="48">
        <f t="shared" si="183"/>
        <v>0</v>
      </c>
    </row>
    <row r="955" spans="4:34" ht="13.9" customHeight="1">
      <c r="D955" s="8"/>
      <c r="E955" s="9"/>
      <c r="F955" s="18"/>
      <c r="G955" s="18"/>
      <c r="H955" s="18"/>
      <c r="J955" s="40"/>
      <c r="K955" s="40"/>
      <c r="L955" s="40"/>
      <c r="M955" s="38"/>
      <c r="O955" s="12">
        <f t="shared" si="173"/>
        <v>78.5</v>
      </c>
      <c r="P955" s="13">
        <v>942</v>
      </c>
      <c r="Q955" s="21">
        <v>2.5910803618660383E-2</v>
      </c>
      <c r="R955" s="18">
        <f t="shared" si="174"/>
        <v>2.6371642853021182E-2</v>
      </c>
      <c r="S955" s="21">
        <v>3.7427143191581358E-2</v>
      </c>
      <c r="T955" s="18">
        <f t="shared" si="175"/>
        <v>4.2991426229325169E-2</v>
      </c>
      <c r="U955" s="23">
        <v>3.8968910599076478E-2</v>
      </c>
      <c r="V955" s="23">
        <f t="shared" si="176"/>
        <v>4.2990190323629607E-2</v>
      </c>
      <c r="W955" s="22">
        <f t="shared" si="179"/>
        <v>3.5137983063180389E-3</v>
      </c>
      <c r="X955" s="23">
        <v>3.8660007330904467E-2</v>
      </c>
      <c r="Y955" s="23">
        <f t="shared" si="180"/>
        <v>4.2990484650225147E-2</v>
      </c>
      <c r="Z955" s="22">
        <f t="shared" si="181"/>
        <v>3.5138220471682136E-3</v>
      </c>
      <c r="AA955" s="33"/>
      <c r="AB955" s="50">
        <f t="shared" si="177"/>
        <v>942</v>
      </c>
      <c r="AC955" s="48">
        <f t="shared" si="172"/>
        <v>0.13424438873074879</v>
      </c>
      <c r="AE955" s="48">
        <f t="shared" si="178"/>
        <v>0.99783325882100338</v>
      </c>
      <c r="AF955" s="48">
        <f t="shared" si="182"/>
        <v>0.13424438873074923</v>
      </c>
      <c r="AH955" s="48">
        <f t="shared" si="183"/>
        <v>4.4408920985006262E-16</v>
      </c>
    </row>
    <row r="956" spans="4:34" ht="13.9" customHeight="1">
      <c r="D956" s="8"/>
      <c r="E956" s="9"/>
      <c r="F956" s="18"/>
      <c r="G956" s="18"/>
      <c r="H956" s="18"/>
      <c r="J956" s="40"/>
      <c r="K956" s="40"/>
      <c r="L956" s="40"/>
      <c r="M956" s="38"/>
      <c r="O956" s="12">
        <f t="shared" si="173"/>
        <v>78.583333333333329</v>
      </c>
      <c r="P956" s="13">
        <v>943</v>
      </c>
      <c r="Q956" s="21">
        <v>2.591129220388888E-2</v>
      </c>
      <c r="R956" s="18">
        <f t="shared" si="174"/>
        <v>2.6372459826606409E-2</v>
      </c>
      <c r="S956" s="21">
        <v>3.7433028058803552E-2</v>
      </c>
      <c r="T956" s="18">
        <f t="shared" si="175"/>
        <v>4.2991520347634316E-2</v>
      </c>
      <c r="U956" s="23">
        <v>3.897316672408313E-2</v>
      </c>
      <c r="V956" s="23">
        <f t="shared" si="176"/>
        <v>4.2990292135077324E-2</v>
      </c>
      <c r="W956" s="22">
        <f t="shared" si="179"/>
        <v>3.5138065551101327E-3</v>
      </c>
      <c r="X956" s="23">
        <v>3.8664590029052537E-2</v>
      </c>
      <c r="Y956" s="23">
        <f t="shared" si="180"/>
        <v>4.2990584696423362E-2</v>
      </c>
      <c r="Z956" s="22">
        <f t="shared" si="181"/>
        <v>3.5138301539869854E-3</v>
      </c>
      <c r="AA956" s="33"/>
      <c r="AB956" s="50">
        <f t="shared" si="177"/>
        <v>943</v>
      </c>
      <c r="AC956" s="48">
        <f t="shared" si="172"/>
        <v>0.13395350692575175</v>
      </c>
      <c r="AE956" s="48">
        <f t="shared" si="178"/>
        <v>0.99783319207791099</v>
      </c>
      <c r="AF956" s="48">
        <f t="shared" si="182"/>
        <v>0.13395350692575145</v>
      </c>
      <c r="AH956" s="48">
        <f t="shared" si="183"/>
        <v>-3.0531133177191805E-16</v>
      </c>
    </row>
    <row r="957" spans="4:34" ht="13.9" customHeight="1">
      <c r="D957" s="8"/>
      <c r="E957" s="9"/>
      <c r="F957" s="18"/>
      <c r="G957" s="18"/>
      <c r="H957" s="18"/>
      <c r="J957" s="40"/>
      <c r="K957" s="40"/>
      <c r="L957" s="40"/>
      <c r="M957" s="38"/>
      <c r="O957" s="12">
        <f t="shared" si="173"/>
        <v>78.666666666666671</v>
      </c>
      <c r="P957" s="13">
        <v>944</v>
      </c>
      <c r="Q957" s="21">
        <v>2.5911780619261249E-2</v>
      </c>
      <c r="R957" s="18">
        <f t="shared" si="174"/>
        <v>2.6373270008865912E-2</v>
      </c>
      <c r="S957" s="21">
        <v>3.7438900590533786E-2</v>
      </c>
      <c r="T957" s="18">
        <f t="shared" si="175"/>
        <v>4.2991613432620035E-2</v>
      </c>
      <c r="U957" s="23">
        <v>3.8977413956691853E-2</v>
      </c>
      <c r="V957" s="23">
        <f t="shared" si="176"/>
        <v>4.2990392889519224E-2</v>
      </c>
      <c r="W957" s="22">
        <f t="shared" si="179"/>
        <v>3.5138147182733892E-3</v>
      </c>
      <c r="X957" s="23">
        <v>3.8669163143791652E-2</v>
      </c>
      <c r="Y957" s="23">
        <f t="shared" si="180"/>
        <v>4.2990683690344866E-2</v>
      </c>
      <c r="Z957" s="22">
        <f t="shared" si="181"/>
        <v>3.5138381756116832E-3</v>
      </c>
      <c r="AA957" s="33"/>
      <c r="AB957" s="50">
        <f t="shared" si="177"/>
        <v>944</v>
      </c>
      <c r="AC957" s="48">
        <f t="shared" si="172"/>
        <v>0.13366324653962569</v>
      </c>
      <c r="AE957" s="48">
        <f t="shared" si="178"/>
        <v>0.99783312588981576</v>
      </c>
      <c r="AF957" s="48">
        <f t="shared" si="182"/>
        <v>0.13366324653962566</v>
      </c>
      <c r="AH957" s="48">
        <f t="shared" si="183"/>
        <v>0</v>
      </c>
    </row>
    <row r="958" spans="4:34" ht="13.9" customHeight="1">
      <c r="D958" s="8"/>
      <c r="E958" s="9"/>
      <c r="F958" s="18"/>
      <c r="G958" s="18"/>
      <c r="H958" s="18"/>
      <c r="J958" s="40"/>
      <c r="K958" s="40"/>
      <c r="L958" s="40"/>
      <c r="M958" s="38"/>
      <c r="O958" s="12">
        <f t="shared" si="173"/>
        <v>78.75</v>
      </c>
      <c r="P958" s="13">
        <v>945</v>
      </c>
      <c r="Q958" s="21">
        <v>2.5912268858133025E-2</v>
      </c>
      <c r="R958" s="18">
        <f t="shared" si="174"/>
        <v>2.6374073455361691E-2</v>
      </c>
      <c r="S958" s="21">
        <v>3.7444760824741019E-2</v>
      </c>
      <c r="T958" s="18">
        <f t="shared" si="175"/>
        <v>4.299170549573117E-2</v>
      </c>
      <c r="U958" s="23">
        <v>3.8981652323964333E-2</v>
      </c>
      <c r="V958" s="23">
        <f t="shared" si="176"/>
        <v>4.2990492598552255E-2</v>
      </c>
      <c r="W958" s="22">
        <f t="shared" si="179"/>
        <v>3.5138227966857727E-3</v>
      </c>
      <c r="X958" s="23">
        <v>3.8673726704373745E-2</v>
      </c>
      <c r="Y958" s="23">
        <f t="shared" si="180"/>
        <v>4.2990781642937126E-2</v>
      </c>
      <c r="Z958" s="22">
        <f t="shared" si="181"/>
        <v>3.5138461128649823E-3</v>
      </c>
      <c r="AA958" s="33"/>
      <c r="AB958" s="50">
        <f t="shared" si="177"/>
        <v>945</v>
      </c>
      <c r="AC958" s="48">
        <f t="shared" si="172"/>
        <v>0.13337360633785023</v>
      </c>
      <c r="AE958" s="48">
        <f t="shared" si="178"/>
        <v>0.99783306025198415</v>
      </c>
      <c r="AF958" s="48">
        <f t="shared" si="182"/>
        <v>0.13337360633785011</v>
      </c>
      <c r="AH958" s="48">
        <f t="shared" si="183"/>
        <v>0</v>
      </c>
    </row>
    <row r="959" spans="4:34" ht="13.9" customHeight="1">
      <c r="D959" s="8"/>
      <c r="E959" s="9"/>
      <c r="F959" s="18"/>
      <c r="G959" s="18"/>
      <c r="H959" s="18"/>
      <c r="J959" s="40"/>
      <c r="K959" s="40"/>
      <c r="L959" s="40"/>
      <c r="M959" s="38"/>
      <c r="O959" s="12">
        <f t="shared" si="173"/>
        <v>78.833333333333329</v>
      </c>
      <c r="P959" s="13">
        <v>946</v>
      </c>
      <c r="Q959" s="21">
        <v>2.5912756913946788E-2</v>
      </c>
      <c r="R959" s="18">
        <f t="shared" si="174"/>
        <v>2.6374870222760416E-2</v>
      </c>
      <c r="S959" s="21">
        <v>3.745060879924611E-2</v>
      </c>
      <c r="T959" s="18">
        <f t="shared" si="175"/>
        <v>4.2991796548247363E-2</v>
      </c>
      <c r="U959" s="23">
        <v>3.898588185286056E-2</v>
      </c>
      <c r="V959" s="23">
        <f t="shared" si="176"/>
        <v>4.299059127251148E-2</v>
      </c>
      <c r="W959" s="22">
        <f t="shared" si="179"/>
        <v>3.5138307912776501E-3</v>
      </c>
      <c r="X959" s="23">
        <v>3.8678280739939508E-2</v>
      </c>
      <c r="Y959" s="23">
        <f t="shared" si="180"/>
        <v>4.2990878566495194E-2</v>
      </c>
      <c r="Z959" s="22">
        <f t="shared" si="181"/>
        <v>3.5138539666248469E-3</v>
      </c>
      <c r="AA959" s="33"/>
      <c r="AB959" s="50">
        <f t="shared" si="177"/>
        <v>946</v>
      </c>
      <c r="AC959" s="48">
        <f t="shared" si="172"/>
        <v>0.13308458508737583</v>
      </c>
      <c r="AE959" s="48">
        <f t="shared" si="178"/>
        <v>0.99783299515991364</v>
      </c>
      <c r="AF959" s="48">
        <f t="shared" si="182"/>
        <v>0.13308458508737622</v>
      </c>
      <c r="AH959" s="48">
        <f t="shared" si="183"/>
        <v>3.8857805861880479E-16</v>
      </c>
    </row>
    <row r="960" spans="4:34" ht="13.9" customHeight="1">
      <c r="D960" s="8"/>
      <c r="E960" s="9"/>
      <c r="F960" s="18"/>
      <c r="G960" s="18"/>
      <c r="H960" s="18"/>
      <c r="J960" s="40"/>
      <c r="K960" s="40"/>
      <c r="L960" s="40"/>
      <c r="M960" s="38"/>
      <c r="O960" s="12">
        <f t="shared" si="173"/>
        <v>78.916666666666671</v>
      </c>
      <c r="P960" s="13">
        <v>947</v>
      </c>
      <c r="Q960" s="21">
        <v>2.5913244780232381E-2</v>
      </c>
      <c r="R960" s="18">
        <f t="shared" si="174"/>
        <v>2.637566036624106E-2</v>
      </c>
      <c r="S960" s="21">
        <v>3.7456444551722479E-2</v>
      </c>
      <c r="T960" s="18">
        <f t="shared" si="175"/>
        <v>4.2991886600939999E-2</v>
      </c>
      <c r="U960" s="23">
        <v>3.8990102570237495E-2</v>
      </c>
      <c r="V960" s="23">
        <f t="shared" si="176"/>
        <v>4.2990688922084352E-2</v>
      </c>
      <c r="W960" s="22">
        <f t="shared" si="179"/>
        <v>3.5138387028772478E-3</v>
      </c>
      <c r="X960" s="23">
        <v>3.8682825279518829E-2</v>
      </c>
      <c r="Y960" s="23">
        <f t="shared" si="180"/>
        <v>4.2990974470188181E-2</v>
      </c>
      <c r="Z960" s="22">
        <f t="shared" si="181"/>
        <v>3.5138617378767112E-3</v>
      </c>
      <c r="AA960" s="33"/>
      <c r="AB960" s="50">
        <f t="shared" si="177"/>
        <v>947</v>
      </c>
      <c r="AC960" s="48">
        <f t="shared" si="172"/>
        <v>0.13279618155662093</v>
      </c>
      <c r="AE960" s="48">
        <f t="shared" si="178"/>
        <v>0.99783293060901179</v>
      </c>
      <c r="AF960" s="48">
        <f t="shared" si="182"/>
        <v>0.13279618155662101</v>
      </c>
      <c r="AH960" s="48">
        <f t="shared" si="183"/>
        <v>0</v>
      </c>
    </row>
    <row r="961" spans="4:34" ht="13.9" customHeight="1">
      <c r="D961" s="8"/>
      <c r="E961" s="9"/>
      <c r="F961" s="18"/>
      <c r="G961" s="18"/>
      <c r="H961" s="18"/>
      <c r="J961" s="40"/>
      <c r="K961" s="40"/>
      <c r="L961" s="40"/>
      <c r="M961" s="38"/>
      <c r="O961" s="12">
        <f t="shared" si="173"/>
        <v>79</v>
      </c>
      <c r="P961" s="13">
        <v>948</v>
      </c>
      <c r="Q961" s="21">
        <v>2.5913732450605353E-2</v>
      </c>
      <c r="R961" s="18">
        <f t="shared" si="174"/>
        <v>2.6376443940755001E-2</v>
      </c>
      <c r="S961" s="21">
        <v>3.7462268119696329E-2</v>
      </c>
      <c r="T961" s="18">
        <f t="shared" si="175"/>
        <v>4.2991975665568116E-2</v>
      </c>
      <c r="U961" s="23">
        <v>3.8994314502850402E-2</v>
      </c>
      <c r="V961" s="23">
        <f t="shared" si="176"/>
        <v>4.2990785558532307E-2</v>
      </c>
      <c r="W961" s="22">
        <f t="shared" si="179"/>
        <v>3.5138465323416579E-3</v>
      </c>
      <c r="X961" s="23">
        <v>3.8687360352029687E-2</v>
      </c>
      <c r="Y961" s="23">
        <f t="shared" si="180"/>
        <v>4.2991069365949208E-2</v>
      </c>
      <c r="Z961" s="22">
        <f t="shared" si="181"/>
        <v>3.5138694273559867E-3</v>
      </c>
      <c r="AA961" s="33"/>
      <c r="AB961" s="50">
        <f t="shared" si="177"/>
        <v>948</v>
      </c>
      <c r="AC961" s="48">
        <f t="shared" si="172"/>
        <v>0.13250839451548738</v>
      </c>
      <c r="AE961" s="48">
        <f t="shared" si="178"/>
        <v>0.99783286659480686</v>
      </c>
      <c r="AF961" s="48">
        <f t="shared" si="182"/>
        <v>0.13250839451548757</v>
      </c>
      <c r="AH961" s="48">
        <f t="shared" si="183"/>
        <v>0</v>
      </c>
    </row>
    <row r="962" spans="4:34" ht="13.9" customHeight="1">
      <c r="D962" s="8"/>
      <c r="E962" s="9"/>
      <c r="F962" s="18"/>
      <c r="G962" s="18"/>
      <c r="H962" s="18"/>
      <c r="J962" s="40"/>
      <c r="K962" s="40"/>
      <c r="L962" s="40"/>
      <c r="M962" s="38"/>
      <c r="O962" s="12">
        <f t="shared" si="173"/>
        <v>79.083333333333329</v>
      </c>
      <c r="P962" s="13">
        <v>949</v>
      </c>
      <c r="Q962" s="21">
        <v>2.5914219918766079E-2</v>
      </c>
      <c r="R962" s="18">
        <f t="shared" si="174"/>
        <v>2.6377221001942175E-2</v>
      </c>
      <c r="S962" s="21">
        <v>3.7468079540548205E-2</v>
      </c>
      <c r="T962" s="18">
        <f t="shared" si="175"/>
        <v>4.2992063751924103E-2</v>
      </c>
      <c r="U962" s="23">
        <v>3.8998517677353739E-2</v>
      </c>
      <c r="V962" s="23">
        <f t="shared" si="176"/>
        <v>4.2990881191818042E-2</v>
      </c>
      <c r="W962" s="22">
        <f t="shared" si="179"/>
        <v>3.5138542805739359E-3</v>
      </c>
      <c r="X962" s="23">
        <v>3.8691885986280594E-2</v>
      </c>
      <c r="Y962" s="23">
        <f t="shared" si="180"/>
        <v>4.2991163263472965E-2</v>
      </c>
      <c r="Z962" s="22">
        <f t="shared" si="181"/>
        <v>3.5138770360194638E-3</v>
      </c>
      <c r="AA962" s="33"/>
      <c r="AB962" s="50">
        <f t="shared" si="177"/>
        <v>949</v>
      </c>
      <c r="AC962" s="48">
        <f t="shared" si="172"/>
        <v>0.13222122273537157</v>
      </c>
      <c r="AE962" s="48">
        <f t="shared" si="178"/>
        <v>0.9978328031128455</v>
      </c>
      <c r="AF962" s="48">
        <f t="shared" si="182"/>
        <v>0.13222122273537176</v>
      </c>
      <c r="AH962" s="48">
        <f t="shared" si="183"/>
        <v>0</v>
      </c>
    </row>
    <row r="963" spans="4:34" ht="13.9" customHeight="1">
      <c r="D963" s="8"/>
      <c r="E963" s="9"/>
      <c r="F963" s="18"/>
      <c r="G963" s="18"/>
      <c r="H963" s="18"/>
      <c r="J963" s="40"/>
      <c r="K963" s="40"/>
      <c r="L963" s="40"/>
      <c r="M963" s="38"/>
      <c r="O963" s="12">
        <f t="shared" si="173"/>
        <v>79.166666666666671</v>
      </c>
      <c r="P963" s="13">
        <v>950</v>
      </c>
      <c r="Q963" s="21">
        <v>2.5914707178499752E-2</v>
      </c>
      <c r="R963" s="18">
        <f t="shared" si="174"/>
        <v>2.6377991603529827E-2</v>
      </c>
      <c r="S963" s="21">
        <v>3.7473878851512099E-2</v>
      </c>
      <c r="T963" s="18">
        <f t="shared" si="175"/>
        <v>4.2992150871391743E-2</v>
      </c>
      <c r="U963" s="23">
        <v>3.9002712120300265E-2</v>
      </c>
      <c r="V963" s="23">
        <f t="shared" si="176"/>
        <v>4.2990975832253309E-2</v>
      </c>
      <c r="W963" s="22">
        <f t="shared" si="179"/>
        <v>3.5138619483729983E-3</v>
      </c>
      <c r="X963" s="23">
        <v>3.8696402210969261E-2</v>
      </c>
      <c r="Y963" s="23">
        <f t="shared" si="180"/>
        <v>4.2991256173983139E-2</v>
      </c>
      <c r="Z963" s="22">
        <f t="shared" si="181"/>
        <v>3.5138845646445205E-3</v>
      </c>
      <c r="AA963" s="33"/>
      <c r="AB963" s="50">
        <f t="shared" si="177"/>
        <v>950</v>
      </c>
      <c r="AC963" s="48">
        <f t="shared" si="172"/>
        <v>0.13193466498915871</v>
      </c>
      <c r="AE963" s="48">
        <f t="shared" si="178"/>
        <v>0.99783274015861867</v>
      </c>
      <c r="AF963" s="48">
        <f t="shared" si="182"/>
        <v>0.13193466498915907</v>
      </c>
      <c r="AH963" s="48">
        <f t="shared" si="183"/>
        <v>3.6082248300317588E-16</v>
      </c>
    </row>
    <row r="964" spans="4:34" ht="13.9" customHeight="1">
      <c r="D964" s="8"/>
      <c r="E964" s="9"/>
      <c r="F964" s="18"/>
      <c r="G964" s="18"/>
      <c r="H964" s="18"/>
      <c r="J964" s="40"/>
      <c r="K964" s="40"/>
      <c r="L964" s="40"/>
      <c r="M964" s="38"/>
      <c r="O964" s="12">
        <f t="shared" si="173"/>
        <v>79.25</v>
      </c>
      <c r="P964" s="13">
        <v>951</v>
      </c>
      <c r="Q964" s="21">
        <v>2.5915194223674387E-2</v>
      </c>
      <c r="R964" s="18">
        <f t="shared" si="174"/>
        <v>2.6378755798951214E-2</v>
      </c>
      <c r="S964" s="21">
        <v>3.7479666089677899E-2</v>
      </c>
      <c r="T964" s="18">
        <f t="shared" si="175"/>
        <v>4.2992237034662706E-2</v>
      </c>
      <c r="U964" s="23">
        <v>3.9006897858142153E-2</v>
      </c>
      <c r="V964" s="23">
        <f t="shared" si="176"/>
        <v>4.2991069490620593E-2</v>
      </c>
      <c r="W964" s="22">
        <f t="shared" si="179"/>
        <v>3.513869536565295E-3</v>
      </c>
      <c r="X964" s="23">
        <v>3.8700909054684596E-2</v>
      </c>
      <c r="Y964" s="23">
        <f t="shared" si="180"/>
        <v>4.2991348107267235E-2</v>
      </c>
      <c r="Z964" s="22">
        <f t="shared" si="181"/>
        <v>3.5138920141311036E-3</v>
      </c>
      <c r="AA964" s="33"/>
      <c r="AB964" s="50">
        <f t="shared" si="177"/>
        <v>951</v>
      </c>
      <c r="AC964" s="48">
        <f t="shared" si="172"/>
        <v>0.13164872005124847</v>
      </c>
      <c r="AE964" s="48">
        <f t="shared" si="178"/>
        <v>0.99783267772777262</v>
      </c>
      <c r="AF964" s="48">
        <f t="shared" si="182"/>
        <v>0.1316487200512492</v>
      </c>
      <c r="AH964" s="48">
        <f t="shared" si="183"/>
        <v>7.2164496600635175E-16</v>
      </c>
    </row>
    <row r="965" spans="4:34" ht="13.9" customHeight="1">
      <c r="D965" s="8"/>
      <c r="E965" s="9"/>
      <c r="F965" s="18"/>
      <c r="G965" s="18"/>
      <c r="H965" s="18"/>
      <c r="J965" s="40"/>
      <c r="K965" s="40"/>
      <c r="L965" s="40"/>
      <c r="M965" s="38"/>
      <c r="O965" s="12">
        <f t="shared" si="173"/>
        <v>79.333333333333329</v>
      </c>
      <c r="P965" s="13">
        <v>952</v>
      </c>
      <c r="Q965" s="21">
        <v>2.5915681048239714E-2</v>
      </c>
      <c r="R965" s="18">
        <f t="shared" si="174"/>
        <v>2.6379513641913821E-2</v>
      </c>
      <c r="S965" s="21">
        <v>3.7485441291990718E-2</v>
      </c>
      <c r="T965" s="18">
        <f t="shared" si="175"/>
        <v>4.2992322251711679E-2</v>
      </c>
      <c r="U965" s="23">
        <v>3.9011074917232103E-2</v>
      </c>
      <c r="V965" s="23">
        <f t="shared" si="176"/>
        <v>4.2991162176915454E-2</v>
      </c>
      <c r="W965" s="22">
        <f t="shared" si="179"/>
        <v>3.5138770460154678E-3</v>
      </c>
      <c r="X965" s="23">
        <v>3.870540654590604E-2</v>
      </c>
      <c r="Y965" s="23">
        <f t="shared" si="180"/>
        <v>4.299143907421632E-2</v>
      </c>
      <c r="Z965" s="22">
        <f t="shared" si="181"/>
        <v>3.5138993852636968E-3</v>
      </c>
      <c r="AA965" s="33"/>
      <c r="AB965" s="50">
        <f t="shared" si="177"/>
        <v>952</v>
      </c>
      <c r="AC965" s="48">
        <f t="shared" si="172"/>
        <v>0.13136338669756278</v>
      </c>
      <c r="AE965" s="48">
        <f t="shared" si="178"/>
        <v>0.99783261581597671</v>
      </c>
      <c r="AF965" s="48">
        <f t="shared" si="182"/>
        <v>0.1313633866975632</v>
      </c>
      <c r="AH965" s="48">
        <f t="shared" si="183"/>
        <v>4.163336342344337E-16</v>
      </c>
    </row>
    <row r="966" spans="4:34" ht="13.9" customHeight="1">
      <c r="D966" s="8"/>
      <c r="E966" s="9"/>
      <c r="F966" s="18"/>
      <c r="G966" s="18"/>
      <c r="H966" s="18"/>
      <c r="J966" s="40"/>
      <c r="K966" s="40"/>
      <c r="L966" s="40"/>
      <c r="M966" s="38"/>
      <c r="O966" s="12">
        <f t="shared" si="173"/>
        <v>79.416666666666671</v>
      </c>
      <c r="P966" s="13">
        <v>953</v>
      </c>
      <c r="Q966" s="21">
        <v>2.5916167646227395E-2</v>
      </c>
      <c r="R966" s="18">
        <f t="shared" si="174"/>
        <v>2.638026518551273E-2</v>
      </c>
      <c r="S966" s="21">
        <v>3.7491204495251784E-2</v>
      </c>
      <c r="T966" s="18">
        <f t="shared" si="175"/>
        <v>4.2992406533677974E-2</v>
      </c>
      <c r="U966" s="23">
        <v>3.9015243323822446E-2</v>
      </c>
      <c r="V966" s="23">
        <f t="shared" si="176"/>
        <v>4.2991253901175641E-2</v>
      </c>
      <c r="W966" s="22">
        <f t="shared" si="179"/>
        <v>3.5138844775253197E-3</v>
      </c>
      <c r="X966" s="23">
        <v>3.87098947130049E-2</v>
      </c>
      <c r="Y966" s="23">
        <f t="shared" si="180"/>
        <v>4.2991529084634106E-2</v>
      </c>
      <c r="Z966" s="22">
        <f t="shared" si="181"/>
        <v>3.5139066789160456E-3</v>
      </c>
      <c r="AA966" s="33"/>
      <c r="AB966" s="50">
        <f t="shared" si="177"/>
        <v>953</v>
      </c>
      <c r="AC966" s="48">
        <f t="shared" si="172"/>
        <v>0.13107866370554386</v>
      </c>
      <c r="AE966" s="48">
        <f t="shared" si="178"/>
        <v>0.99783255441887864</v>
      </c>
      <c r="AF966" s="48">
        <f t="shared" si="182"/>
        <v>0.13107866370554444</v>
      </c>
      <c r="AH966" s="48">
        <f t="shared" si="183"/>
        <v>5.8286708792820718E-16</v>
      </c>
    </row>
    <row r="967" spans="4:34" ht="13.9" customHeight="1">
      <c r="D967" s="8"/>
      <c r="E967" s="9"/>
      <c r="F967" s="18"/>
      <c r="G967" s="18"/>
      <c r="H967" s="18"/>
      <c r="J967" s="40"/>
      <c r="K967" s="40"/>
      <c r="L967" s="40"/>
      <c r="M967" s="38"/>
      <c r="O967" s="12">
        <f t="shared" si="173"/>
        <v>79.5</v>
      </c>
      <c r="P967" s="13">
        <v>954</v>
      </c>
      <c r="Q967" s="21">
        <v>2.5916654011749474E-2</v>
      </c>
      <c r="R967" s="18">
        <f t="shared" si="174"/>
        <v>2.6381010481755451E-2</v>
      </c>
      <c r="S967" s="21">
        <v>3.7496955736119997E-2</v>
      </c>
      <c r="T967" s="18">
        <f t="shared" si="175"/>
        <v>4.2992489890061547E-2</v>
      </c>
      <c r="U967" s="23">
        <v>3.9019403104066486E-2</v>
      </c>
      <c r="V967" s="23">
        <f t="shared" si="176"/>
        <v>4.2991344673180443E-2</v>
      </c>
      <c r="W967" s="22">
        <f t="shared" si="179"/>
        <v>3.5138918318993184E-3</v>
      </c>
      <c r="X967" s="23">
        <v>3.8714373584244122E-2</v>
      </c>
      <c r="Y967" s="23">
        <f t="shared" si="180"/>
        <v>4.2991618148574995E-2</v>
      </c>
      <c r="Z967" s="22">
        <f t="shared" si="181"/>
        <v>3.5139138958737437E-3</v>
      </c>
      <c r="AA967" s="33"/>
      <c r="AB967" s="50">
        <f t="shared" si="177"/>
        <v>954</v>
      </c>
      <c r="AC967" s="48">
        <f t="shared" si="172"/>
        <v>0.13079454985416925</v>
      </c>
      <c r="AE967" s="48">
        <f t="shared" si="178"/>
        <v>0.99783249353217607</v>
      </c>
      <c r="AF967" s="48">
        <f t="shared" si="182"/>
        <v>0.13079454985416897</v>
      </c>
      <c r="AH967" s="48">
        <f t="shared" si="183"/>
        <v>-2.7755575615628914E-16</v>
      </c>
    </row>
    <row r="968" spans="4:34" ht="13.9" customHeight="1">
      <c r="D968" s="8"/>
      <c r="E968" s="9"/>
      <c r="F968" s="18"/>
      <c r="G968" s="18"/>
      <c r="H968" s="18"/>
      <c r="J968" s="40"/>
      <c r="K968" s="40"/>
      <c r="L968" s="40"/>
      <c r="M968" s="38"/>
      <c r="O968" s="12">
        <f t="shared" si="173"/>
        <v>79.583333333333329</v>
      </c>
      <c r="P968" s="13">
        <v>955</v>
      </c>
      <c r="Q968" s="21">
        <v>2.5917140138997485E-2</v>
      </c>
      <c r="R968" s="18">
        <f t="shared" si="174"/>
        <v>2.6381749582975234E-2</v>
      </c>
      <c r="S968" s="21">
        <v>3.7502695051110813E-2</v>
      </c>
      <c r="T968" s="18">
        <f t="shared" si="175"/>
        <v>4.2992572331388423E-2</v>
      </c>
      <c r="U968" s="23">
        <v>3.9023554284018269E-2</v>
      </c>
      <c r="V968" s="23">
        <f t="shared" si="176"/>
        <v>4.2991434503284021E-2</v>
      </c>
      <c r="W968" s="22">
        <f t="shared" si="179"/>
        <v>3.5138991099215033E-3</v>
      </c>
      <c r="X968" s="23">
        <v>3.8718843187778962E-2</v>
      </c>
      <c r="Y968" s="23">
        <f t="shared" si="180"/>
        <v>4.2991706275728792E-2</v>
      </c>
      <c r="Z968" s="22">
        <f t="shared" si="181"/>
        <v>3.5139210369432572E-3</v>
      </c>
      <c r="AA968" s="33"/>
      <c r="AB968" s="50">
        <f t="shared" si="177"/>
        <v>955</v>
      </c>
      <c r="AC968" s="48">
        <f t="shared" si="172"/>
        <v>0.13051104392396057</v>
      </c>
      <c r="AE968" s="48">
        <f t="shared" si="178"/>
        <v>0.99783243315165404</v>
      </c>
      <c r="AF968" s="48">
        <f t="shared" si="182"/>
        <v>0.13051104392396073</v>
      </c>
      <c r="AH968" s="48">
        <f t="shared" si="183"/>
        <v>0</v>
      </c>
    </row>
    <row r="969" spans="4:34" ht="13.9" customHeight="1">
      <c r="D969" s="8"/>
      <c r="E969" s="9"/>
      <c r="F969" s="18"/>
      <c r="G969" s="18"/>
      <c r="H969" s="18"/>
      <c r="J969" s="40"/>
      <c r="K969" s="40"/>
      <c r="L969" s="40"/>
      <c r="M969" s="38"/>
      <c r="O969" s="12">
        <f t="shared" si="173"/>
        <v>79.666666666666671</v>
      </c>
      <c r="P969" s="13">
        <v>956</v>
      </c>
      <c r="Q969" s="21">
        <v>2.5917626022241569E-2</v>
      </c>
      <c r="R969" s="18">
        <f t="shared" si="174"/>
        <v>2.6382482540333596E-2</v>
      </c>
      <c r="S969" s="21">
        <v>3.7508422476598469E-2</v>
      </c>
      <c r="T969" s="18">
        <f t="shared" si="175"/>
        <v>4.2992653867846453E-2</v>
      </c>
      <c r="U969" s="23">
        <v>3.9027696889633701E-2</v>
      </c>
      <c r="V969" s="23">
        <f t="shared" si="176"/>
        <v>4.2991523400969012E-2</v>
      </c>
      <c r="W969" s="22">
        <f t="shared" si="179"/>
        <v>3.5139063124225434E-3</v>
      </c>
      <c r="X969" s="23">
        <v>3.8723303551657207E-2</v>
      </c>
      <c r="Y969" s="23">
        <f t="shared" si="180"/>
        <v>4.2991793476676365E-2</v>
      </c>
      <c r="Z969" s="22">
        <f t="shared" si="181"/>
        <v>3.5139281029015201E-3</v>
      </c>
      <c r="AA969" s="33"/>
      <c r="AB969" s="50">
        <f t="shared" si="177"/>
        <v>956</v>
      </c>
      <c r="AC969" s="48">
        <f t="shared" si="172"/>
        <v>0.1302281446969917</v>
      </c>
      <c r="AE969" s="48">
        <f t="shared" si="178"/>
        <v>0.99783237327307128</v>
      </c>
      <c r="AF969" s="48">
        <f t="shared" si="182"/>
        <v>0.13022814469699179</v>
      </c>
      <c r="AH969" s="48">
        <f t="shared" si="183"/>
        <v>0</v>
      </c>
    </row>
    <row r="970" spans="4:34" ht="13.9" customHeight="1">
      <c r="D970" s="8"/>
      <c r="E970" s="9"/>
      <c r="F970" s="18"/>
      <c r="G970" s="18"/>
      <c r="H970" s="18"/>
      <c r="J970" s="40"/>
      <c r="K970" s="40"/>
      <c r="L970" s="40"/>
      <c r="M970" s="38"/>
      <c r="O970" s="12">
        <f t="shared" si="173"/>
        <v>79.75</v>
      </c>
      <c r="P970" s="13">
        <v>957</v>
      </c>
      <c r="Q970" s="21">
        <v>2.5918111655829579E-2</v>
      </c>
      <c r="R970" s="18">
        <f t="shared" si="174"/>
        <v>2.6383209405667962E-2</v>
      </c>
      <c r="S970" s="21">
        <v>3.7514138048815981E-2</v>
      </c>
      <c r="T970" s="18">
        <f t="shared" si="175"/>
        <v>4.2992734508968677E-2</v>
      </c>
      <c r="U970" s="23">
        <v>3.903183094677054E-2</v>
      </c>
      <c r="V970" s="23">
        <f t="shared" si="176"/>
        <v>4.2991611375903682E-2</v>
      </c>
      <c r="W970" s="22">
        <f t="shared" si="179"/>
        <v>3.5139134401624972E-3</v>
      </c>
      <c r="X970" s="23">
        <v>3.8727754703820727E-2</v>
      </c>
      <c r="Y970" s="23">
        <f t="shared" si="180"/>
        <v>4.2991879760748031E-2</v>
      </c>
      <c r="Z970" s="22">
        <f t="shared" si="181"/>
        <v>3.5139350945967429E-3</v>
      </c>
      <c r="AA970" s="33"/>
      <c r="AB970" s="50">
        <f t="shared" si="177"/>
        <v>957</v>
      </c>
      <c r="AC970" s="48">
        <f t="shared" si="172"/>
        <v>0.12994585095689745</v>
      </c>
      <c r="AE970" s="48">
        <f t="shared" si="178"/>
        <v>0.99783231389228244</v>
      </c>
      <c r="AF970" s="48">
        <f t="shared" si="182"/>
        <v>0.12994585095689828</v>
      </c>
      <c r="AH970" s="48">
        <f t="shared" si="183"/>
        <v>8.3266726846886741E-16</v>
      </c>
    </row>
    <row r="971" spans="4:34" ht="13.9" customHeight="1">
      <c r="D971" s="8"/>
      <c r="E971" s="9"/>
      <c r="F971" s="18"/>
      <c r="G971" s="18"/>
      <c r="H971" s="18"/>
      <c r="J971" s="40"/>
      <c r="K971" s="40"/>
      <c r="L971" s="40"/>
      <c r="M971" s="38"/>
      <c r="O971" s="12">
        <f t="shared" si="173"/>
        <v>79.833333333333329</v>
      </c>
      <c r="P971" s="13">
        <v>958</v>
      </c>
      <c r="Q971" s="21">
        <v>2.5918597034186641E-2</v>
      </c>
      <c r="R971" s="18">
        <f t="shared" si="174"/>
        <v>2.6383930229202157E-2</v>
      </c>
      <c r="S971" s="21">
        <v>3.7519841803855591E-2</v>
      </c>
      <c r="T971" s="18">
        <f t="shared" si="175"/>
        <v>4.2992814265238488E-2</v>
      </c>
      <c r="U971" s="23">
        <v>3.9035956481188405E-2</v>
      </c>
      <c r="V971" s="23">
        <f t="shared" si="176"/>
        <v>4.2991698437975456E-2</v>
      </c>
      <c r="W971" s="22">
        <f t="shared" si="179"/>
        <v>3.5139204939165225E-3</v>
      </c>
      <c r="X971" s="23">
        <v>3.8732196672104369E-2</v>
      </c>
      <c r="Y971" s="23">
        <f t="shared" si="180"/>
        <v>4.2991965137302524E-2</v>
      </c>
      <c r="Z971" s="22">
        <f t="shared" si="181"/>
        <v>3.5139420127772159E-3</v>
      </c>
      <c r="AA971" s="33"/>
      <c r="AB971" s="50">
        <f t="shared" si="177"/>
        <v>958</v>
      </c>
      <c r="AC971" s="48">
        <f t="shared" si="172"/>
        <v>0.1296641614888768</v>
      </c>
      <c r="AE971" s="48">
        <f t="shared" si="178"/>
        <v>0.9978322550050861</v>
      </c>
      <c r="AF971" s="48">
        <f t="shared" si="182"/>
        <v>0.12966416148887663</v>
      </c>
      <c r="AH971" s="48">
        <f t="shared" si="183"/>
        <v>0</v>
      </c>
    </row>
    <row r="972" spans="4:34" ht="13.9" customHeight="1">
      <c r="D972" s="8"/>
      <c r="E972" s="9"/>
      <c r="F972" s="18"/>
      <c r="G972" s="18"/>
      <c r="H972" s="18"/>
      <c r="J972" s="40"/>
      <c r="K972" s="40"/>
      <c r="L972" s="40"/>
      <c r="M972" s="38"/>
      <c r="O972" s="12">
        <f t="shared" si="173"/>
        <v>79.916666666666671</v>
      </c>
      <c r="P972" s="13">
        <v>959</v>
      </c>
      <c r="Q972" s="21">
        <v>2.5919082151814044E-2</v>
      </c>
      <c r="R972" s="18">
        <f t="shared" si="174"/>
        <v>2.6384645061349632E-2</v>
      </c>
      <c r="S972" s="21">
        <v>3.7525533777669873E-2</v>
      </c>
      <c r="T972" s="18">
        <f t="shared" si="175"/>
        <v>4.2992893145495925E-2</v>
      </c>
      <c r="U972" s="23">
        <v>3.9040073518550322E-2</v>
      </c>
      <c r="V972" s="23">
        <f t="shared" si="176"/>
        <v>4.2991784595941773E-2</v>
      </c>
      <c r="W972" s="22">
        <f t="shared" si="179"/>
        <v>3.5139274744773186E-3</v>
      </c>
      <c r="X972" s="23">
        <v>3.8736629484237284E-2</v>
      </c>
      <c r="Y972" s="23">
        <f t="shared" si="180"/>
        <v>4.2992049616216388E-2</v>
      </c>
      <c r="Z972" s="22">
        <f t="shared" si="181"/>
        <v>3.5139488581932277E-3</v>
      </c>
      <c r="AA972" s="33"/>
      <c r="AB972" s="50">
        <f t="shared" si="177"/>
        <v>959</v>
      </c>
      <c r="AC972" s="48">
        <f t="shared" si="172"/>
        <v>0.12938307507970406</v>
      </c>
      <c r="AE972" s="48">
        <f t="shared" si="178"/>
        <v>0.9978321966074124</v>
      </c>
      <c r="AF972" s="48">
        <f t="shared" si="182"/>
        <v>0.12938307507970401</v>
      </c>
      <c r="AH972" s="48">
        <f t="shared" si="183"/>
        <v>0</v>
      </c>
    </row>
    <row r="973" spans="4:34" ht="13.9" customHeight="1">
      <c r="D973" s="8"/>
      <c r="E973" s="9"/>
      <c r="F973" s="18"/>
      <c r="G973" s="18"/>
      <c r="H973" s="18"/>
      <c r="J973" s="40"/>
      <c r="K973" s="40"/>
      <c r="L973" s="40"/>
      <c r="M973" s="38"/>
      <c r="O973" s="12">
        <f t="shared" si="173"/>
        <v>80</v>
      </c>
      <c r="P973" s="13">
        <v>960</v>
      </c>
      <c r="Q973" s="21">
        <v>2.5919567003288124E-2</v>
      </c>
      <c r="R973" s="18">
        <f t="shared" si="174"/>
        <v>2.6385353951625889E-2</v>
      </c>
      <c r="S973" s="21">
        <v>3.7531214006071512E-2</v>
      </c>
      <c r="T973" s="18">
        <f t="shared" si="175"/>
        <v>4.299297115995393E-2</v>
      </c>
      <c r="U973" s="23">
        <v>3.9044182084421619E-2</v>
      </c>
      <c r="V973" s="23">
        <f t="shared" si="176"/>
        <v>4.2991869859945409E-2</v>
      </c>
      <c r="W973" s="22">
        <f t="shared" si="179"/>
        <v>3.5139343825474345E-3</v>
      </c>
      <c r="X973" s="23">
        <v>3.8741053167843154E-2</v>
      </c>
      <c r="Y973" s="23">
        <f t="shared" si="180"/>
        <v>4.299213320680173E-2</v>
      </c>
      <c r="Z973" s="22">
        <f t="shared" si="181"/>
        <v>3.5139556316365894E-3</v>
      </c>
      <c r="AA973" s="33"/>
      <c r="AB973" s="50">
        <f t="shared" si="177"/>
        <v>960</v>
      </c>
      <c r="AC973" s="48">
        <f t="shared" ref="AC973:AC1036" si="184">1/(1+Q973)^(P973/12)</f>
        <v>0.1291025905177394</v>
      </c>
      <c r="AE973" s="48">
        <f t="shared" si="178"/>
        <v>0.99783213869517651</v>
      </c>
      <c r="AF973" s="48">
        <f t="shared" si="182"/>
        <v>0.12910259051773965</v>
      </c>
      <c r="AH973" s="48">
        <f t="shared" si="183"/>
        <v>2.4980018054066022E-16</v>
      </c>
    </row>
    <row r="974" spans="4:34" ht="13.9" customHeight="1">
      <c r="D974" s="8"/>
      <c r="E974" s="9"/>
      <c r="F974" s="18"/>
      <c r="G974" s="18"/>
      <c r="H974" s="18"/>
      <c r="J974" s="40"/>
      <c r="K974" s="40"/>
      <c r="L974" s="40"/>
      <c r="M974" s="38"/>
      <c r="O974" s="12">
        <f t="shared" ref="O974:O1037" si="185">P974/12</f>
        <v>80.083333333333329</v>
      </c>
      <c r="P974" s="13">
        <v>961</v>
      </c>
      <c r="Q974" s="21">
        <v>2.5920051583259163E-2</v>
      </c>
      <c r="R974" s="18">
        <f t="shared" ref="R974:R1037" si="186">(1+Q975)^P975/(1+Q974)^P974-1</f>
        <v>2.6386056950340242E-2</v>
      </c>
      <c r="S974" s="21">
        <v>3.753688252473486E-2</v>
      </c>
      <c r="T974" s="18">
        <f t="shared" ref="T974:T1037" si="187">(1+S975)^P975/(1+S974)^P974-1</f>
        <v>4.299304831806694E-2</v>
      </c>
      <c r="U974" s="23">
        <v>3.90482822042717E-2</v>
      </c>
      <c r="V974" s="23">
        <f t="shared" ref="V974:V1037" si="188">(1+U975)^P975/(1+U974)^P974-1</f>
        <v>4.2991954239080199E-2</v>
      </c>
      <c r="W974" s="22">
        <f t="shared" si="179"/>
        <v>3.5139412189397756E-3</v>
      </c>
      <c r="X974" s="23">
        <v>3.8745467750440632E-2</v>
      </c>
      <c r="Y974" s="23">
        <f t="shared" si="180"/>
        <v>4.299221591867286E-2</v>
      </c>
      <c r="Z974" s="22">
        <f t="shared" si="181"/>
        <v>3.5139623338542592E-3</v>
      </c>
      <c r="AA974" s="33"/>
      <c r="AB974" s="50">
        <f t="shared" ref="AB974:AB1037" si="189">+P974</f>
        <v>961</v>
      </c>
      <c r="AC974" s="48">
        <f t="shared" si="184"/>
        <v>0.12882270659293757</v>
      </c>
      <c r="AE974" s="48">
        <f t="shared" ref="AE974:AE1037" si="190">1/(1+R973)^(1/12)</f>
        <v>0.99783208126436496</v>
      </c>
      <c r="AF974" s="48">
        <f t="shared" si="182"/>
        <v>0.12882270659293721</v>
      </c>
      <c r="AH974" s="48">
        <f t="shared" si="183"/>
        <v>-3.6082248300317588E-16</v>
      </c>
    </row>
    <row r="975" spans="4:34" ht="13.9" customHeight="1">
      <c r="D975" s="8"/>
      <c r="E975" s="9"/>
      <c r="F975" s="18"/>
      <c r="G975" s="18"/>
      <c r="H975" s="18"/>
      <c r="J975" s="40"/>
      <c r="K975" s="40"/>
      <c r="L975" s="40"/>
      <c r="M975" s="38"/>
      <c r="O975" s="12">
        <f t="shared" si="185"/>
        <v>80.166666666666671</v>
      </c>
      <c r="P975" s="13">
        <v>962</v>
      </c>
      <c r="Q975" s="21">
        <v>2.5920535886452489E-2</v>
      </c>
      <c r="R975" s="18">
        <f t="shared" si="186"/>
        <v>2.6386754105908627E-2</v>
      </c>
      <c r="S975" s="21">
        <v>3.754253936919616E-2</v>
      </c>
      <c r="T975" s="18">
        <f t="shared" si="187"/>
        <v>4.2993124629083335E-2</v>
      </c>
      <c r="U975" s="23">
        <v>3.9052373903473825E-2</v>
      </c>
      <c r="V975" s="23">
        <f t="shared" si="188"/>
        <v>4.2992037742167311E-2</v>
      </c>
      <c r="W975" s="22">
        <f t="shared" ref="W975:W1038" si="191">(1+V974)^(1/12)-1</f>
        <v>3.5139479843835364E-3</v>
      </c>
      <c r="X975" s="23">
        <v>3.8749873259444456E-2</v>
      </c>
      <c r="Y975" s="23">
        <f t="shared" ref="Y975:Y1038" si="192">(1+X976)^P976/(1+X975)^P975-1</f>
        <v>4.2992297760625853E-2</v>
      </c>
      <c r="Z975" s="22">
        <f t="shared" ref="Z975:Z1038" si="193">(1+Y974)^(1/12)-1</f>
        <v>3.5139689656169537E-3</v>
      </c>
      <c r="AA975" s="33"/>
      <c r="AB975" s="50">
        <f t="shared" si="189"/>
        <v>962</v>
      </c>
      <c r="AC975" s="48">
        <f t="shared" si="184"/>
        <v>0.12854342209683928</v>
      </c>
      <c r="AE975" s="48">
        <f t="shared" si="190"/>
        <v>0.99783202431090146</v>
      </c>
      <c r="AF975" s="48">
        <f t="shared" ref="AF975:AF1038" si="194">+AF974*AE975</f>
        <v>0.12854342209683983</v>
      </c>
      <c r="AH975" s="48">
        <f t="shared" ref="AH975:AH1038" si="195">+AF975-AC975</f>
        <v>5.5511151231257827E-16</v>
      </c>
    </row>
    <row r="976" spans="4:34" ht="13.9" customHeight="1">
      <c r="D976" s="8"/>
      <c r="E976" s="9"/>
      <c r="F976" s="18"/>
      <c r="G976" s="18"/>
      <c r="H976" s="18"/>
      <c r="J976" s="40"/>
      <c r="K976" s="40"/>
      <c r="L976" s="40"/>
      <c r="M976" s="38"/>
      <c r="O976" s="12">
        <f t="shared" si="185"/>
        <v>80.25</v>
      </c>
      <c r="P976" s="13">
        <v>963</v>
      </c>
      <c r="Q976" s="21">
        <v>2.5921019907664933E-2</v>
      </c>
      <c r="R976" s="18">
        <f t="shared" si="186"/>
        <v>2.6387445466973469E-2</v>
      </c>
      <c r="S976" s="21">
        <v>3.7548184574853982E-2</v>
      </c>
      <c r="T976" s="18">
        <f t="shared" si="187"/>
        <v>4.2993200102414031E-2</v>
      </c>
      <c r="U976" s="23">
        <v>3.9056457207305106E-2</v>
      </c>
      <c r="V976" s="23">
        <f t="shared" si="188"/>
        <v>4.2992120379011123E-2</v>
      </c>
      <c r="W976" s="22">
        <f t="shared" si="191"/>
        <v>3.5139546795861509E-3</v>
      </c>
      <c r="X976" s="23">
        <v>3.8754269722164336E-2</v>
      </c>
      <c r="Y976" s="23">
        <f t="shared" si="192"/>
        <v>4.2992378742446213E-2</v>
      </c>
      <c r="Z976" s="22">
        <f t="shared" si="193"/>
        <v>3.5139755276296647E-3</v>
      </c>
      <c r="AA976" s="33"/>
      <c r="AB976" s="50">
        <f t="shared" si="189"/>
        <v>963</v>
      </c>
      <c r="AC976" s="48">
        <f t="shared" si="184"/>
        <v>0.12826473582260287</v>
      </c>
      <c r="AE976" s="48">
        <f t="shared" si="190"/>
        <v>0.99783196783086225</v>
      </c>
      <c r="AF976" s="48">
        <f t="shared" si="194"/>
        <v>0.12826473582260284</v>
      </c>
      <c r="AH976" s="48">
        <f t="shared" si="195"/>
        <v>0</v>
      </c>
    </row>
    <row r="977" spans="4:34" ht="13.9" customHeight="1">
      <c r="D977" s="8"/>
      <c r="E977" s="9"/>
      <c r="F977" s="18"/>
      <c r="G977" s="18"/>
      <c r="H977" s="18"/>
      <c r="J977" s="40"/>
      <c r="K977" s="40"/>
      <c r="L977" s="40"/>
      <c r="M977" s="38"/>
      <c r="O977" s="12">
        <f t="shared" si="185"/>
        <v>80.333333333333329</v>
      </c>
      <c r="P977" s="13">
        <v>964</v>
      </c>
      <c r="Q977" s="21">
        <v>2.5921503641765931E-2</v>
      </c>
      <c r="R977" s="18">
        <f t="shared" si="186"/>
        <v>2.6388131081944488E-2</v>
      </c>
      <c r="S977" s="21">
        <v>3.7553818176970122E-2</v>
      </c>
      <c r="T977" s="18">
        <f t="shared" si="187"/>
        <v>4.299327474693948E-2</v>
      </c>
      <c r="U977" s="23">
        <v>3.906053214094829E-2</v>
      </c>
      <c r="V977" s="23">
        <f t="shared" si="188"/>
        <v>4.2992202157685178E-2</v>
      </c>
      <c r="W977" s="22">
        <f t="shared" si="191"/>
        <v>3.5139613053336571E-3</v>
      </c>
      <c r="X977" s="23">
        <v>3.8758657165807175E-2</v>
      </c>
      <c r="Y977" s="23">
        <f t="shared" si="192"/>
        <v>4.2992458872345596E-2</v>
      </c>
      <c r="Z977" s="22">
        <f t="shared" si="193"/>
        <v>3.5139820206775418E-3</v>
      </c>
      <c r="AA977" s="33"/>
      <c r="AB977" s="50">
        <f t="shared" si="189"/>
        <v>964</v>
      </c>
      <c r="AC977" s="48">
        <f t="shared" si="184"/>
        <v>0.12798664656499389</v>
      </c>
      <c r="AE977" s="48">
        <f t="shared" si="190"/>
        <v>0.99783191182030573</v>
      </c>
      <c r="AF977" s="48">
        <f t="shared" si="194"/>
        <v>0.12798664656499426</v>
      </c>
      <c r="AH977" s="48">
        <f t="shared" si="195"/>
        <v>3.6082248300317588E-16</v>
      </c>
    </row>
    <row r="978" spans="4:34" ht="13.9" customHeight="1">
      <c r="D978" s="8"/>
      <c r="E978" s="9"/>
      <c r="F978" s="18"/>
      <c r="G978" s="18"/>
      <c r="H978" s="18"/>
      <c r="J978" s="40"/>
      <c r="K978" s="40"/>
      <c r="L978" s="40"/>
      <c r="M978" s="38"/>
      <c r="O978" s="12">
        <f t="shared" si="185"/>
        <v>80.416666666666671</v>
      </c>
      <c r="P978" s="13">
        <v>965</v>
      </c>
      <c r="Q978" s="21">
        <v>2.5921987083695974E-2</v>
      </c>
      <c r="R978" s="18">
        <f t="shared" si="186"/>
        <v>2.6388810998577483E-2</v>
      </c>
      <c r="S978" s="21">
        <v>3.7559440210669814E-2</v>
      </c>
      <c r="T978" s="18">
        <f t="shared" si="187"/>
        <v>4.2993348572625489E-2</v>
      </c>
      <c r="U978" s="23">
        <v>3.9064598729489974E-2</v>
      </c>
      <c r="V978" s="23">
        <f t="shared" si="188"/>
        <v>4.2992283087793348E-2</v>
      </c>
      <c r="W978" s="22">
        <f t="shared" si="191"/>
        <v>3.513967862273315E-3</v>
      </c>
      <c r="X978" s="23">
        <v>3.876303561747596E-2</v>
      </c>
      <c r="Y978" s="23">
        <f t="shared" si="192"/>
        <v>4.2992538159961402E-2</v>
      </c>
      <c r="Z978" s="22">
        <f t="shared" si="193"/>
        <v>3.5139884454185033E-3</v>
      </c>
      <c r="AA978" s="33"/>
      <c r="AB978" s="50">
        <f t="shared" si="189"/>
        <v>965</v>
      </c>
      <c r="AC978" s="48">
        <f t="shared" si="184"/>
        <v>0.12770915312039946</v>
      </c>
      <c r="AE978" s="48">
        <f t="shared" si="190"/>
        <v>0.9978318562753089</v>
      </c>
      <c r="AF978" s="48">
        <f t="shared" si="194"/>
        <v>0.1277091531204001</v>
      </c>
      <c r="AH978" s="48">
        <f t="shared" si="195"/>
        <v>6.3837823915946501E-16</v>
      </c>
    </row>
    <row r="979" spans="4:34" ht="13.9" customHeight="1">
      <c r="D979" s="8"/>
      <c r="E979" s="9"/>
      <c r="F979" s="18"/>
      <c r="G979" s="18"/>
      <c r="H979" s="18"/>
      <c r="J979" s="40"/>
      <c r="K979" s="40"/>
      <c r="L979" s="40"/>
      <c r="M979" s="38"/>
      <c r="O979" s="12">
        <f t="shared" si="185"/>
        <v>80.5</v>
      </c>
      <c r="P979" s="13">
        <v>966</v>
      </c>
      <c r="Q979" s="21">
        <v>2.5922470228465944E-2</v>
      </c>
      <c r="R979" s="18">
        <f t="shared" si="186"/>
        <v>2.6389485264543211E-2</v>
      </c>
      <c r="S979" s="21">
        <v>3.7565050710943071E-2</v>
      </c>
      <c r="T979" s="18">
        <f t="shared" si="187"/>
        <v>4.2993421587202318E-2</v>
      </c>
      <c r="U979" s="23">
        <v>3.9068656997923279E-2</v>
      </c>
      <c r="V979" s="23">
        <f t="shared" si="188"/>
        <v>4.2992363177771553E-2</v>
      </c>
      <c r="W979" s="22">
        <f t="shared" si="191"/>
        <v>3.5139743511753974E-3</v>
      </c>
      <c r="X979" s="23">
        <v>3.8767405104171537E-2</v>
      </c>
      <c r="Y979" s="23">
        <f t="shared" si="192"/>
        <v>4.2992616613649837E-2</v>
      </c>
      <c r="Z979" s="22">
        <f t="shared" si="193"/>
        <v>3.5139948026257084E-3</v>
      </c>
      <c r="AA979" s="33"/>
      <c r="AB979" s="50">
        <f t="shared" si="189"/>
        <v>966</v>
      </c>
      <c r="AC979" s="48">
        <f t="shared" si="184"/>
        <v>0.12743225428683402</v>
      </c>
      <c r="AE979" s="48">
        <f t="shared" si="190"/>
        <v>0.99783180119200166</v>
      </c>
      <c r="AF979" s="48">
        <f t="shared" si="194"/>
        <v>0.12743225428683397</v>
      </c>
      <c r="AH979" s="48">
        <f t="shared" si="195"/>
        <v>0</v>
      </c>
    </row>
    <row r="980" spans="4:34" ht="13.9" customHeight="1">
      <c r="D980" s="8"/>
      <c r="E980" s="9"/>
      <c r="F980" s="18"/>
      <c r="G980" s="18"/>
      <c r="H980" s="18"/>
      <c r="J980" s="40"/>
      <c r="K980" s="40"/>
      <c r="L980" s="40"/>
      <c r="M980" s="38"/>
      <c r="O980" s="12">
        <f t="shared" si="185"/>
        <v>80.583333333333329</v>
      </c>
      <c r="P980" s="13">
        <v>967</v>
      </c>
      <c r="Q980" s="21">
        <v>2.5922953071156885E-2</v>
      </c>
      <c r="R980" s="18">
        <f t="shared" si="186"/>
        <v>2.6390153926577842E-2</v>
      </c>
      <c r="S980" s="21">
        <v>3.7570649712644011E-2</v>
      </c>
      <c r="T980" s="18">
        <f t="shared" si="187"/>
        <v>4.2993493800567606E-2</v>
      </c>
      <c r="U980" s="23">
        <v>3.9072706971146509E-2</v>
      </c>
      <c r="V980" s="23">
        <f t="shared" si="188"/>
        <v>4.2992442436570188E-2</v>
      </c>
      <c r="W980" s="22">
        <f t="shared" si="191"/>
        <v>3.513980772716252E-3</v>
      </c>
      <c r="X980" s="23">
        <v>3.8771765652791723E-2</v>
      </c>
      <c r="Y980" s="23">
        <f t="shared" si="192"/>
        <v>4.2992694242651064E-2</v>
      </c>
      <c r="Z980" s="22">
        <f t="shared" si="193"/>
        <v>3.5140010929688437E-3</v>
      </c>
      <c r="AA980" s="33"/>
      <c r="AB980" s="50">
        <f t="shared" si="189"/>
        <v>967</v>
      </c>
      <c r="AC980" s="48">
        <f t="shared" si="184"/>
        <v>0.12715594886394055</v>
      </c>
      <c r="AE980" s="48">
        <f t="shared" si="190"/>
        <v>0.99783174656652107</v>
      </c>
      <c r="AF980" s="48">
        <f t="shared" si="194"/>
        <v>0.12715594886394058</v>
      </c>
      <c r="AH980" s="48">
        <f t="shared" si="195"/>
        <v>0</v>
      </c>
    </row>
    <row r="981" spans="4:34" ht="13.9" customHeight="1">
      <c r="D981" s="8"/>
      <c r="E981" s="9"/>
      <c r="F981" s="18"/>
      <c r="G981" s="18"/>
      <c r="H981" s="18"/>
      <c r="J981" s="40"/>
      <c r="K981" s="40"/>
      <c r="L981" s="40"/>
      <c r="M981" s="38"/>
      <c r="O981" s="12">
        <f t="shared" si="185"/>
        <v>80.666666666666671</v>
      </c>
      <c r="P981" s="13">
        <v>968</v>
      </c>
      <c r="Q981" s="21">
        <v>2.5923435606918233E-2</v>
      </c>
      <c r="R981" s="18">
        <f t="shared" si="186"/>
        <v>2.6390817031170855E-2</v>
      </c>
      <c r="S981" s="21">
        <v>3.7576237250493083E-2</v>
      </c>
      <c r="T981" s="18">
        <f t="shared" si="187"/>
        <v>4.2993565221353114E-2</v>
      </c>
      <c r="U981" s="23">
        <v>3.9076748673964712E-2</v>
      </c>
      <c r="V981" s="23">
        <f t="shared" si="188"/>
        <v>4.2992520872900952E-2</v>
      </c>
      <c r="W981" s="22">
        <f t="shared" si="191"/>
        <v>3.513987127613305E-3</v>
      </c>
      <c r="X981" s="23">
        <v>3.8776117290133083E-2</v>
      </c>
      <c r="Y981" s="23">
        <f t="shared" si="192"/>
        <v>4.2992771055449186E-2</v>
      </c>
      <c r="Z981" s="22">
        <f t="shared" si="193"/>
        <v>3.5140073171888719E-3</v>
      </c>
      <c r="AA981" s="33"/>
      <c r="AB981" s="50">
        <f t="shared" si="189"/>
        <v>968</v>
      </c>
      <c r="AC981" s="48">
        <f t="shared" si="184"/>
        <v>0.12688023565300752</v>
      </c>
      <c r="AE981" s="48">
        <f t="shared" si="190"/>
        <v>0.99783169239508007</v>
      </c>
      <c r="AF981" s="48">
        <f t="shared" si="194"/>
        <v>0.12688023565300807</v>
      </c>
      <c r="AH981" s="48">
        <f t="shared" si="195"/>
        <v>5.5511151231257827E-16</v>
      </c>
    </row>
    <row r="982" spans="4:34" ht="13.9" customHeight="1">
      <c r="D982" s="8"/>
      <c r="E982" s="9"/>
      <c r="F982" s="18"/>
      <c r="G982" s="18"/>
      <c r="H982" s="18"/>
      <c r="J982" s="40"/>
      <c r="K982" s="40"/>
      <c r="L982" s="40"/>
      <c r="M982" s="38"/>
      <c r="O982" s="12">
        <f t="shared" si="185"/>
        <v>80.75</v>
      </c>
      <c r="P982" s="13">
        <v>969</v>
      </c>
      <c r="Q982" s="21">
        <v>2.5923917830967369E-2</v>
      </c>
      <c r="R982" s="18">
        <f t="shared" si="186"/>
        <v>2.6391474625206746E-2</v>
      </c>
      <c r="S982" s="21">
        <v>3.7581813359076399E-2</v>
      </c>
      <c r="T982" s="18">
        <f t="shared" si="187"/>
        <v>4.2993635857772716E-2</v>
      </c>
      <c r="U982" s="23">
        <v>3.9080782131089453E-2</v>
      </c>
      <c r="V982" s="23">
        <f t="shared" si="188"/>
        <v>4.2992598494931977E-2</v>
      </c>
      <c r="W982" s="22">
        <f t="shared" si="191"/>
        <v>3.5139934165653308E-3</v>
      </c>
      <c r="X982" s="23">
        <v>3.8780460042890263E-2</v>
      </c>
      <c r="Y982" s="23">
        <f t="shared" si="192"/>
        <v>4.2992847060224326E-2</v>
      </c>
      <c r="Z982" s="22">
        <f t="shared" si="193"/>
        <v>3.5140134759661379E-3</v>
      </c>
      <c r="AA982" s="33"/>
      <c r="AB982" s="50">
        <f t="shared" si="189"/>
        <v>969</v>
      </c>
      <c r="AC982" s="48">
        <f t="shared" si="184"/>
        <v>0.12660511345697212</v>
      </c>
      <c r="AE982" s="48">
        <f t="shared" si="190"/>
        <v>0.997831638673911</v>
      </c>
      <c r="AF982" s="48">
        <f t="shared" si="194"/>
        <v>0.12660511345697303</v>
      </c>
      <c r="AH982" s="48">
        <f t="shared" si="195"/>
        <v>9.1593399531575415E-16</v>
      </c>
    </row>
    <row r="983" spans="4:34" ht="13.9" customHeight="1">
      <c r="D983" s="8"/>
      <c r="E983" s="9"/>
      <c r="F983" s="18"/>
      <c r="G983" s="18"/>
      <c r="H983" s="18"/>
      <c r="J983" s="40"/>
      <c r="K983" s="40"/>
      <c r="L983" s="40"/>
      <c r="M983" s="38"/>
      <c r="O983" s="12">
        <f t="shared" si="185"/>
        <v>80.833333333333329</v>
      </c>
      <c r="P983" s="13">
        <v>970</v>
      </c>
      <c r="Q983" s="21">
        <v>2.5924399738589621E-2</v>
      </c>
      <c r="R983" s="18">
        <f t="shared" si="186"/>
        <v>2.6392126753827405E-2</v>
      </c>
      <c r="S983" s="21">
        <v>3.7587378072846622E-2</v>
      </c>
      <c r="T983" s="18">
        <f t="shared" si="187"/>
        <v>4.2993705719256203E-2</v>
      </c>
      <c r="U983" s="23">
        <v>3.9084807367139263E-2</v>
      </c>
      <c r="V983" s="23">
        <f t="shared" si="188"/>
        <v>4.2992675311501749E-2</v>
      </c>
      <c r="W983" s="22">
        <f t="shared" si="191"/>
        <v>3.513999640227139E-3</v>
      </c>
      <c r="X983" s="23">
        <v>3.8784793937656881E-2</v>
      </c>
      <c r="Y983" s="23">
        <f t="shared" si="192"/>
        <v>4.2992922266421152E-2</v>
      </c>
      <c r="Z983" s="22">
        <f t="shared" si="193"/>
        <v>3.5140195699565613E-3</v>
      </c>
      <c r="AA983" s="33"/>
      <c r="AB983" s="50">
        <f t="shared" si="189"/>
        <v>970</v>
      </c>
      <c r="AC983" s="48">
        <f t="shared" si="184"/>
        <v>0.12633058108041936</v>
      </c>
      <c r="AE983" s="48">
        <f t="shared" si="190"/>
        <v>0.99783158539921502</v>
      </c>
      <c r="AF983" s="48">
        <f t="shared" si="194"/>
        <v>0.12633058108041889</v>
      </c>
      <c r="AH983" s="48">
        <f t="shared" si="195"/>
        <v>-4.7184478546569153E-16</v>
      </c>
    </row>
    <row r="984" spans="4:34" ht="13.9" customHeight="1">
      <c r="D984" s="8"/>
      <c r="E984" s="9"/>
      <c r="F984" s="18"/>
      <c r="G984" s="18"/>
      <c r="H984" s="18"/>
      <c r="J984" s="40"/>
      <c r="K984" s="40"/>
      <c r="L984" s="40"/>
      <c r="M984" s="38"/>
      <c r="O984" s="12">
        <f t="shared" si="185"/>
        <v>80.916666666666671</v>
      </c>
      <c r="P984" s="13">
        <v>971</v>
      </c>
      <c r="Q984" s="21">
        <v>2.5924881325136706E-2</v>
      </c>
      <c r="R984" s="18">
        <f t="shared" si="186"/>
        <v>2.6392773463386865E-2</v>
      </c>
      <c r="S984" s="21">
        <v>3.7592931426124077E-2</v>
      </c>
      <c r="T984" s="18">
        <f t="shared" si="187"/>
        <v>4.2993774812972729E-2</v>
      </c>
      <c r="U984" s="23">
        <v>3.9088824406640299E-2</v>
      </c>
      <c r="V984" s="23">
        <f t="shared" si="188"/>
        <v>4.2992751330507506E-2</v>
      </c>
      <c r="W984" s="22">
        <f t="shared" si="191"/>
        <v>3.5140057993072737E-3</v>
      </c>
      <c r="X984" s="23">
        <v>3.8789119000926409E-2</v>
      </c>
      <c r="Y984" s="23">
        <f t="shared" si="192"/>
        <v>4.299299668154144E-2</v>
      </c>
      <c r="Z984" s="22">
        <f t="shared" si="193"/>
        <v>3.5140255999170922E-3</v>
      </c>
      <c r="AA984" s="33"/>
      <c r="AB984" s="50">
        <f t="shared" si="189"/>
        <v>971</v>
      </c>
      <c r="AC984" s="48">
        <f t="shared" si="184"/>
        <v>0.1260566373295961</v>
      </c>
      <c r="AE984" s="48">
        <f t="shared" si="190"/>
        <v>0.99783153256733348</v>
      </c>
      <c r="AF984" s="48">
        <f t="shared" si="194"/>
        <v>0.12605663732959616</v>
      </c>
      <c r="AH984" s="48">
        <f t="shared" si="195"/>
        <v>0</v>
      </c>
    </row>
    <row r="985" spans="4:34" ht="13.9" customHeight="1">
      <c r="D985" s="8"/>
      <c r="E985" s="9"/>
      <c r="F985" s="18"/>
      <c r="G985" s="18"/>
      <c r="H985" s="18"/>
      <c r="J985" s="40"/>
      <c r="K985" s="40"/>
      <c r="L985" s="40"/>
      <c r="M985" s="38"/>
      <c r="O985" s="12">
        <f t="shared" si="185"/>
        <v>81</v>
      </c>
      <c r="P985" s="13">
        <v>972</v>
      </c>
      <c r="Q985" s="21">
        <v>2.5925362586026512E-2</v>
      </c>
      <c r="R985" s="18">
        <f t="shared" si="186"/>
        <v>2.6393414797718506E-2</v>
      </c>
      <c r="S985" s="21">
        <v>3.7598473453096082E-2</v>
      </c>
      <c r="T985" s="18">
        <f t="shared" si="187"/>
        <v>4.2993843149121025E-2</v>
      </c>
      <c r="U985" s="23">
        <v>3.9092833274026129E-2</v>
      </c>
      <c r="V985" s="23">
        <f t="shared" si="188"/>
        <v>4.299282656072001E-2</v>
      </c>
      <c r="W985" s="22">
        <f t="shared" si="191"/>
        <v>3.5140118944390064E-3</v>
      </c>
      <c r="X985" s="23">
        <v>3.8793435259091513E-2</v>
      </c>
      <c r="Y985" s="23">
        <f t="shared" si="192"/>
        <v>4.2993070314179649E-2</v>
      </c>
      <c r="Z985" s="22">
        <f t="shared" si="193"/>
        <v>3.5140315664496935E-3</v>
      </c>
      <c r="AA985" s="33"/>
      <c r="AB985" s="50">
        <f t="shared" si="189"/>
        <v>972</v>
      </c>
      <c r="AC985" s="48">
        <f t="shared" si="184"/>
        <v>0.12578328101241223</v>
      </c>
      <c r="AE985" s="48">
        <f t="shared" si="190"/>
        <v>0.99783148017451073</v>
      </c>
      <c r="AF985" s="48">
        <f t="shared" si="194"/>
        <v>0.12578328101241243</v>
      </c>
      <c r="AH985" s="48">
        <f t="shared" si="195"/>
        <v>0</v>
      </c>
    </row>
    <row r="986" spans="4:34" ht="13.9" customHeight="1">
      <c r="D986" s="8"/>
      <c r="E986" s="9"/>
      <c r="F986" s="18"/>
      <c r="G986" s="18"/>
      <c r="H986" s="18"/>
      <c r="J986" s="40"/>
      <c r="K986" s="40"/>
      <c r="L986" s="40"/>
      <c r="M986" s="38"/>
      <c r="O986" s="12">
        <f t="shared" si="185"/>
        <v>81.083333333333329</v>
      </c>
      <c r="P986" s="13">
        <v>973</v>
      </c>
      <c r="Q986" s="21">
        <v>2.592584351674132E-2</v>
      </c>
      <c r="R986" s="18">
        <f t="shared" si="186"/>
        <v>2.6394050802694746E-2</v>
      </c>
      <c r="S986" s="21">
        <v>3.7604004187819617E-2</v>
      </c>
      <c r="T986" s="18">
        <f t="shared" si="187"/>
        <v>4.2993910734229424E-2</v>
      </c>
      <c r="U986" s="23">
        <v>3.9096833993639057E-2</v>
      </c>
      <c r="V986" s="23">
        <f t="shared" si="188"/>
        <v>4.2992901010213913E-2</v>
      </c>
      <c r="W986" s="22">
        <f t="shared" si="191"/>
        <v>3.5140179263257743E-3</v>
      </c>
      <c r="X986" s="23">
        <v>3.8797742738445384E-2</v>
      </c>
      <c r="Y986" s="23">
        <f t="shared" si="192"/>
        <v>4.2993143172618042E-2</v>
      </c>
      <c r="Z986" s="22">
        <f t="shared" si="193"/>
        <v>3.5140374702431476E-3</v>
      </c>
      <c r="AA986" s="33"/>
      <c r="AB986" s="50">
        <f t="shared" si="189"/>
        <v>973</v>
      </c>
      <c r="AC986" s="48">
        <f t="shared" si="184"/>
        <v>0.12551051093845964</v>
      </c>
      <c r="AE986" s="48">
        <f t="shared" si="190"/>
        <v>0.99783142821719428</v>
      </c>
      <c r="AF986" s="48">
        <f t="shared" si="194"/>
        <v>0.12551051093846019</v>
      </c>
      <c r="AH986" s="48">
        <f t="shared" si="195"/>
        <v>5.5511151231257827E-16</v>
      </c>
    </row>
    <row r="987" spans="4:34" ht="13.9" customHeight="1">
      <c r="D987" s="8"/>
      <c r="E987" s="9"/>
      <c r="F987" s="18"/>
      <c r="G987" s="18"/>
      <c r="H987" s="18"/>
      <c r="J987" s="40"/>
      <c r="K987" s="40"/>
      <c r="L987" s="40"/>
      <c r="M987" s="38"/>
      <c r="O987" s="12">
        <f t="shared" si="185"/>
        <v>81.166666666666671</v>
      </c>
      <c r="P987" s="13">
        <v>974</v>
      </c>
      <c r="Q987" s="21">
        <v>2.5926324112828469E-2</v>
      </c>
      <c r="R987" s="18">
        <f t="shared" si="186"/>
        <v>2.6394681522108332E-2</v>
      </c>
      <c r="S987" s="21">
        <v>3.7609523664219324E-2</v>
      </c>
      <c r="T987" s="18">
        <f t="shared" si="187"/>
        <v>4.2993977578081877E-2</v>
      </c>
      <c r="U987" s="23">
        <v>3.9100826589729687E-2</v>
      </c>
      <c r="V987" s="23">
        <f t="shared" si="188"/>
        <v>4.2992974686565155E-2</v>
      </c>
      <c r="W987" s="22">
        <f t="shared" si="191"/>
        <v>3.5140238956148373E-3</v>
      </c>
      <c r="X987" s="23">
        <v>3.8802041465181514E-2</v>
      </c>
      <c r="Y987" s="23">
        <f t="shared" si="192"/>
        <v>4.2993215265221929E-2</v>
      </c>
      <c r="Z987" s="22">
        <f t="shared" si="193"/>
        <v>3.514043311961812E-3</v>
      </c>
      <c r="AA987" s="33"/>
      <c r="AB987" s="50">
        <f t="shared" si="189"/>
        <v>974</v>
      </c>
      <c r="AC987" s="48">
        <f t="shared" si="184"/>
        <v>0.12523832591899842</v>
      </c>
      <c r="AE987" s="48">
        <f t="shared" si="190"/>
        <v>0.9978313766916671</v>
      </c>
      <c r="AF987" s="48">
        <f t="shared" si="194"/>
        <v>0.12523832591899828</v>
      </c>
      <c r="AH987" s="48">
        <f t="shared" si="195"/>
        <v>0</v>
      </c>
    </row>
    <row r="988" spans="4:34" ht="13.9" customHeight="1">
      <c r="D988" s="8"/>
      <c r="E988" s="9"/>
      <c r="F988" s="18"/>
      <c r="G988" s="18"/>
      <c r="H988" s="18"/>
      <c r="J988" s="40"/>
      <c r="K988" s="40"/>
      <c r="L988" s="40"/>
      <c r="M988" s="38"/>
      <c r="O988" s="12">
        <f t="shared" si="185"/>
        <v>81.25</v>
      </c>
      <c r="P988" s="13">
        <v>975</v>
      </c>
      <c r="Q988" s="21">
        <v>2.5926804369899026E-2</v>
      </c>
      <c r="R988" s="18">
        <f t="shared" si="186"/>
        <v>2.6395307000475876E-2</v>
      </c>
      <c r="S988" s="21">
        <v>3.7615031916090613E-2</v>
      </c>
      <c r="T988" s="18">
        <f t="shared" si="187"/>
        <v>4.2994043687956118E-2</v>
      </c>
      <c r="U988" s="23">
        <v>3.9104811086457358E-2</v>
      </c>
      <c r="V988" s="23">
        <f t="shared" si="188"/>
        <v>4.2993047598838263E-2</v>
      </c>
      <c r="W988" s="22">
        <f t="shared" si="191"/>
        <v>3.5140298029137096E-3</v>
      </c>
      <c r="X988" s="23">
        <v>3.880633146539525E-2</v>
      </c>
      <c r="Y988" s="23">
        <f t="shared" si="192"/>
        <v>4.2993286599511293E-2</v>
      </c>
      <c r="Z988" s="22">
        <f t="shared" si="193"/>
        <v>3.5140490922760392E-3</v>
      </c>
      <c r="AA988" s="33"/>
      <c r="AB988" s="50">
        <f t="shared" si="189"/>
        <v>975</v>
      </c>
      <c r="AC988" s="48">
        <f t="shared" si="184"/>
        <v>0.12496672476697533</v>
      </c>
      <c r="AE988" s="48">
        <f t="shared" si="190"/>
        <v>0.99783132559438059</v>
      </c>
      <c r="AF988" s="48">
        <f t="shared" si="194"/>
        <v>0.12496672476697512</v>
      </c>
      <c r="AH988" s="48">
        <f t="shared" si="195"/>
        <v>-2.0816681711721685E-16</v>
      </c>
    </row>
    <row r="989" spans="4:34" ht="13.9" customHeight="1">
      <c r="D989" s="8"/>
      <c r="E989" s="9"/>
      <c r="F989" s="18"/>
      <c r="G989" s="18"/>
      <c r="H989" s="18"/>
      <c r="J989" s="40"/>
      <c r="K989" s="40"/>
      <c r="L989" s="40"/>
      <c r="M989" s="38"/>
      <c r="O989" s="12">
        <f t="shared" si="185"/>
        <v>81.333333333333329</v>
      </c>
      <c r="P989" s="13">
        <v>976</v>
      </c>
      <c r="Q989" s="21">
        <v>2.5927284283627339E-2</v>
      </c>
      <c r="R989" s="18">
        <f t="shared" si="186"/>
        <v>2.6395927280598919E-2</v>
      </c>
      <c r="S989" s="21">
        <v>3.7620528977098333E-2</v>
      </c>
      <c r="T989" s="18">
        <f t="shared" si="187"/>
        <v>4.2994109071634146E-2</v>
      </c>
      <c r="U989" s="23">
        <v>3.9108787507891485E-2</v>
      </c>
      <c r="V989" s="23">
        <f t="shared" si="188"/>
        <v>4.2993119753965692E-2</v>
      </c>
      <c r="W989" s="22">
        <f t="shared" si="191"/>
        <v>3.5140356489491431E-3</v>
      </c>
      <c r="X989" s="23">
        <v>3.8810612765082464E-2</v>
      </c>
      <c r="Y989" s="23">
        <f t="shared" si="192"/>
        <v>4.2993357183933378E-2</v>
      </c>
      <c r="Z989" s="22">
        <f t="shared" si="193"/>
        <v>3.5140548117891246E-3</v>
      </c>
      <c r="AA989" s="33"/>
      <c r="AB989" s="50">
        <f t="shared" si="189"/>
        <v>976</v>
      </c>
      <c r="AC989" s="48">
        <f t="shared" si="184"/>
        <v>0.12469570629702346</v>
      </c>
      <c r="AE989" s="48">
        <f t="shared" si="190"/>
        <v>0.9978312749217273</v>
      </c>
      <c r="AF989" s="48">
        <f t="shared" si="194"/>
        <v>0.12469570629702338</v>
      </c>
      <c r="AH989" s="48">
        <f t="shared" si="195"/>
        <v>0</v>
      </c>
    </row>
    <row r="990" spans="4:34" ht="13.9" customHeight="1">
      <c r="D990" s="8"/>
      <c r="E990" s="9"/>
      <c r="F990" s="18"/>
      <c r="G990" s="18"/>
      <c r="H990" s="18"/>
      <c r="J990" s="40"/>
      <c r="K990" s="40"/>
      <c r="L990" s="40"/>
      <c r="M990" s="38"/>
      <c r="O990" s="12">
        <f t="shared" si="185"/>
        <v>81.416666666666671</v>
      </c>
      <c r="P990" s="13">
        <v>977</v>
      </c>
      <c r="Q990" s="21">
        <v>2.5927763849749264E-2</v>
      </c>
      <c r="R990" s="18">
        <f t="shared" si="186"/>
        <v>2.6396542406280643E-2</v>
      </c>
      <c r="S990" s="21">
        <v>3.762601488077788E-2</v>
      </c>
      <c r="T990" s="18">
        <f t="shared" si="187"/>
        <v>4.2994173738429176E-2</v>
      </c>
      <c r="U990" s="23">
        <v>3.9112755878010441E-2</v>
      </c>
      <c r="V990" s="23">
        <f t="shared" si="188"/>
        <v>4.2993191160197064E-2</v>
      </c>
      <c r="W990" s="22">
        <f t="shared" si="191"/>
        <v>3.5140414342771376E-3</v>
      </c>
      <c r="X990" s="23">
        <v>3.8814885390141551E-2</v>
      </c>
      <c r="Y990" s="23">
        <f t="shared" si="192"/>
        <v>4.2993427026188247E-2</v>
      </c>
      <c r="Z990" s="22">
        <f t="shared" si="193"/>
        <v>3.5140604711780821E-3</v>
      </c>
      <c r="AA990" s="33"/>
      <c r="AB990" s="50">
        <f t="shared" si="189"/>
        <v>977</v>
      </c>
      <c r="AC990" s="48">
        <f t="shared" si="184"/>
        <v>0.12442526932547945</v>
      </c>
      <c r="AE990" s="48">
        <f t="shared" si="190"/>
        <v>0.99783122467023888</v>
      </c>
      <c r="AF990" s="48">
        <f t="shared" si="194"/>
        <v>0.12442526932547926</v>
      </c>
      <c r="AH990" s="48">
        <f t="shared" si="195"/>
        <v>-1.9428902930940239E-16</v>
      </c>
    </row>
    <row r="991" spans="4:34" ht="13.9" customHeight="1">
      <c r="D991" s="8"/>
      <c r="E991" s="9"/>
      <c r="F991" s="18"/>
      <c r="G991" s="18"/>
      <c r="H991" s="18"/>
      <c r="J991" s="40"/>
      <c r="K991" s="40"/>
      <c r="L991" s="40"/>
      <c r="M991" s="38"/>
      <c r="O991" s="12">
        <f t="shared" si="185"/>
        <v>81.5</v>
      </c>
      <c r="P991" s="13">
        <v>978</v>
      </c>
      <c r="Q991" s="21">
        <v>2.592824306406305E-2</v>
      </c>
      <c r="R991" s="18">
        <f t="shared" si="186"/>
        <v>2.6397152420227554E-2</v>
      </c>
      <c r="S991" s="21">
        <v>3.7631489660536976E-2</v>
      </c>
      <c r="T991" s="18">
        <f t="shared" si="187"/>
        <v>4.2994237694420567E-2</v>
      </c>
      <c r="U991" s="23">
        <v>3.9116716220703118E-2</v>
      </c>
      <c r="V991" s="23">
        <f t="shared" si="188"/>
        <v>4.2993261825324369E-2</v>
      </c>
      <c r="W991" s="22">
        <f t="shared" si="191"/>
        <v>3.5140471595587197E-3</v>
      </c>
      <c r="X991" s="23">
        <v>3.8819149366373207E-2</v>
      </c>
      <c r="Y991" s="23">
        <f t="shared" si="192"/>
        <v>4.2993496133996834E-2</v>
      </c>
      <c r="Z991" s="22">
        <f t="shared" si="193"/>
        <v>3.5140660710606397E-3</v>
      </c>
      <c r="AA991" s="33"/>
      <c r="AB991" s="50">
        <f t="shared" si="189"/>
        <v>978</v>
      </c>
      <c r="AC991" s="48">
        <f t="shared" si="184"/>
        <v>0.12415541267037351</v>
      </c>
      <c r="AE991" s="48">
        <f t="shared" si="190"/>
        <v>0.99783117483636563</v>
      </c>
      <c r="AF991" s="48">
        <f t="shared" si="194"/>
        <v>0.12415541267037418</v>
      </c>
      <c r="AH991" s="48">
        <f t="shared" si="195"/>
        <v>6.6613381477509392E-16</v>
      </c>
    </row>
    <row r="992" spans="4:34" ht="13.9" customHeight="1">
      <c r="D992" s="8"/>
      <c r="E992" s="9"/>
      <c r="F992" s="18"/>
      <c r="G992" s="18"/>
      <c r="H992" s="18"/>
      <c r="J992" s="40"/>
      <c r="K992" s="40"/>
      <c r="L992" s="40"/>
      <c r="M992" s="38"/>
      <c r="O992" s="12">
        <f t="shared" si="185"/>
        <v>81.583333333333329</v>
      </c>
      <c r="P992" s="13">
        <v>979</v>
      </c>
      <c r="Q992" s="21">
        <v>2.5928721922427345E-2</v>
      </c>
      <c r="R992" s="18">
        <f t="shared" si="186"/>
        <v>2.6397757365407726E-2</v>
      </c>
      <c r="S992" s="21">
        <v>3.7636953349653668E-2</v>
      </c>
      <c r="T992" s="18">
        <f t="shared" si="187"/>
        <v>4.2994300949094511E-2</v>
      </c>
      <c r="U992" s="23">
        <v>3.9120668559768701E-2</v>
      </c>
      <c r="V992" s="23">
        <f t="shared" si="188"/>
        <v>4.2993331757133157E-2</v>
      </c>
      <c r="W992" s="22">
        <f t="shared" si="191"/>
        <v>3.5140528254191672E-3</v>
      </c>
      <c r="X992" s="23">
        <v>3.8823404719480203E-2</v>
      </c>
      <c r="Y992" s="23">
        <f t="shared" si="192"/>
        <v>4.2993564515273031E-2</v>
      </c>
      <c r="Z992" s="22">
        <f t="shared" si="193"/>
        <v>3.5140716120554139E-3</v>
      </c>
      <c r="AA992" s="33"/>
      <c r="AB992" s="50">
        <f t="shared" si="189"/>
        <v>979</v>
      </c>
      <c r="AC992" s="48">
        <f t="shared" si="184"/>
        <v>0.12388613515144746</v>
      </c>
      <c r="AE992" s="48">
        <f t="shared" si="190"/>
        <v>0.99783112541664731</v>
      </c>
      <c r="AF992" s="48">
        <f t="shared" si="194"/>
        <v>0.12388613515144774</v>
      </c>
      <c r="AH992" s="48">
        <f t="shared" si="195"/>
        <v>2.7755575615628914E-16</v>
      </c>
    </row>
    <row r="993" spans="4:34" ht="13.9" customHeight="1">
      <c r="D993" s="8"/>
      <c r="E993" s="9"/>
      <c r="F993" s="18"/>
      <c r="G993" s="18"/>
      <c r="H993" s="18"/>
      <c r="J993" s="40"/>
      <c r="K993" s="40"/>
      <c r="L993" s="40"/>
      <c r="M993" s="38"/>
      <c r="O993" s="12">
        <f t="shared" si="185"/>
        <v>81.666666666666671</v>
      </c>
      <c r="P993" s="13">
        <v>980</v>
      </c>
      <c r="Q993" s="21">
        <v>2.5929200420761855E-2</v>
      </c>
      <c r="R993" s="18">
        <f t="shared" si="186"/>
        <v>2.6398357283438978E-2</v>
      </c>
      <c r="S993" s="21">
        <v>3.7642405981280103E-2</v>
      </c>
      <c r="T993" s="18">
        <f t="shared" si="187"/>
        <v>4.2994363509069045E-2</v>
      </c>
      <c r="U993" s="23">
        <v>3.9124612918917334E-2</v>
      </c>
      <c r="V993" s="23">
        <f t="shared" si="188"/>
        <v>4.2993400963026396E-2</v>
      </c>
      <c r="W993" s="22">
        <f t="shared" si="191"/>
        <v>3.5140584324824253E-3</v>
      </c>
      <c r="X993" s="23">
        <v>3.8827651475069391E-2</v>
      </c>
      <c r="Y993" s="23">
        <f t="shared" si="192"/>
        <v>4.2993632177403152E-2</v>
      </c>
      <c r="Z993" s="22">
        <f t="shared" si="193"/>
        <v>3.514077094797452E-3</v>
      </c>
      <c r="AA993" s="33"/>
      <c r="AB993" s="50">
        <f t="shared" si="189"/>
        <v>980</v>
      </c>
      <c r="AC993" s="48">
        <f t="shared" si="184"/>
        <v>0.12361743559014701</v>
      </c>
      <c r="AE993" s="48">
        <f t="shared" si="190"/>
        <v>0.99783107640760182</v>
      </c>
      <c r="AF993" s="48">
        <f t="shared" si="194"/>
        <v>0.12361743559014673</v>
      </c>
      <c r="AH993" s="48">
        <f t="shared" si="195"/>
        <v>-2.7755575615628914E-16</v>
      </c>
    </row>
    <row r="994" spans="4:34" ht="13.9" customHeight="1">
      <c r="D994" s="8"/>
      <c r="E994" s="9"/>
      <c r="F994" s="18"/>
      <c r="G994" s="18"/>
      <c r="H994" s="18"/>
      <c r="J994" s="40"/>
      <c r="K994" s="40"/>
      <c r="L994" s="40"/>
      <c r="M994" s="38"/>
      <c r="O994" s="12">
        <f t="shared" si="185"/>
        <v>81.75</v>
      </c>
      <c r="P994" s="13">
        <v>981</v>
      </c>
      <c r="Q994" s="21">
        <v>2.5929678555045355E-2</v>
      </c>
      <c r="R994" s="18">
        <f t="shared" si="186"/>
        <v>2.6398952216278859E-2</v>
      </c>
      <c r="S994" s="21">
        <v>3.7647847588440086E-2</v>
      </c>
      <c r="T994" s="18">
        <f t="shared" si="187"/>
        <v>4.2994425381867929E-2</v>
      </c>
      <c r="U994" s="23">
        <v>3.9128549321770567E-2</v>
      </c>
      <c r="V994" s="23">
        <f t="shared" si="188"/>
        <v>4.2993469450714583E-2</v>
      </c>
      <c r="W994" s="22">
        <f t="shared" si="191"/>
        <v>3.5140639813422414E-3</v>
      </c>
      <c r="X994" s="23">
        <v>3.8831889658650365E-2</v>
      </c>
      <c r="Y994" s="23">
        <f t="shared" si="192"/>
        <v>4.2993699128494267E-2</v>
      </c>
      <c r="Z994" s="22">
        <f t="shared" si="193"/>
        <v>3.5140825198787251E-3</v>
      </c>
      <c r="AA994" s="33"/>
      <c r="AB994" s="50">
        <f t="shared" si="189"/>
        <v>981</v>
      </c>
      <c r="AC994" s="48">
        <f t="shared" si="184"/>
        <v>0.1233493128096404</v>
      </c>
      <c r="AE994" s="48">
        <f t="shared" si="190"/>
        <v>0.99783102780585675</v>
      </c>
      <c r="AF994" s="48">
        <f t="shared" si="194"/>
        <v>0.12334931280964041</v>
      </c>
      <c r="AH994" s="48">
        <f t="shared" si="195"/>
        <v>0</v>
      </c>
    </row>
    <row r="995" spans="4:34" ht="13.9" customHeight="1">
      <c r="D995" s="8"/>
      <c r="E995" s="9"/>
      <c r="F995" s="18"/>
      <c r="G995" s="18"/>
      <c r="H995" s="18"/>
      <c r="J995" s="40"/>
      <c r="K995" s="40"/>
      <c r="L995" s="40"/>
      <c r="M995" s="38"/>
      <c r="O995" s="12">
        <f t="shared" si="185"/>
        <v>81.833333333333329</v>
      </c>
      <c r="P995" s="13">
        <v>982</v>
      </c>
      <c r="Q995" s="21">
        <v>2.5930156321315456E-2</v>
      </c>
      <c r="R995" s="18">
        <f t="shared" si="186"/>
        <v>2.6399542205544524E-2</v>
      </c>
      <c r="S995" s="21">
        <v>3.7653278204031304E-2</v>
      </c>
      <c r="T995" s="18">
        <f t="shared" si="187"/>
        <v>4.2994486575999913E-2</v>
      </c>
      <c r="U995" s="23">
        <v>3.9132477791861131E-2</v>
      </c>
      <c r="V995" s="23">
        <f t="shared" si="188"/>
        <v>4.2993537227494105E-2</v>
      </c>
      <c r="W995" s="22">
        <f t="shared" si="191"/>
        <v>3.5140694726167876E-3</v>
      </c>
      <c r="X995" s="23">
        <v>3.8836119295637461E-2</v>
      </c>
      <c r="Y995" s="23">
        <f t="shared" si="192"/>
        <v>4.2993765375148207E-2</v>
      </c>
      <c r="Z995" s="22">
        <f t="shared" si="193"/>
        <v>3.5140878879493798E-3</v>
      </c>
      <c r="AA995" s="33"/>
      <c r="AB995" s="50">
        <f t="shared" si="189"/>
        <v>982</v>
      </c>
      <c r="AC995" s="48">
        <f t="shared" si="184"/>
        <v>0.12308176563481858</v>
      </c>
      <c r="AE995" s="48">
        <f t="shared" si="190"/>
        <v>0.99783097960801226</v>
      </c>
      <c r="AF995" s="48">
        <f t="shared" si="194"/>
        <v>0.12308176563481862</v>
      </c>
      <c r="AH995" s="48">
        <f t="shared" si="195"/>
        <v>0</v>
      </c>
    </row>
    <row r="996" spans="4:34" ht="13.9" customHeight="1">
      <c r="D996" s="8"/>
      <c r="E996" s="9"/>
      <c r="F996" s="18"/>
      <c r="G996" s="18"/>
      <c r="H996" s="18"/>
      <c r="J996" s="40"/>
      <c r="K996" s="40"/>
      <c r="L996" s="40"/>
      <c r="M996" s="38"/>
      <c r="O996" s="12">
        <f t="shared" si="185"/>
        <v>81.916666666666671</v>
      </c>
      <c r="P996" s="13">
        <v>983</v>
      </c>
      <c r="Q996" s="21">
        <v>2.5930633715668394E-2</v>
      </c>
      <c r="R996" s="18">
        <f t="shared" si="186"/>
        <v>2.6400127292108611E-2</v>
      </c>
      <c r="S996" s="21">
        <v>3.7658697860825985E-2</v>
      </c>
      <c r="T996" s="18">
        <f t="shared" si="187"/>
        <v>4.299454709827355E-2</v>
      </c>
      <c r="U996" s="23">
        <v>3.913639835263405E-2</v>
      </c>
      <c r="V996" s="23">
        <f t="shared" si="188"/>
        <v>4.2993604300967547E-2</v>
      </c>
      <c r="W996" s="22">
        <f t="shared" si="191"/>
        <v>3.5140749068909294E-3</v>
      </c>
      <c r="X996" s="23">
        <v>3.8840340411348429E-2</v>
      </c>
      <c r="Y996" s="23">
        <f t="shared" si="192"/>
        <v>4.2993830925502241E-2</v>
      </c>
      <c r="Z996" s="22">
        <f t="shared" si="193"/>
        <v>3.5140931995385483E-3</v>
      </c>
      <c r="AA996" s="33"/>
      <c r="AB996" s="50">
        <f t="shared" si="189"/>
        <v>983</v>
      </c>
      <c r="AC996" s="48">
        <f t="shared" si="184"/>
        <v>0.1228147928922964</v>
      </c>
      <c r="AE996" s="48">
        <f t="shared" si="190"/>
        <v>0.99783093181069593</v>
      </c>
      <c r="AF996" s="48">
        <f t="shared" si="194"/>
        <v>0.12281479289229676</v>
      </c>
      <c r="AH996" s="48">
        <f t="shared" si="195"/>
        <v>3.6082248300317588E-16</v>
      </c>
    </row>
    <row r="997" spans="4:34" ht="13.9" customHeight="1">
      <c r="D997" s="8"/>
      <c r="E997" s="9"/>
      <c r="F997" s="18"/>
      <c r="G997" s="18"/>
      <c r="H997" s="18"/>
      <c r="J997" s="40"/>
      <c r="K997" s="40"/>
      <c r="L997" s="40"/>
      <c r="M997" s="38"/>
      <c r="O997" s="12">
        <f t="shared" si="185"/>
        <v>82</v>
      </c>
      <c r="P997" s="13">
        <v>984</v>
      </c>
      <c r="Q997" s="21">
        <v>2.593111073425769E-2</v>
      </c>
      <c r="R997" s="18">
        <f t="shared" si="186"/>
        <v>2.6400707517425293E-2</v>
      </c>
      <c r="S997" s="21">
        <v>3.7664106591470681E-2</v>
      </c>
      <c r="T997" s="18">
        <f t="shared" si="187"/>
        <v>4.2994606956088477E-2</v>
      </c>
      <c r="U997" s="23">
        <v>3.9140311027446639E-2</v>
      </c>
      <c r="V997" s="23">
        <f t="shared" si="188"/>
        <v>4.2993670678182383E-2</v>
      </c>
      <c r="W997" s="22">
        <f t="shared" si="191"/>
        <v>3.5140802847744013E-3</v>
      </c>
      <c r="X997" s="23">
        <v>3.8844553031006646E-2</v>
      </c>
      <c r="Y997" s="23">
        <f t="shared" si="192"/>
        <v>4.2993895786761271E-2</v>
      </c>
      <c r="Z997" s="22">
        <f t="shared" si="193"/>
        <v>3.5140984552988197E-3</v>
      </c>
      <c r="AA997" s="33"/>
      <c r="AB997" s="50">
        <f t="shared" si="189"/>
        <v>984</v>
      </c>
      <c r="AC997" s="48">
        <f t="shared" si="184"/>
        <v>0.12254839341042446</v>
      </c>
      <c r="AE997" s="48">
        <f t="shared" si="190"/>
        <v>0.99783088441059598</v>
      </c>
      <c r="AF997" s="48">
        <f t="shared" si="194"/>
        <v>0.12254839341042464</v>
      </c>
      <c r="AH997" s="48">
        <f t="shared" si="195"/>
        <v>1.8041124150158794E-16</v>
      </c>
    </row>
    <row r="998" spans="4:34" ht="13.9" customHeight="1">
      <c r="D998" s="8"/>
      <c r="E998" s="9"/>
      <c r="F998" s="18"/>
      <c r="G998" s="18"/>
      <c r="H998" s="18"/>
      <c r="J998" s="40"/>
      <c r="K998" s="40"/>
      <c r="L998" s="40"/>
      <c r="M998" s="38"/>
      <c r="O998" s="12">
        <f t="shared" si="185"/>
        <v>82.083333333333329</v>
      </c>
      <c r="P998" s="13">
        <v>985</v>
      </c>
      <c r="Q998" s="21">
        <v>2.5931587373294596E-2</v>
      </c>
      <c r="R998" s="18">
        <f t="shared" si="186"/>
        <v>2.6401282920922586E-2</v>
      </c>
      <c r="S998" s="21">
        <v>3.7669504428487155E-2</v>
      </c>
      <c r="T998" s="18">
        <f t="shared" si="187"/>
        <v>4.2994666156739525E-2</v>
      </c>
      <c r="U998" s="23">
        <v>3.914421583956873E-2</v>
      </c>
      <c r="V998" s="23">
        <f t="shared" si="188"/>
        <v>4.2993736366549351E-2</v>
      </c>
      <c r="W998" s="22">
        <f t="shared" si="191"/>
        <v>3.5140856068323068E-3</v>
      </c>
      <c r="X998" s="23">
        <v>3.8848757179740234E-2</v>
      </c>
      <c r="Y998" s="23">
        <f t="shared" si="192"/>
        <v>4.2993959965717421E-2</v>
      </c>
      <c r="Z998" s="22">
        <f t="shared" si="193"/>
        <v>3.5141036558077321E-3</v>
      </c>
      <c r="AA998" s="33"/>
      <c r="AB998" s="50">
        <f t="shared" si="189"/>
        <v>985</v>
      </c>
      <c r="AC998" s="48">
        <f t="shared" si="184"/>
        <v>0.12228256601928175</v>
      </c>
      <c r="AE998" s="48">
        <f t="shared" si="190"/>
        <v>0.99783083740435319</v>
      </c>
      <c r="AF998" s="48">
        <f t="shared" si="194"/>
        <v>0.12228256601928214</v>
      </c>
      <c r="AH998" s="48">
        <f t="shared" si="195"/>
        <v>3.8857805861880479E-16</v>
      </c>
    </row>
    <row r="999" spans="4:34" ht="13.9" customHeight="1">
      <c r="D999" s="8"/>
      <c r="E999" s="9"/>
      <c r="F999" s="18"/>
      <c r="G999" s="18"/>
      <c r="H999" s="18"/>
      <c r="J999" s="40"/>
      <c r="K999" s="40"/>
      <c r="L999" s="40"/>
      <c r="M999" s="38"/>
      <c r="O999" s="12">
        <f t="shared" si="185"/>
        <v>82.166666666666671</v>
      </c>
      <c r="P999" s="13">
        <v>986</v>
      </c>
      <c r="Q999" s="21">
        <v>2.5932063629045654E-2</v>
      </c>
      <c r="R999" s="18">
        <f t="shared" si="186"/>
        <v>2.6401853543639664E-2</v>
      </c>
      <c r="S999" s="21">
        <v>3.7674891404272826E-2</v>
      </c>
      <c r="T999" s="18">
        <f t="shared" si="187"/>
        <v>4.2994724707521081E-2</v>
      </c>
      <c r="U999" s="23">
        <v>3.9148112812183555E-2</v>
      </c>
      <c r="V999" s="23">
        <f t="shared" si="188"/>
        <v>4.2993801373025109E-2</v>
      </c>
      <c r="W999" s="22">
        <f t="shared" si="191"/>
        <v>3.5140908736586152E-3</v>
      </c>
      <c r="X999" s="23">
        <v>3.8852952882582947E-2</v>
      </c>
      <c r="Y999" s="23">
        <f t="shared" si="192"/>
        <v>4.2994023470192211E-2</v>
      </c>
      <c r="Z999" s="22">
        <f t="shared" si="193"/>
        <v>3.5141088016101829E-3</v>
      </c>
      <c r="AA999" s="33"/>
      <c r="AB999" s="50">
        <f t="shared" si="189"/>
        <v>986</v>
      </c>
      <c r="AC999" s="48">
        <f t="shared" si="184"/>
        <v>0.12201730955070081</v>
      </c>
      <c r="AE999" s="48">
        <f t="shared" si="190"/>
        <v>0.99783079078877246</v>
      </c>
      <c r="AF999" s="48">
        <f t="shared" si="194"/>
        <v>0.12201730955070057</v>
      </c>
      <c r="AH999" s="48">
        <f t="shared" si="195"/>
        <v>-2.3592239273284576E-16</v>
      </c>
    </row>
    <row r="1000" spans="4:34" ht="13.9" customHeight="1">
      <c r="D1000" s="8"/>
      <c r="E1000" s="9"/>
      <c r="F1000" s="18"/>
      <c r="G1000" s="18"/>
      <c r="H1000" s="18"/>
      <c r="J1000" s="40"/>
      <c r="K1000" s="40"/>
      <c r="L1000" s="40"/>
      <c r="M1000" s="38"/>
      <c r="O1000" s="12">
        <f t="shared" si="185"/>
        <v>82.25</v>
      </c>
      <c r="P1000" s="13">
        <v>987</v>
      </c>
      <c r="Q1000" s="21">
        <v>2.593253949783425E-2</v>
      </c>
      <c r="R1000" s="18">
        <f t="shared" si="186"/>
        <v>2.6402419424499834E-2</v>
      </c>
      <c r="S1000" s="21">
        <v>3.7680267551101654E-2</v>
      </c>
      <c r="T1000" s="18">
        <f t="shared" si="187"/>
        <v>4.2994782615505267E-2</v>
      </c>
      <c r="U1000" s="23">
        <v>3.9152001968387307E-2</v>
      </c>
      <c r="V1000" s="23">
        <f t="shared" si="188"/>
        <v>4.2993865704947343E-2</v>
      </c>
      <c r="W1000" s="22">
        <f t="shared" si="191"/>
        <v>3.5140960858115466E-3</v>
      </c>
      <c r="X1000" s="23">
        <v>3.8857140164474613E-2</v>
      </c>
      <c r="Y1000" s="23">
        <f t="shared" si="192"/>
        <v>4.2994086306755719E-2</v>
      </c>
      <c r="Z1000" s="22">
        <f t="shared" si="193"/>
        <v>3.5141138933330041E-3</v>
      </c>
      <c r="AA1000" s="33"/>
      <c r="AB1000" s="50">
        <f t="shared" si="189"/>
        <v>987</v>
      </c>
      <c r="AC1000" s="48">
        <f t="shared" si="184"/>
        <v>0.1217526228382485</v>
      </c>
      <c r="AE1000" s="48">
        <f t="shared" si="190"/>
        <v>0.99783074456052867</v>
      </c>
      <c r="AF1000" s="48">
        <f t="shared" si="194"/>
        <v>0.12175262283824806</v>
      </c>
      <c r="AH1000" s="48">
        <f t="shared" si="195"/>
        <v>-4.4408920985006262E-16</v>
      </c>
    </row>
    <row r="1001" spans="4:34" ht="13.9" customHeight="1">
      <c r="D1001" s="8"/>
      <c r="E1001" s="9"/>
      <c r="F1001" s="18"/>
      <c r="G1001" s="18"/>
      <c r="H1001" s="18"/>
      <c r="J1001" s="40"/>
      <c r="K1001" s="40"/>
      <c r="L1001" s="40"/>
      <c r="M1001" s="38"/>
      <c r="O1001" s="12">
        <f t="shared" si="185"/>
        <v>82.333333333333329</v>
      </c>
      <c r="P1001" s="13">
        <v>988</v>
      </c>
      <c r="Q1001" s="21">
        <v>2.5933014976037949E-2</v>
      </c>
      <c r="R1001" s="18">
        <f t="shared" si="186"/>
        <v>2.6402980604210091E-2</v>
      </c>
      <c r="S1001" s="21">
        <v>3.7685632901124144E-2</v>
      </c>
      <c r="T1001" s="18">
        <f t="shared" si="187"/>
        <v>4.2994839888130354E-2</v>
      </c>
      <c r="U1001" s="23">
        <v>3.9155883331190466E-2</v>
      </c>
      <c r="V1001" s="23">
        <f t="shared" si="188"/>
        <v>4.2993929369066874E-2</v>
      </c>
      <c r="W1001" s="22">
        <f t="shared" si="191"/>
        <v>3.5141012438788533E-3</v>
      </c>
      <c r="X1001" s="23">
        <v>3.8861319050261356E-2</v>
      </c>
      <c r="Y1001" s="23">
        <f t="shared" si="192"/>
        <v>4.2994148482738526E-2</v>
      </c>
      <c r="Z1001" s="22">
        <f t="shared" si="193"/>
        <v>3.5141189315033294E-3</v>
      </c>
      <c r="AA1001" s="33"/>
      <c r="AB1001" s="50">
        <f t="shared" si="189"/>
        <v>988</v>
      </c>
      <c r="AC1001" s="48">
        <f t="shared" si="184"/>
        <v>0.12148850471725177</v>
      </c>
      <c r="AE1001" s="48">
        <f t="shared" si="190"/>
        <v>0.99783069871646768</v>
      </c>
      <c r="AF1001" s="48">
        <f t="shared" si="194"/>
        <v>0.12148850471725162</v>
      </c>
      <c r="AH1001" s="48">
        <f t="shared" si="195"/>
        <v>-1.5265566588595902E-16</v>
      </c>
    </row>
    <row r="1002" spans="4:34" ht="13.9" customHeight="1">
      <c r="D1002" s="8"/>
      <c r="E1002" s="9"/>
      <c r="F1002" s="18"/>
      <c r="G1002" s="18"/>
      <c r="H1002" s="18"/>
      <c r="J1002" s="40"/>
      <c r="K1002" s="40"/>
      <c r="L1002" s="40"/>
      <c r="M1002" s="38"/>
      <c r="O1002" s="12">
        <f t="shared" si="185"/>
        <v>82.416666666666671</v>
      </c>
      <c r="P1002" s="13">
        <v>989</v>
      </c>
      <c r="Q1002" s="21">
        <v>2.5933490060090048E-2</v>
      </c>
      <c r="R1002" s="18">
        <f t="shared" si="186"/>
        <v>2.640353712067367E-2</v>
      </c>
      <c r="S1002" s="21">
        <v>3.7690987486368677E-2</v>
      </c>
      <c r="T1002" s="18">
        <f t="shared" si="187"/>
        <v>4.2994896531644455E-2</v>
      </c>
      <c r="U1002" s="23">
        <v>3.9159756923517364E-2</v>
      </c>
      <c r="V1002" s="23">
        <f t="shared" si="188"/>
        <v>4.299399237233148E-2</v>
      </c>
      <c r="W1002" s="22">
        <f t="shared" si="191"/>
        <v>3.5141063484023238E-3</v>
      </c>
      <c r="X1002" s="23">
        <v>3.8865489564696043E-2</v>
      </c>
      <c r="Y1002" s="23">
        <f t="shared" si="192"/>
        <v>4.299421000505621E-2</v>
      </c>
      <c r="Z1002" s="22">
        <f t="shared" si="193"/>
        <v>3.514123916708467E-3</v>
      </c>
      <c r="AA1002" s="33"/>
      <c r="AB1002" s="50">
        <f t="shared" si="189"/>
        <v>989</v>
      </c>
      <c r="AC1002" s="48">
        <f t="shared" si="184"/>
        <v>0.1212249540247802</v>
      </c>
      <c r="AE1002" s="48">
        <f t="shared" si="190"/>
        <v>0.99783065325329079</v>
      </c>
      <c r="AF1002" s="48">
        <f t="shared" si="194"/>
        <v>0.12122495402478067</v>
      </c>
      <c r="AH1002" s="48">
        <f t="shared" si="195"/>
        <v>4.7184478546569153E-16</v>
      </c>
    </row>
    <row r="1003" spans="4:34" ht="13.9" customHeight="1">
      <c r="D1003" s="8"/>
      <c r="E1003" s="9"/>
      <c r="F1003" s="18"/>
      <c r="G1003" s="18"/>
      <c r="H1003" s="18"/>
      <c r="J1003" s="40"/>
      <c r="K1003" s="40"/>
      <c r="L1003" s="40"/>
      <c r="M1003" s="38"/>
      <c r="O1003" s="12">
        <f t="shared" si="185"/>
        <v>82.5</v>
      </c>
      <c r="P1003" s="13">
        <v>990</v>
      </c>
      <c r="Q1003" s="21">
        <v>2.5933964746476468E-2</v>
      </c>
      <c r="R1003" s="18">
        <f t="shared" si="186"/>
        <v>2.6404089012978638E-2</v>
      </c>
      <c r="S1003" s="21">
        <v>3.7696331338741063E-2</v>
      </c>
      <c r="T1003" s="18">
        <f t="shared" si="187"/>
        <v>4.2994952553459864E-2</v>
      </c>
      <c r="U1003" s="23">
        <v>3.9163622768206618E-2</v>
      </c>
      <c r="V1003" s="23">
        <f t="shared" si="188"/>
        <v>4.2994054721856134E-2</v>
      </c>
      <c r="W1003" s="22">
        <f t="shared" si="191"/>
        <v>3.5141113999388462E-3</v>
      </c>
      <c r="X1003" s="23">
        <v>3.8869651732438948E-2</v>
      </c>
      <c r="Y1003" s="23">
        <f t="shared" si="192"/>
        <v>4.2994270880180929E-2</v>
      </c>
      <c r="Z1003" s="22">
        <f t="shared" si="193"/>
        <v>3.5141288495033063E-3</v>
      </c>
      <c r="AA1003" s="33"/>
      <c r="AB1003" s="50">
        <f t="shared" si="189"/>
        <v>990</v>
      </c>
      <c r="AC1003" s="48">
        <f t="shared" si="184"/>
        <v>0.1209619695996756</v>
      </c>
      <c r="AE1003" s="48">
        <f t="shared" si="190"/>
        <v>0.99783060816792668</v>
      </c>
      <c r="AF1003" s="48">
        <f t="shared" si="194"/>
        <v>0.12096196959967585</v>
      </c>
      <c r="AH1003" s="48">
        <f t="shared" si="195"/>
        <v>2.4980018054066022E-16</v>
      </c>
    </row>
    <row r="1004" spans="4:34" ht="13.9" customHeight="1">
      <c r="D1004" s="8"/>
      <c r="E1004" s="9"/>
      <c r="F1004" s="18"/>
      <c r="G1004" s="18"/>
      <c r="H1004" s="18"/>
      <c r="J1004" s="40"/>
      <c r="K1004" s="40"/>
      <c r="L1004" s="40"/>
      <c r="M1004" s="38"/>
      <c r="O1004" s="12">
        <f t="shared" si="185"/>
        <v>82.583333333333329</v>
      </c>
      <c r="P1004" s="13">
        <v>991</v>
      </c>
      <c r="Q1004" s="21">
        <v>2.5934439031736867E-2</v>
      </c>
      <c r="R1004" s="18">
        <f t="shared" si="186"/>
        <v>2.6404636319853791E-2</v>
      </c>
      <c r="S1004" s="21">
        <v>3.7701664490025655E-2</v>
      </c>
      <c r="T1004" s="18">
        <f t="shared" si="187"/>
        <v>4.299500796038136E-2</v>
      </c>
      <c r="U1004" s="23">
        <v>3.9167480888012474E-2</v>
      </c>
      <c r="V1004" s="23">
        <f t="shared" si="188"/>
        <v>4.2994116424387441E-2</v>
      </c>
      <c r="W1004" s="22">
        <f t="shared" si="191"/>
        <v>3.5141163990588531E-3</v>
      </c>
      <c r="X1004" s="23">
        <v>3.8873805578057308E-2</v>
      </c>
      <c r="Y1004" s="23">
        <f t="shared" si="192"/>
        <v>4.2994331115534301E-2</v>
      </c>
      <c r="Z1004" s="22">
        <f t="shared" si="193"/>
        <v>3.5141337304065434E-3</v>
      </c>
      <c r="AA1004" s="33"/>
      <c r="AB1004" s="50">
        <f t="shared" si="189"/>
        <v>991</v>
      </c>
      <c r="AC1004" s="48">
        <f t="shared" si="184"/>
        <v>0.12069955028253845</v>
      </c>
      <c r="AE1004" s="48">
        <f t="shared" si="190"/>
        <v>0.99783056345720833</v>
      </c>
      <c r="AF1004" s="48">
        <f t="shared" si="194"/>
        <v>0.12069955028253826</v>
      </c>
      <c r="AH1004" s="48">
        <f t="shared" si="195"/>
        <v>-1.9428902930940239E-16</v>
      </c>
    </row>
    <row r="1005" spans="4:34" ht="13.9" customHeight="1">
      <c r="D1005" s="8"/>
      <c r="E1005" s="9"/>
      <c r="F1005" s="18"/>
      <c r="G1005" s="18"/>
      <c r="H1005" s="18"/>
      <c r="J1005" s="40"/>
      <c r="K1005" s="40"/>
      <c r="L1005" s="40"/>
      <c r="M1005" s="38"/>
      <c r="O1005" s="12">
        <f t="shared" si="185"/>
        <v>82.666666666666671</v>
      </c>
      <c r="P1005" s="13">
        <v>992</v>
      </c>
      <c r="Q1005" s="21">
        <v>2.593491291246397E-2</v>
      </c>
      <c r="R1005" s="18">
        <f t="shared" si="186"/>
        <v>2.6405179079329155E-2</v>
      </c>
      <c r="S1005" s="21">
        <v>3.7706986971886236E-2</v>
      </c>
      <c r="T1005" s="18">
        <f t="shared" si="187"/>
        <v>4.2995062759079827E-2</v>
      </c>
      <c r="U1005" s="23">
        <v>3.9171331305603907E-2</v>
      </c>
      <c r="V1005" s="23">
        <f t="shared" si="188"/>
        <v>4.299417748624057E-2</v>
      </c>
      <c r="W1005" s="22">
        <f t="shared" si="191"/>
        <v>3.5141213463034671E-3</v>
      </c>
      <c r="X1005" s="23">
        <v>3.8877951126027099E-2</v>
      </c>
      <c r="Y1005" s="23">
        <f t="shared" si="192"/>
        <v>4.2994390717444597E-2</v>
      </c>
      <c r="Z1005" s="22">
        <f t="shared" si="193"/>
        <v>3.514138560013258E-3</v>
      </c>
      <c r="AA1005" s="33"/>
      <c r="AB1005" s="50">
        <f t="shared" si="189"/>
        <v>992</v>
      </c>
      <c r="AC1005" s="48">
        <f t="shared" si="184"/>
        <v>0.12043769491573376</v>
      </c>
      <c r="AE1005" s="48">
        <f t="shared" si="190"/>
        <v>0.99783051911799736</v>
      </c>
      <c r="AF1005" s="48">
        <f t="shared" si="194"/>
        <v>0.12043769491573397</v>
      </c>
      <c r="AH1005" s="48">
        <f t="shared" si="195"/>
        <v>2.0816681711721685E-16</v>
      </c>
    </row>
    <row r="1006" spans="4:34" ht="13.9" customHeight="1">
      <c r="D1006" s="8"/>
      <c r="E1006" s="9"/>
      <c r="F1006" s="18"/>
      <c r="G1006" s="18"/>
      <c r="H1006" s="18"/>
      <c r="J1006" s="40"/>
      <c r="K1006" s="40"/>
      <c r="L1006" s="40"/>
      <c r="M1006" s="38"/>
      <c r="O1006" s="12">
        <f t="shared" si="185"/>
        <v>82.75</v>
      </c>
      <c r="P1006" s="13">
        <v>993</v>
      </c>
      <c r="Q1006" s="21">
        <v>2.5935386385302239E-2</v>
      </c>
      <c r="R1006" s="18">
        <f t="shared" si="186"/>
        <v>2.6405717329225586E-2</v>
      </c>
      <c r="S1006" s="21">
        <v>3.7712298815865575E-2</v>
      </c>
      <c r="T1006" s="18">
        <f t="shared" si="187"/>
        <v>4.2995116956054735E-2</v>
      </c>
      <c r="U1006" s="23">
        <v>3.9175174043565297E-2</v>
      </c>
      <c r="V1006" s="23">
        <f t="shared" si="188"/>
        <v>4.2994237914360856E-2</v>
      </c>
      <c r="W1006" s="22">
        <f t="shared" si="191"/>
        <v>3.5141262421787278E-3</v>
      </c>
      <c r="X1006" s="23">
        <v>3.8882088400732151E-2</v>
      </c>
      <c r="Y1006" s="23">
        <f t="shared" si="192"/>
        <v>4.2994449692644876E-2</v>
      </c>
      <c r="Z1006" s="22">
        <f t="shared" si="193"/>
        <v>3.5141433388310439E-3</v>
      </c>
      <c r="AA1006" s="33"/>
      <c r="AB1006" s="50">
        <f t="shared" si="189"/>
        <v>993</v>
      </c>
      <c r="AC1006" s="48">
        <f t="shared" si="184"/>
        <v>0.12017640234340164</v>
      </c>
      <c r="AE1006" s="48">
        <f t="shared" si="190"/>
        <v>0.99783047514721224</v>
      </c>
      <c r="AF1006" s="48">
        <f t="shared" si="194"/>
        <v>0.12017640234340182</v>
      </c>
      <c r="AH1006" s="48">
        <f t="shared" si="195"/>
        <v>1.8041124150158794E-16</v>
      </c>
    </row>
    <row r="1007" spans="4:34" ht="13.9" customHeight="1">
      <c r="D1007" s="8"/>
      <c r="E1007" s="9"/>
      <c r="F1007" s="18"/>
      <c r="G1007" s="18"/>
      <c r="H1007" s="18"/>
      <c r="J1007" s="40"/>
      <c r="K1007" s="40"/>
      <c r="L1007" s="40"/>
      <c r="M1007" s="38"/>
      <c r="O1007" s="12">
        <f t="shared" si="185"/>
        <v>82.833333333333329</v>
      </c>
      <c r="P1007" s="13">
        <v>994</v>
      </c>
      <c r="Q1007" s="21">
        <v>2.5935859446947873E-2</v>
      </c>
      <c r="R1007" s="18">
        <f t="shared" si="186"/>
        <v>2.6406251107004008E-2</v>
      </c>
      <c r="S1007" s="21">
        <v>3.7717600053386757E-2</v>
      </c>
      <c r="T1007" s="18">
        <f t="shared" si="187"/>
        <v>4.2995170558235207E-2</v>
      </c>
      <c r="U1007" s="23">
        <v>3.9179009124397313E-2</v>
      </c>
      <c r="V1007" s="23">
        <f t="shared" si="188"/>
        <v>4.2994297715610585E-2</v>
      </c>
      <c r="W1007" s="22">
        <f t="shared" si="191"/>
        <v>3.5141310872419673E-3</v>
      </c>
      <c r="X1007" s="23">
        <v>3.8886217426465031E-2</v>
      </c>
      <c r="Y1007" s="23">
        <f t="shared" si="192"/>
        <v>4.2994508048087798E-2</v>
      </c>
      <c r="Z1007" s="22">
        <f t="shared" si="193"/>
        <v>3.5141480673996917E-3</v>
      </c>
      <c r="AA1007" s="33"/>
      <c r="AB1007" s="50">
        <f t="shared" si="189"/>
        <v>994</v>
      </c>
      <c r="AC1007" s="48">
        <f t="shared" si="184"/>
        <v>0.11991567141145598</v>
      </c>
      <c r="AE1007" s="48">
        <f t="shared" si="190"/>
        <v>0.99783043154178819</v>
      </c>
      <c r="AF1007" s="48">
        <f t="shared" si="194"/>
        <v>0.1199156714114562</v>
      </c>
      <c r="AH1007" s="48">
        <f t="shared" si="195"/>
        <v>2.2204460492503131E-16</v>
      </c>
    </row>
    <row r="1008" spans="4:34" ht="13.9" customHeight="1">
      <c r="D1008" s="8"/>
      <c r="E1008" s="9"/>
      <c r="F1008" s="18"/>
      <c r="G1008" s="18"/>
      <c r="H1008" s="18"/>
      <c r="J1008" s="40"/>
      <c r="K1008" s="40"/>
      <c r="L1008" s="40"/>
      <c r="M1008" s="38"/>
      <c r="O1008" s="12">
        <f t="shared" si="185"/>
        <v>82.916666666666671</v>
      </c>
      <c r="P1008" s="13">
        <v>995</v>
      </c>
      <c r="Q1008" s="21">
        <v>2.5936332094147918E-2</v>
      </c>
      <c r="R1008" s="18">
        <f t="shared" si="186"/>
        <v>2.6406780449929723E-2</v>
      </c>
      <c r="S1008" s="21">
        <v>3.7722890715753632E-2</v>
      </c>
      <c r="T1008" s="18">
        <f t="shared" si="187"/>
        <v>4.2995223572054764E-2</v>
      </c>
      <c r="U1008" s="23">
        <v>3.918283657051691E-2</v>
      </c>
      <c r="V1008" s="23">
        <f t="shared" si="188"/>
        <v>4.2994356895900365E-2</v>
      </c>
      <c r="W1008" s="22">
        <f t="shared" si="191"/>
        <v>3.514135882042968E-3</v>
      </c>
      <c r="X1008" s="23">
        <v>3.8890338227427934E-2</v>
      </c>
      <c r="Y1008" s="23">
        <f t="shared" si="192"/>
        <v>4.2994565789670869E-2</v>
      </c>
      <c r="Z1008" s="22">
        <f t="shared" si="193"/>
        <v>3.5141527462765332E-3</v>
      </c>
      <c r="AA1008" s="33"/>
      <c r="AB1008" s="50">
        <f t="shared" si="189"/>
        <v>995</v>
      </c>
      <c r="AC1008" s="48">
        <f t="shared" si="184"/>
        <v>0.11965550096759106</v>
      </c>
      <c r="AE1008" s="48">
        <f t="shared" si="190"/>
        <v>0.99783038829868964</v>
      </c>
      <c r="AF1008" s="48">
        <f t="shared" si="194"/>
        <v>0.11965550096759142</v>
      </c>
      <c r="AH1008" s="48">
        <f t="shared" si="195"/>
        <v>3.6082248300317588E-16</v>
      </c>
    </row>
    <row r="1009" spans="4:34" ht="13.9" customHeight="1">
      <c r="D1009" s="8"/>
      <c r="E1009" s="9"/>
      <c r="F1009" s="18"/>
      <c r="G1009" s="18"/>
      <c r="H1009" s="18"/>
      <c r="J1009" s="40"/>
      <c r="K1009" s="40"/>
      <c r="L1009" s="40"/>
      <c r="M1009" s="38"/>
      <c r="O1009" s="12">
        <f t="shared" si="185"/>
        <v>83</v>
      </c>
      <c r="P1009" s="13">
        <v>996</v>
      </c>
      <c r="Q1009" s="21">
        <v>2.5936804323699825E-2</v>
      </c>
      <c r="R1009" s="18">
        <f t="shared" si="186"/>
        <v>2.6407305395025338E-2</v>
      </c>
      <c r="S1009" s="21">
        <v>3.7728170834150809E-2</v>
      </c>
      <c r="T1009" s="18">
        <f t="shared" si="187"/>
        <v>4.2995276003482186E-2</v>
      </c>
      <c r="U1009" s="23">
        <v>3.9186656404257336E-2</v>
      </c>
      <c r="V1009" s="23">
        <f t="shared" si="188"/>
        <v>4.29944154622941E-2</v>
      </c>
      <c r="W1009" s="22">
        <f t="shared" si="191"/>
        <v>3.5141406270557951E-3</v>
      </c>
      <c r="X1009" s="23">
        <v>3.8894450827731797E-2</v>
      </c>
      <c r="Y1009" s="23">
        <f t="shared" si="192"/>
        <v>4.2994622923961723E-2</v>
      </c>
      <c r="Z1009" s="22">
        <f t="shared" si="193"/>
        <v>3.5141573759345235E-3</v>
      </c>
      <c r="AA1009" s="33"/>
      <c r="AB1009" s="50">
        <f t="shared" si="189"/>
        <v>996</v>
      </c>
      <c r="AC1009" s="48">
        <f t="shared" si="184"/>
        <v>0.1193958898612842</v>
      </c>
      <c r="AE1009" s="48">
        <f t="shared" si="190"/>
        <v>0.99783034541489735</v>
      </c>
      <c r="AF1009" s="48">
        <f t="shared" si="194"/>
        <v>0.11939588986128433</v>
      </c>
      <c r="AH1009" s="48">
        <f t="shared" si="195"/>
        <v>1.2490009027033011E-16</v>
      </c>
    </row>
    <row r="1010" spans="4:34" ht="13.9" customHeight="1">
      <c r="D1010" s="8"/>
      <c r="E1010" s="9"/>
      <c r="F1010" s="18"/>
      <c r="G1010" s="18"/>
      <c r="H1010" s="18"/>
      <c r="J1010" s="40"/>
      <c r="K1010" s="40"/>
      <c r="L1010" s="40"/>
      <c r="M1010" s="38"/>
      <c r="O1010" s="12">
        <f t="shared" si="185"/>
        <v>83.083333333333329</v>
      </c>
      <c r="P1010" s="13">
        <v>997</v>
      </c>
      <c r="Q1010" s="21">
        <v>2.5937276132451226E-2</v>
      </c>
      <c r="R1010" s="18">
        <f t="shared" si="186"/>
        <v>2.6407825978607136E-2</v>
      </c>
      <c r="S1010" s="21">
        <v>3.773344043964455E-2</v>
      </c>
      <c r="T1010" s="18">
        <f t="shared" si="187"/>
        <v>4.2995327859953969E-2</v>
      </c>
      <c r="U1010" s="23">
        <v>3.9190468647869459E-2</v>
      </c>
      <c r="V1010" s="23">
        <f t="shared" si="188"/>
        <v>4.2994473420409518E-2</v>
      </c>
      <c r="W1010" s="22">
        <f t="shared" si="191"/>
        <v>3.5141453228466624E-3</v>
      </c>
      <c r="X1010" s="23">
        <v>3.8898555251397848E-2</v>
      </c>
      <c r="Y1010" s="23">
        <f t="shared" si="192"/>
        <v>4.2994679457915463E-2</v>
      </c>
      <c r="Z1010" s="22">
        <f t="shared" si="193"/>
        <v>3.5141619569003524E-3</v>
      </c>
      <c r="AA1010" s="33"/>
      <c r="AB1010" s="50">
        <f t="shared" si="189"/>
        <v>997</v>
      </c>
      <c r="AC1010" s="48">
        <f t="shared" si="184"/>
        <v>0.11913683694379683</v>
      </c>
      <c r="AE1010" s="48">
        <f t="shared" si="190"/>
        <v>0.99783030288741137</v>
      </c>
      <c r="AF1010" s="48">
        <f t="shared" si="194"/>
        <v>0.11913683694379734</v>
      </c>
      <c r="AH1010" s="48">
        <f t="shared" si="195"/>
        <v>5.134781488891349E-16</v>
      </c>
    </row>
    <row r="1011" spans="4:34" ht="13.9" customHeight="1">
      <c r="D1011" s="8"/>
      <c r="E1011" s="9"/>
      <c r="F1011" s="18"/>
      <c r="G1011" s="18"/>
      <c r="H1011" s="18"/>
      <c r="J1011" s="40"/>
      <c r="K1011" s="40"/>
      <c r="L1011" s="40"/>
      <c r="M1011" s="38"/>
      <c r="O1011" s="12">
        <f t="shared" si="185"/>
        <v>83.166666666666671</v>
      </c>
      <c r="P1011" s="13">
        <v>998</v>
      </c>
      <c r="Q1011" s="21">
        <v>2.5937747517298382E-2</v>
      </c>
      <c r="R1011" s="18">
        <f t="shared" si="186"/>
        <v>2.640834223686106E-2</v>
      </c>
      <c r="S1011" s="21">
        <v>3.7738699563183875E-2</v>
      </c>
      <c r="T1011" s="18">
        <f t="shared" si="187"/>
        <v>4.2995379146712809E-2</v>
      </c>
      <c r="U1011" s="23">
        <v>3.9194273323520656E-2</v>
      </c>
      <c r="V1011" s="23">
        <f t="shared" si="188"/>
        <v>4.2994530777012763E-2</v>
      </c>
      <c r="W1011" s="22">
        <f t="shared" si="191"/>
        <v>3.5141499698665424E-3</v>
      </c>
      <c r="X1011" s="23">
        <v>3.8902651522357834E-2</v>
      </c>
      <c r="Y1011" s="23">
        <f t="shared" si="192"/>
        <v>4.2994735397376971E-2</v>
      </c>
      <c r="Z1011" s="22">
        <f t="shared" si="193"/>
        <v>3.5141664897313518E-3</v>
      </c>
      <c r="AA1011" s="33"/>
      <c r="AB1011" s="50">
        <f t="shared" si="189"/>
        <v>998</v>
      </c>
      <c r="AC1011" s="48">
        <f t="shared" si="184"/>
        <v>0.11887834106818591</v>
      </c>
      <c r="AE1011" s="48">
        <f t="shared" si="190"/>
        <v>0.99783026071328884</v>
      </c>
      <c r="AF1011" s="48">
        <f t="shared" si="194"/>
        <v>0.11887834106818589</v>
      </c>
      <c r="AH1011" s="48">
        <f t="shared" si="195"/>
        <v>0</v>
      </c>
    </row>
    <row r="1012" spans="4:34" ht="13.9" customHeight="1">
      <c r="D1012" s="8"/>
      <c r="E1012" s="9"/>
      <c r="F1012" s="18"/>
      <c r="G1012" s="18"/>
      <c r="H1012" s="18"/>
      <c r="J1012" s="40"/>
      <c r="K1012" s="40"/>
      <c r="L1012" s="40"/>
      <c r="M1012" s="38"/>
      <c r="O1012" s="12">
        <f t="shared" si="185"/>
        <v>83.25</v>
      </c>
      <c r="P1012" s="13">
        <v>999</v>
      </c>
      <c r="Q1012" s="21">
        <v>2.5938218475186625E-2</v>
      </c>
      <c r="R1012" s="18">
        <f t="shared" si="186"/>
        <v>2.6408854206363852E-2</v>
      </c>
      <c r="S1012" s="21">
        <v>3.7743948235599678E-2</v>
      </c>
      <c r="T1012" s="18">
        <f t="shared" si="187"/>
        <v>4.2995429870775315E-2</v>
      </c>
      <c r="U1012" s="23">
        <v>3.9198070453296596E-2</v>
      </c>
      <c r="V1012" s="23">
        <f t="shared" si="188"/>
        <v>4.2994587538804252E-2</v>
      </c>
      <c r="W1012" s="22">
        <f t="shared" si="191"/>
        <v>3.514154568657224E-3</v>
      </c>
      <c r="X1012" s="23">
        <v>3.8906739664453793E-2</v>
      </c>
      <c r="Y1012" s="23">
        <f t="shared" si="192"/>
        <v>4.2994790748618783E-2</v>
      </c>
      <c r="Z1012" s="22">
        <f t="shared" si="193"/>
        <v>3.51417097489648E-3</v>
      </c>
      <c r="AA1012" s="33"/>
      <c r="AB1012" s="50">
        <f t="shared" si="189"/>
        <v>999</v>
      </c>
      <c r="AC1012" s="48">
        <f t="shared" si="184"/>
        <v>0.11862040108929986</v>
      </c>
      <c r="AE1012" s="48">
        <f t="shared" si="190"/>
        <v>0.99783021888959755</v>
      </c>
      <c r="AF1012" s="48">
        <f t="shared" si="194"/>
        <v>0.11862040108930015</v>
      </c>
      <c r="AH1012" s="48">
        <f t="shared" si="195"/>
        <v>2.9143354396410359E-16</v>
      </c>
    </row>
    <row r="1013" spans="4:34" ht="13.9" customHeight="1">
      <c r="D1013" s="8"/>
      <c r="E1013" s="9"/>
      <c r="F1013" s="18"/>
      <c r="G1013" s="18"/>
      <c r="H1013" s="18"/>
      <c r="J1013" s="40"/>
      <c r="K1013" s="40"/>
      <c r="L1013" s="40"/>
      <c r="M1013" s="38"/>
      <c r="O1013" s="12">
        <f t="shared" si="185"/>
        <v>83.333333333333329</v>
      </c>
      <c r="P1013" s="13">
        <v>1000</v>
      </c>
      <c r="Q1013" s="21">
        <v>2.5938689003109694E-2</v>
      </c>
      <c r="R1013" s="18">
        <f t="shared" si="186"/>
        <v>2.6409361921963415E-2</v>
      </c>
      <c r="S1013" s="21">
        <v>3.7749186487606723E-2</v>
      </c>
      <c r="T1013" s="18">
        <f t="shared" si="187"/>
        <v>4.2995480037856915E-2</v>
      </c>
      <c r="U1013" s="23">
        <v>3.920186005920101E-2</v>
      </c>
      <c r="V1013" s="23">
        <f t="shared" si="188"/>
        <v>4.2994643711147029E-2</v>
      </c>
      <c r="W1013" s="22">
        <f t="shared" si="191"/>
        <v>3.5141591197564992E-3</v>
      </c>
      <c r="X1013" s="23">
        <v>3.8910819701438948E-2</v>
      </c>
      <c r="Y1013" s="23">
        <f t="shared" si="192"/>
        <v>4.2994845517693614E-2</v>
      </c>
      <c r="Z1013" s="22">
        <f t="shared" si="193"/>
        <v>3.514175412898668E-3</v>
      </c>
      <c r="AA1013" s="33"/>
      <c r="AB1013" s="50">
        <f t="shared" si="189"/>
        <v>1000</v>
      </c>
      <c r="AC1013" s="48">
        <f t="shared" si="184"/>
        <v>0.1183630158637818</v>
      </c>
      <c r="AE1013" s="48">
        <f t="shared" si="190"/>
        <v>0.99783017741337388</v>
      </c>
      <c r="AF1013" s="48">
        <f t="shared" si="194"/>
        <v>0.11836301586378194</v>
      </c>
      <c r="AH1013" s="48">
        <f t="shared" si="195"/>
        <v>1.3877787807814457E-16</v>
      </c>
    </row>
    <row r="1014" spans="4:34" ht="13.9" customHeight="1">
      <c r="D1014" s="8"/>
      <c r="E1014" s="9"/>
      <c r="F1014" s="18"/>
      <c r="G1014" s="18"/>
      <c r="H1014" s="18"/>
      <c r="J1014" s="40"/>
      <c r="K1014" s="40"/>
      <c r="L1014" s="40"/>
      <c r="M1014" s="38"/>
      <c r="O1014" s="12">
        <f t="shared" si="185"/>
        <v>83.416666666666671</v>
      </c>
      <c r="P1014" s="13">
        <v>1001</v>
      </c>
      <c r="Q1014" s="21">
        <v>2.59391590981084E-2</v>
      </c>
      <c r="R1014" s="18">
        <f t="shared" si="186"/>
        <v>2.6409865419930512E-2</v>
      </c>
      <c r="S1014" s="21">
        <v>3.7754414349802978E-2</v>
      </c>
      <c r="T1014" s="18">
        <f t="shared" si="187"/>
        <v>4.2995529654200615E-2</v>
      </c>
      <c r="U1014" s="23">
        <v>3.9205642163155696E-2</v>
      </c>
      <c r="V1014" s="23">
        <f t="shared" si="188"/>
        <v>4.2994699300592742E-2</v>
      </c>
      <c r="W1014" s="22">
        <f t="shared" si="191"/>
        <v>3.5141636235942464E-3</v>
      </c>
      <c r="X1014" s="23">
        <v>3.8914891656977701E-2</v>
      </c>
      <c r="Y1014" s="23">
        <f t="shared" si="192"/>
        <v>4.2994899711096712E-2</v>
      </c>
      <c r="Z1014" s="22">
        <f t="shared" si="193"/>
        <v>3.5141798042230832E-3</v>
      </c>
      <c r="AA1014" s="33"/>
      <c r="AB1014" s="50">
        <f t="shared" si="189"/>
        <v>1001</v>
      </c>
      <c r="AC1014" s="48">
        <f t="shared" si="184"/>
        <v>0.11810618425008124</v>
      </c>
      <c r="AE1014" s="48">
        <f t="shared" si="190"/>
        <v>0.99783013628179429</v>
      </c>
      <c r="AF1014" s="48">
        <f t="shared" si="194"/>
        <v>0.11810618425008171</v>
      </c>
      <c r="AH1014" s="48">
        <f t="shared" si="195"/>
        <v>4.7184478546569153E-16</v>
      </c>
    </row>
    <row r="1015" spans="4:34" ht="13.9" customHeight="1">
      <c r="D1015" s="8"/>
      <c r="E1015" s="9"/>
      <c r="F1015" s="18"/>
      <c r="G1015" s="18"/>
      <c r="H1015" s="18"/>
      <c r="J1015" s="40"/>
      <c r="K1015" s="40"/>
      <c r="L1015" s="40"/>
      <c r="M1015" s="38"/>
      <c r="O1015" s="12">
        <f t="shared" si="185"/>
        <v>83.5</v>
      </c>
      <c r="P1015" s="13">
        <v>1002</v>
      </c>
      <c r="Q1015" s="21">
        <v>2.5939628757271294E-2</v>
      </c>
      <c r="R1015" s="18">
        <f t="shared" si="186"/>
        <v>2.6410364734479108E-2</v>
      </c>
      <c r="S1015" s="21">
        <v>3.775963185267095E-2</v>
      </c>
      <c r="T1015" s="18">
        <f t="shared" si="187"/>
        <v>4.2995578725949501E-2</v>
      </c>
      <c r="U1015" s="23">
        <v>3.9209416787001405E-2</v>
      </c>
      <c r="V1015" s="23">
        <f t="shared" si="188"/>
        <v>4.2994754312998262E-2</v>
      </c>
      <c r="W1015" s="22">
        <f t="shared" si="191"/>
        <v>3.514168080695601E-3</v>
      </c>
      <c r="X1015" s="23">
        <v>3.891895555464675E-2</v>
      </c>
      <c r="Y1015" s="23">
        <f t="shared" si="192"/>
        <v>4.2994953334755115E-2</v>
      </c>
      <c r="Z1015" s="22">
        <f t="shared" si="193"/>
        <v>3.5141841493904202E-3</v>
      </c>
      <c r="AA1015" s="33"/>
      <c r="AB1015" s="50">
        <f t="shared" si="189"/>
        <v>1002</v>
      </c>
      <c r="AC1015" s="48">
        <f t="shared" si="184"/>
        <v>0.11784990510844537</v>
      </c>
      <c r="AE1015" s="48">
        <f t="shared" si="190"/>
        <v>0.99783009549191948</v>
      </c>
      <c r="AF1015" s="48">
        <f t="shared" si="194"/>
        <v>0.11784990510844527</v>
      </c>
      <c r="AH1015" s="48">
        <f t="shared" si="195"/>
        <v>0</v>
      </c>
    </row>
    <row r="1016" spans="4:34" ht="13.9" customHeight="1">
      <c r="D1016" s="8"/>
      <c r="E1016" s="9"/>
      <c r="F1016" s="18"/>
      <c r="G1016" s="18"/>
      <c r="H1016" s="18"/>
      <c r="J1016" s="40"/>
      <c r="K1016" s="40"/>
      <c r="L1016" s="40"/>
      <c r="M1016" s="38"/>
      <c r="O1016" s="12">
        <f t="shared" si="185"/>
        <v>83.583333333333329</v>
      </c>
      <c r="P1016" s="13">
        <v>1003</v>
      </c>
      <c r="Q1016" s="21">
        <v>2.594009797773289E-2</v>
      </c>
      <c r="R1016" s="18">
        <f t="shared" si="186"/>
        <v>2.6410859901067507E-2</v>
      </c>
      <c r="S1016" s="21">
        <v>3.7764839026577679E-2</v>
      </c>
      <c r="T1016" s="18">
        <f t="shared" si="187"/>
        <v>4.2995627258799463E-2</v>
      </c>
      <c r="U1016" s="23">
        <v>3.9213183952497621E-2</v>
      </c>
      <c r="V1016" s="23">
        <f t="shared" si="188"/>
        <v>4.2994808754230451E-2</v>
      </c>
      <c r="W1016" s="22">
        <f t="shared" si="191"/>
        <v>3.5141724915304096E-3</v>
      </c>
      <c r="X1016" s="23">
        <v>3.8923011417934417E-2</v>
      </c>
      <c r="Y1016" s="23">
        <f t="shared" si="192"/>
        <v>4.2995006394532576E-2</v>
      </c>
      <c r="Z1016" s="22">
        <f t="shared" si="193"/>
        <v>3.5141884488762987E-3</v>
      </c>
      <c r="AA1016" s="33"/>
      <c r="AB1016" s="50">
        <f t="shared" si="189"/>
        <v>1003</v>
      </c>
      <c r="AC1016" s="48">
        <f t="shared" si="184"/>
        <v>0.11759417730093438</v>
      </c>
      <c r="AE1016" s="48">
        <f t="shared" si="190"/>
        <v>0.99783005504097744</v>
      </c>
      <c r="AF1016" s="48">
        <f t="shared" si="194"/>
        <v>0.11759417730093391</v>
      </c>
      <c r="AH1016" s="48">
        <f t="shared" si="195"/>
        <v>-4.7184478546569153E-16</v>
      </c>
    </row>
    <row r="1017" spans="4:34" ht="13.9" customHeight="1">
      <c r="D1017" s="8"/>
      <c r="E1017" s="9"/>
      <c r="F1017" s="18"/>
      <c r="G1017" s="18"/>
      <c r="H1017" s="18"/>
      <c r="J1017" s="40"/>
      <c r="K1017" s="40"/>
      <c r="L1017" s="40"/>
      <c r="M1017" s="38"/>
      <c r="O1017" s="12">
        <f t="shared" si="185"/>
        <v>83.666666666666671</v>
      </c>
      <c r="P1017" s="13">
        <v>1004</v>
      </c>
      <c r="Q1017" s="21">
        <v>2.5940566756674333E-2</v>
      </c>
      <c r="R1017" s="18">
        <f t="shared" si="186"/>
        <v>2.641135095376157E-2</v>
      </c>
      <c r="S1017" s="21">
        <v>3.7770035901775412E-2</v>
      </c>
      <c r="T1017" s="18">
        <f t="shared" si="187"/>
        <v>4.2995675259255073E-2</v>
      </c>
      <c r="U1017" s="23">
        <v>3.9216943681323446E-2</v>
      </c>
      <c r="V1017" s="23">
        <f t="shared" si="188"/>
        <v>4.2994862630945097E-2</v>
      </c>
      <c r="W1017" s="22">
        <f t="shared" si="191"/>
        <v>3.5141768565689624E-3</v>
      </c>
      <c r="X1017" s="23">
        <v>3.8927059270241982E-2</v>
      </c>
      <c r="Y1017" s="23">
        <f t="shared" si="192"/>
        <v>4.2995058896486693E-2</v>
      </c>
      <c r="Z1017" s="22">
        <f t="shared" si="193"/>
        <v>3.5141927031505649E-3</v>
      </c>
      <c r="AA1017" s="33"/>
      <c r="AB1017" s="50">
        <f t="shared" si="189"/>
        <v>1004</v>
      </c>
      <c r="AC1017" s="48">
        <f t="shared" si="184"/>
        <v>0.11733899969141308</v>
      </c>
      <c r="AE1017" s="48">
        <f t="shared" si="190"/>
        <v>0.99783001492609469</v>
      </c>
      <c r="AF1017" s="48">
        <f t="shared" si="194"/>
        <v>0.1173389996914127</v>
      </c>
      <c r="AH1017" s="48">
        <f t="shared" si="195"/>
        <v>-3.7470027081099033E-16</v>
      </c>
    </row>
    <row r="1018" spans="4:34" ht="13.9" customHeight="1">
      <c r="D1018" s="8"/>
      <c r="E1018" s="9"/>
      <c r="F1018" s="18"/>
      <c r="G1018" s="18"/>
      <c r="H1018" s="18"/>
      <c r="J1018" s="40"/>
      <c r="K1018" s="40"/>
      <c r="L1018" s="40"/>
      <c r="M1018" s="38"/>
      <c r="O1018" s="12">
        <f t="shared" si="185"/>
        <v>83.75</v>
      </c>
      <c r="P1018" s="13">
        <v>1005</v>
      </c>
      <c r="Q1018" s="21">
        <v>2.594103509132184E-2</v>
      </c>
      <c r="R1018" s="18">
        <f t="shared" si="186"/>
        <v>2.6411837927125648E-2</v>
      </c>
      <c r="S1018" s="21">
        <v>3.7775222508402484E-2</v>
      </c>
      <c r="T1018" s="18">
        <f t="shared" si="187"/>
        <v>4.299572273262009E-2</v>
      </c>
      <c r="U1018" s="23">
        <v>3.9220695995078048E-2</v>
      </c>
      <c r="V1018" s="23">
        <f t="shared" si="188"/>
        <v>4.2994915948134427E-2</v>
      </c>
      <c r="W1018" s="22">
        <f t="shared" si="191"/>
        <v>3.5141811763448327E-3</v>
      </c>
      <c r="X1018" s="23">
        <v>3.8931099134883462E-2</v>
      </c>
      <c r="Y1018" s="23">
        <f t="shared" si="192"/>
        <v>4.2995110846435702E-2</v>
      </c>
      <c r="Z1018" s="22">
        <f t="shared" si="193"/>
        <v>3.5141969126988304E-3</v>
      </c>
      <c r="AA1018" s="33"/>
      <c r="AB1018" s="50">
        <f t="shared" si="189"/>
        <v>1005</v>
      </c>
      <c r="AC1018" s="48">
        <f t="shared" si="184"/>
        <v>0.11708437114556403</v>
      </c>
      <c r="AE1018" s="48">
        <f t="shared" si="190"/>
        <v>0.99782997514451155</v>
      </c>
      <c r="AF1018" s="48">
        <f t="shared" si="194"/>
        <v>0.11708437114556419</v>
      </c>
      <c r="AH1018" s="48">
        <f t="shared" si="195"/>
        <v>1.6653345369377348E-16</v>
      </c>
    </row>
    <row r="1019" spans="4:34" ht="13.9" customHeight="1">
      <c r="D1019" s="8"/>
      <c r="E1019" s="9"/>
      <c r="F1019" s="18"/>
      <c r="G1019" s="18"/>
      <c r="H1019" s="18"/>
      <c r="J1019" s="40"/>
      <c r="K1019" s="40"/>
      <c r="L1019" s="40"/>
      <c r="M1019" s="38"/>
      <c r="O1019" s="12">
        <f t="shared" si="185"/>
        <v>83.833333333333329</v>
      </c>
      <c r="P1019" s="13">
        <v>1006</v>
      </c>
      <c r="Q1019" s="21">
        <v>2.5941502978946929E-2</v>
      </c>
      <c r="R1019" s="18">
        <f t="shared" si="186"/>
        <v>2.6412320854674709E-2</v>
      </c>
      <c r="S1019" s="21">
        <v>3.7780398876483323E-2</v>
      </c>
      <c r="T1019" s="18">
        <f t="shared" si="187"/>
        <v>4.2995769684949225E-2</v>
      </c>
      <c r="U1019" s="23">
        <v>3.9224440915280212E-2</v>
      </c>
      <c r="V1019" s="23">
        <f t="shared" si="188"/>
        <v>4.2994968712138038E-2</v>
      </c>
      <c r="W1019" s="22">
        <f t="shared" si="191"/>
        <v>3.514185451258367E-3</v>
      </c>
      <c r="X1019" s="23">
        <v>3.8935131035086057E-2</v>
      </c>
      <c r="Y1019" s="23">
        <f t="shared" si="192"/>
        <v>4.2995162249799046E-2</v>
      </c>
      <c r="Z1019" s="22">
        <f t="shared" si="193"/>
        <v>3.514201077987833E-3</v>
      </c>
      <c r="AA1019" s="33"/>
      <c r="AB1019" s="50">
        <f t="shared" si="189"/>
        <v>1006</v>
      </c>
      <c r="AC1019" s="48">
        <f t="shared" si="184"/>
        <v>0.11683029053088317</v>
      </c>
      <c r="AE1019" s="48">
        <f t="shared" si="190"/>
        <v>0.99782993569342671</v>
      </c>
      <c r="AF1019" s="48">
        <f t="shared" si="194"/>
        <v>0.11683029053088362</v>
      </c>
      <c r="AH1019" s="48">
        <f t="shared" si="195"/>
        <v>4.4408920985006262E-16</v>
      </c>
    </row>
    <row r="1020" spans="4:34" ht="13.9" customHeight="1">
      <c r="D1020" s="8"/>
      <c r="E1020" s="9"/>
      <c r="F1020" s="18"/>
      <c r="G1020" s="18"/>
      <c r="H1020" s="18"/>
      <c r="J1020" s="40"/>
      <c r="K1020" s="40"/>
      <c r="L1020" s="40"/>
      <c r="M1020" s="38"/>
      <c r="O1020" s="12">
        <f t="shared" si="185"/>
        <v>83.916666666666671</v>
      </c>
      <c r="P1020" s="13">
        <v>1007</v>
      </c>
      <c r="Q1020" s="21">
        <v>2.5941970416865301E-2</v>
      </c>
      <c r="R1020" s="18">
        <f t="shared" si="186"/>
        <v>2.6412799770526796E-2</v>
      </c>
      <c r="S1020" s="21">
        <v>3.7785565035928892E-2</v>
      </c>
      <c r="T1020" s="18">
        <f t="shared" si="187"/>
        <v>4.2995816121450314E-2</v>
      </c>
      <c r="U1020" s="23">
        <v>3.9228178463369234E-2</v>
      </c>
      <c r="V1020" s="23">
        <f t="shared" si="188"/>
        <v>4.2995020928191963E-2</v>
      </c>
      <c r="W1020" s="22">
        <f t="shared" si="191"/>
        <v>3.5141896818178253E-3</v>
      </c>
      <c r="X1020" s="23">
        <v>3.8939154993990588E-2</v>
      </c>
      <c r="Y1020" s="23">
        <f t="shared" si="192"/>
        <v>4.2995213113362629E-2</v>
      </c>
      <c r="Z1020" s="22">
        <f t="shared" si="193"/>
        <v>3.5142051994518919E-3</v>
      </c>
      <c r="AA1020" s="33"/>
      <c r="AB1020" s="50">
        <f t="shared" si="189"/>
        <v>1007</v>
      </c>
      <c r="AC1020" s="48">
        <f t="shared" si="184"/>
        <v>0.1165767567166886</v>
      </c>
      <c r="AE1020" s="48">
        <f t="shared" si="190"/>
        <v>0.99782989657012489</v>
      </c>
      <c r="AF1020" s="48">
        <f t="shared" si="194"/>
        <v>0.11657675671668924</v>
      </c>
      <c r="AH1020" s="48">
        <f t="shared" si="195"/>
        <v>6.3837823915946501E-16</v>
      </c>
    </row>
    <row r="1021" spans="4:34" ht="13.9" customHeight="1">
      <c r="D1021" s="8"/>
      <c r="E1021" s="9"/>
      <c r="F1021" s="18"/>
      <c r="G1021" s="18"/>
      <c r="H1021" s="18"/>
      <c r="J1021" s="40"/>
      <c r="K1021" s="40"/>
      <c r="L1021" s="40"/>
      <c r="M1021" s="38"/>
      <c r="O1021" s="12">
        <f t="shared" si="185"/>
        <v>84</v>
      </c>
      <c r="P1021" s="13">
        <v>1008</v>
      </c>
      <c r="Q1021" s="21">
        <v>2.5942437402437069E-2</v>
      </c>
      <c r="R1021" s="18">
        <f t="shared" si="186"/>
        <v>2.6413274707632883E-2</v>
      </c>
      <c r="S1021" s="21">
        <v>3.7790721016537354E-2</v>
      </c>
      <c r="T1021" s="18">
        <f t="shared" si="187"/>
        <v>4.2995862048818223E-2</v>
      </c>
      <c r="U1021" s="23">
        <v>3.9231908660705139E-2</v>
      </c>
      <c r="V1021" s="23">
        <f t="shared" si="188"/>
        <v>4.2995072602842743E-2</v>
      </c>
      <c r="W1021" s="22">
        <f t="shared" si="191"/>
        <v>3.514193868443094E-3</v>
      </c>
      <c r="X1021" s="23">
        <v>3.8943171034652613E-2</v>
      </c>
      <c r="Y1021" s="23">
        <f t="shared" si="192"/>
        <v>4.299526344155935E-2</v>
      </c>
      <c r="Z1021" s="22">
        <f t="shared" si="193"/>
        <v>3.5142092776354605E-3</v>
      </c>
      <c r="AA1021" s="33"/>
      <c r="AB1021" s="50">
        <f t="shared" si="189"/>
        <v>1008</v>
      </c>
      <c r="AC1021" s="48">
        <f t="shared" si="184"/>
        <v>0.11632376857411642</v>
      </c>
      <c r="AE1021" s="48">
        <f t="shared" si="190"/>
        <v>0.9978298577718413</v>
      </c>
      <c r="AF1021" s="48">
        <f t="shared" si="194"/>
        <v>0.11632376857411657</v>
      </c>
      <c r="AH1021" s="48">
        <f t="shared" si="195"/>
        <v>1.5265566588595902E-16</v>
      </c>
    </row>
    <row r="1022" spans="4:34" ht="13.9" customHeight="1">
      <c r="D1022" s="8"/>
      <c r="E1022" s="9"/>
      <c r="F1022" s="18"/>
      <c r="G1022" s="18"/>
      <c r="H1022" s="18"/>
      <c r="J1022" s="40"/>
      <c r="K1022" s="40"/>
      <c r="L1022" s="40"/>
      <c r="M1022" s="38"/>
      <c r="O1022" s="12">
        <f t="shared" si="185"/>
        <v>84.083333333333329</v>
      </c>
      <c r="P1022" s="13">
        <v>1009</v>
      </c>
      <c r="Q1022" s="21">
        <v>2.5942903933065642E-2</v>
      </c>
      <c r="R1022" s="18">
        <f t="shared" si="186"/>
        <v>2.6413745699295221E-2</v>
      </c>
      <c r="S1022" s="21">
        <v>3.7795866847995185E-2</v>
      </c>
      <c r="T1022" s="18">
        <f t="shared" si="187"/>
        <v>4.2995907471326866E-2</v>
      </c>
      <c r="U1022" s="23">
        <v>3.9235631528569348E-2</v>
      </c>
      <c r="V1022" s="23">
        <f t="shared" si="188"/>
        <v>4.2995123740710239E-2</v>
      </c>
      <c r="W1022" s="22">
        <f t="shared" si="191"/>
        <v>3.5141980116590865E-3</v>
      </c>
      <c r="X1022" s="23">
        <v>3.894717918004087E-2</v>
      </c>
      <c r="Y1022" s="23">
        <f t="shared" si="192"/>
        <v>4.2995313241041222E-2</v>
      </c>
      <c r="Z1022" s="22">
        <f t="shared" si="193"/>
        <v>3.5142133128935882E-3</v>
      </c>
      <c r="AA1022" s="33"/>
      <c r="AB1022" s="50">
        <f t="shared" si="189"/>
        <v>1009</v>
      </c>
      <c r="AC1022" s="48">
        <f t="shared" si="184"/>
        <v>0.11607132497612947</v>
      </c>
      <c r="AE1022" s="48">
        <f t="shared" si="190"/>
        <v>0.9978298192959062</v>
      </c>
      <c r="AF1022" s="48">
        <f t="shared" si="194"/>
        <v>0.11607132497612954</v>
      </c>
      <c r="AH1022" s="48">
        <f t="shared" si="195"/>
        <v>0</v>
      </c>
    </row>
    <row r="1023" spans="4:34" ht="13.9" customHeight="1">
      <c r="D1023" s="8"/>
      <c r="E1023" s="9"/>
      <c r="F1023" s="18"/>
      <c r="G1023" s="18"/>
      <c r="H1023" s="18"/>
      <c r="J1023" s="40"/>
      <c r="K1023" s="40"/>
      <c r="L1023" s="40"/>
      <c r="M1023" s="38"/>
      <c r="O1023" s="12">
        <f t="shared" si="185"/>
        <v>84.166666666666671</v>
      </c>
      <c r="P1023" s="13">
        <v>1010</v>
      </c>
      <c r="Q1023" s="21">
        <v>2.5943370006197508E-2</v>
      </c>
      <c r="R1023" s="18">
        <f t="shared" si="186"/>
        <v>2.6414212778415491E-2</v>
      </c>
      <c r="S1023" s="21">
        <v>3.7801002559876284E-2</v>
      </c>
      <c r="T1023" s="18">
        <f t="shared" si="187"/>
        <v>4.2995952395808557E-2</v>
      </c>
      <c r="U1023" s="23">
        <v>3.9239347088164234E-2</v>
      </c>
      <c r="V1023" s="23">
        <f t="shared" si="188"/>
        <v>4.2995174348226417E-2</v>
      </c>
      <c r="W1023" s="22">
        <f t="shared" si="191"/>
        <v>3.5142021118363953E-3</v>
      </c>
      <c r="X1023" s="23">
        <v>3.8951179453039941E-2</v>
      </c>
      <c r="Y1023" s="23">
        <f t="shared" si="192"/>
        <v>4.2995362516520252E-2</v>
      </c>
      <c r="Z1023" s="22">
        <f t="shared" si="193"/>
        <v>3.514217305759848E-3</v>
      </c>
      <c r="AA1023" s="33"/>
      <c r="AB1023" s="50">
        <f t="shared" si="189"/>
        <v>1010</v>
      </c>
      <c r="AC1023" s="48">
        <f t="shared" si="184"/>
        <v>0.11581942479751695</v>
      </c>
      <c r="AE1023" s="48">
        <f t="shared" si="190"/>
        <v>0.99782978113962117</v>
      </c>
      <c r="AF1023" s="48">
        <f t="shared" si="194"/>
        <v>0.11581942479751718</v>
      </c>
      <c r="AH1023" s="48">
        <f t="shared" si="195"/>
        <v>2.3592239273284576E-16</v>
      </c>
    </row>
    <row r="1024" spans="4:34" ht="13.9" customHeight="1">
      <c r="D1024" s="8"/>
      <c r="E1024" s="9"/>
      <c r="F1024" s="18"/>
      <c r="G1024" s="18"/>
      <c r="H1024" s="18"/>
      <c r="J1024" s="40"/>
      <c r="K1024" s="40"/>
      <c r="L1024" s="40"/>
      <c r="M1024" s="38"/>
      <c r="O1024" s="12">
        <f t="shared" si="185"/>
        <v>84.25</v>
      </c>
      <c r="P1024" s="13">
        <v>1011</v>
      </c>
      <c r="Q1024" s="21">
        <v>2.5943835619321787E-2</v>
      </c>
      <c r="R1024" s="18">
        <f t="shared" si="186"/>
        <v>2.6414675977386226E-2</v>
      </c>
      <c r="S1024" s="21">
        <v>3.7806128181643972E-2</v>
      </c>
      <c r="T1024" s="18">
        <f t="shared" si="187"/>
        <v>4.2995996826877381E-2</v>
      </c>
      <c r="U1024" s="23">
        <v>3.9243055360614454E-2</v>
      </c>
      <c r="V1024" s="23">
        <f t="shared" si="188"/>
        <v>4.2995224430091294E-2</v>
      </c>
      <c r="W1024" s="22">
        <f t="shared" si="191"/>
        <v>3.5142061694903859E-3</v>
      </c>
      <c r="X1024" s="23">
        <v>3.8955171876448702E-2</v>
      </c>
      <c r="Y1024" s="23">
        <f t="shared" si="192"/>
        <v>4.2995411274065587E-2</v>
      </c>
      <c r="Z1024" s="22">
        <f t="shared" si="193"/>
        <v>3.514221256611938E-3</v>
      </c>
      <c r="AA1024" s="33"/>
      <c r="AB1024" s="50">
        <f t="shared" si="189"/>
        <v>1011</v>
      </c>
      <c r="AC1024" s="48">
        <f t="shared" si="184"/>
        <v>0.11556806691489697</v>
      </c>
      <c r="AE1024" s="48">
        <f t="shared" si="190"/>
        <v>0.99782974330032059</v>
      </c>
      <c r="AF1024" s="48">
        <f t="shared" si="194"/>
        <v>0.11556806691489735</v>
      </c>
      <c r="AH1024" s="48">
        <f t="shared" si="195"/>
        <v>3.7470027081099033E-16</v>
      </c>
    </row>
    <row r="1025" spans="4:34" ht="13.9" customHeight="1">
      <c r="D1025" s="8"/>
      <c r="E1025" s="9"/>
      <c r="F1025" s="18"/>
      <c r="G1025" s="18"/>
      <c r="H1025" s="18"/>
      <c r="J1025" s="40"/>
      <c r="K1025" s="40"/>
      <c r="L1025" s="40"/>
      <c r="M1025" s="38"/>
      <c r="O1025" s="12">
        <f t="shared" si="185"/>
        <v>84.333333333333329</v>
      </c>
      <c r="P1025" s="13">
        <v>1012</v>
      </c>
      <c r="Q1025" s="21">
        <v>2.5944300769969564E-2</v>
      </c>
      <c r="R1025" s="18">
        <f t="shared" si="186"/>
        <v>2.6415135328313966E-2</v>
      </c>
      <c r="S1025" s="21">
        <v>3.7811243742650547E-2</v>
      </c>
      <c r="T1025" s="18">
        <f t="shared" si="187"/>
        <v>4.2996040770111765E-2</v>
      </c>
      <c r="U1025" s="23">
        <v>3.9246756366966062E-2</v>
      </c>
      <c r="V1025" s="23">
        <f t="shared" si="188"/>
        <v>4.2995273992481708E-2</v>
      </c>
      <c r="W1025" s="22">
        <f t="shared" si="191"/>
        <v>3.51421018499809E-3</v>
      </c>
      <c r="X1025" s="23">
        <v>3.8959156472982093E-2</v>
      </c>
      <c r="Y1025" s="23">
        <f t="shared" si="192"/>
        <v>4.2995459519061141E-2</v>
      </c>
      <c r="Z1025" s="22">
        <f t="shared" si="193"/>
        <v>3.5142251659365797E-3</v>
      </c>
      <c r="AA1025" s="33"/>
      <c r="AB1025" s="50">
        <f t="shared" si="189"/>
        <v>1012</v>
      </c>
      <c r="AC1025" s="48">
        <f t="shared" si="184"/>
        <v>0.11531725020672086</v>
      </c>
      <c r="AE1025" s="48">
        <f t="shared" si="190"/>
        <v>0.99782970577537922</v>
      </c>
      <c r="AF1025" s="48">
        <f t="shared" si="194"/>
        <v>0.11531725020672136</v>
      </c>
      <c r="AH1025" s="48">
        <f t="shared" si="195"/>
        <v>4.9960036108132044E-16</v>
      </c>
    </row>
    <row r="1026" spans="4:34" ht="13.9" customHeight="1">
      <c r="D1026" s="8"/>
      <c r="E1026" s="9"/>
      <c r="F1026" s="18"/>
      <c r="G1026" s="18"/>
      <c r="H1026" s="18"/>
      <c r="J1026" s="40"/>
      <c r="K1026" s="40"/>
      <c r="L1026" s="40"/>
      <c r="M1026" s="38"/>
      <c r="O1026" s="12">
        <f t="shared" si="185"/>
        <v>84.416666666666671</v>
      </c>
      <c r="P1026" s="13">
        <v>1013</v>
      </c>
      <c r="Q1026" s="21">
        <v>2.5944765455713226E-2</v>
      </c>
      <c r="R1026" s="18">
        <f t="shared" si="186"/>
        <v>2.641559086333034E-2</v>
      </c>
      <c r="S1026" s="21">
        <v>3.7816349272137728E-2</v>
      </c>
      <c r="T1026" s="18">
        <f t="shared" si="187"/>
        <v>4.2996084231332832E-2</v>
      </c>
      <c r="U1026" s="23">
        <v>3.9250450128188064E-2</v>
      </c>
      <c r="V1026" s="23">
        <f t="shared" si="188"/>
        <v>4.2995323040318167E-2</v>
      </c>
      <c r="W1026" s="22">
        <f t="shared" si="191"/>
        <v>3.5142141588546671E-3</v>
      </c>
      <c r="X1026" s="23">
        <v>3.8963133265270455E-2</v>
      </c>
      <c r="Y1026" s="23">
        <f t="shared" si="192"/>
        <v>4.2995507256700982E-2</v>
      </c>
      <c r="Z1026" s="22">
        <f t="shared" si="193"/>
        <v>3.5142290341654281E-3</v>
      </c>
      <c r="AA1026" s="33"/>
      <c r="AB1026" s="50">
        <f t="shared" si="189"/>
        <v>1013</v>
      </c>
      <c r="AC1026" s="48">
        <f t="shared" si="184"/>
        <v>0.1150669735532768</v>
      </c>
      <c r="AE1026" s="48">
        <f t="shared" si="190"/>
        <v>0.99782966856219601</v>
      </c>
      <c r="AF1026" s="48">
        <f t="shared" si="194"/>
        <v>0.11506697355327661</v>
      </c>
      <c r="AH1026" s="48">
        <f t="shared" si="195"/>
        <v>-1.9428902930940239E-16</v>
      </c>
    </row>
    <row r="1027" spans="4:34" ht="13.9" customHeight="1">
      <c r="D1027" s="8"/>
      <c r="E1027" s="9"/>
      <c r="F1027" s="18"/>
      <c r="G1027" s="18"/>
      <c r="H1027" s="18"/>
      <c r="J1027" s="40"/>
      <c r="K1027" s="40"/>
      <c r="L1027" s="40"/>
      <c r="M1027" s="38"/>
      <c r="O1027" s="12">
        <f t="shared" si="185"/>
        <v>84.5</v>
      </c>
      <c r="P1027" s="13">
        <v>1014</v>
      </c>
      <c r="Q1027" s="21">
        <v>2.5945229674166681E-2</v>
      </c>
      <c r="R1027" s="18">
        <f t="shared" si="186"/>
        <v>2.6416042614243462E-2</v>
      </c>
      <c r="S1027" s="21">
        <v>3.7821444799237991E-2</v>
      </c>
      <c r="T1027" s="18">
        <f t="shared" si="187"/>
        <v>4.2996127214996571E-2</v>
      </c>
      <c r="U1027" s="23">
        <v>3.9254136665171968E-2</v>
      </c>
      <c r="V1027" s="23">
        <f t="shared" si="188"/>
        <v>4.2995371579270358E-2</v>
      </c>
      <c r="W1027" s="22">
        <f t="shared" si="191"/>
        <v>3.5142180914546906E-3</v>
      </c>
      <c r="X1027" s="23">
        <v>3.8967102275860643E-2</v>
      </c>
      <c r="Y1027" s="23">
        <f t="shared" si="192"/>
        <v>4.2995554492489374E-2</v>
      </c>
      <c r="Z1027" s="22">
        <f t="shared" si="193"/>
        <v>3.5142328617148166E-3</v>
      </c>
      <c r="AA1027" s="33"/>
      <c r="AB1027" s="50">
        <f t="shared" si="189"/>
        <v>1014</v>
      </c>
      <c r="AC1027" s="48">
        <f t="shared" si="184"/>
        <v>0.11481723583668645</v>
      </c>
      <c r="AE1027" s="48">
        <f t="shared" si="190"/>
        <v>0.99782963165816707</v>
      </c>
      <c r="AF1027" s="48">
        <f t="shared" si="194"/>
        <v>0.11481723583668604</v>
      </c>
      <c r="AH1027" s="48">
        <f t="shared" si="195"/>
        <v>-4.0245584642661925E-16</v>
      </c>
    </row>
    <row r="1028" spans="4:34" ht="13.9" customHeight="1">
      <c r="D1028" s="8"/>
      <c r="E1028" s="9"/>
      <c r="F1028" s="18"/>
      <c r="G1028" s="18"/>
      <c r="H1028" s="18"/>
      <c r="J1028" s="40"/>
      <c r="K1028" s="40"/>
      <c r="L1028" s="40"/>
      <c r="M1028" s="38"/>
      <c r="O1028" s="12">
        <f t="shared" si="185"/>
        <v>84.583333333333329</v>
      </c>
      <c r="P1028" s="13">
        <v>1015</v>
      </c>
      <c r="Q1028" s="21">
        <v>2.5945693422984473E-2</v>
      </c>
      <c r="R1028" s="18">
        <f t="shared" si="186"/>
        <v>2.6416490612733101E-2</v>
      </c>
      <c r="S1028" s="21">
        <v>3.7826530352973675E-2</v>
      </c>
      <c r="T1028" s="18">
        <f t="shared" si="187"/>
        <v>4.2996169727106848E-2</v>
      </c>
      <c r="U1028" s="23">
        <v>3.9257815998732459E-2</v>
      </c>
      <c r="V1028" s="23">
        <f t="shared" si="188"/>
        <v>4.2995419614046959E-2</v>
      </c>
      <c r="W1028" s="22">
        <f t="shared" si="191"/>
        <v>3.5142219832529076E-3</v>
      </c>
      <c r="X1028" s="23">
        <v>3.8971063527216021E-2</v>
      </c>
      <c r="Y1028" s="23">
        <f t="shared" si="192"/>
        <v>4.2995601231694103E-2</v>
      </c>
      <c r="Z1028" s="22">
        <f t="shared" si="193"/>
        <v>3.5142366490261701E-3</v>
      </c>
      <c r="AA1028" s="33"/>
      <c r="AB1028" s="50">
        <f t="shared" si="189"/>
        <v>1015</v>
      </c>
      <c r="AC1028" s="48">
        <f t="shared" si="184"/>
        <v>0.1145680359409104</v>
      </c>
      <c r="AE1028" s="48">
        <f t="shared" si="190"/>
        <v>0.99782959506071545</v>
      </c>
      <c r="AF1028" s="48">
        <f t="shared" si="194"/>
        <v>0.1145680359409111</v>
      </c>
      <c r="AH1028" s="48">
        <f t="shared" si="195"/>
        <v>6.9388939039072284E-16</v>
      </c>
    </row>
    <row r="1029" spans="4:34" ht="13.9" customHeight="1">
      <c r="D1029" s="8"/>
      <c r="E1029" s="9"/>
      <c r="F1029" s="18"/>
      <c r="G1029" s="18"/>
      <c r="H1029" s="18"/>
      <c r="J1029" s="40"/>
      <c r="K1029" s="40"/>
      <c r="L1029" s="40"/>
      <c r="M1029" s="38"/>
      <c r="O1029" s="12">
        <f t="shared" si="185"/>
        <v>84.666666666666671</v>
      </c>
      <c r="P1029" s="13">
        <v>1016</v>
      </c>
      <c r="Q1029" s="21">
        <v>2.5946156699861112E-2</v>
      </c>
      <c r="R1029" s="18">
        <f t="shared" si="186"/>
        <v>2.6416934889509802E-2</v>
      </c>
      <c r="S1029" s="21">
        <v>3.7831605962258985E-2</v>
      </c>
      <c r="T1029" s="18">
        <f t="shared" si="187"/>
        <v>4.299621177234525E-2</v>
      </c>
      <c r="U1029" s="23">
        <v>3.9261488149607171E-2</v>
      </c>
      <c r="V1029" s="23">
        <f t="shared" si="188"/>
        <v>4.2995467151066169E-2</v>
      </c>
      <c r="W1029" s="22">
        <f t="shared" si="191"/>
        <v>3.5142258346267941E-3</v>
      </c>
      <c r="X1029" s="23">
        <v>3.8975017041716686E-2</v>
      </c>
      <c r="Y1029" s="23">
        <f t="shared" si="192"/>
        <v>4.2995647479274091E-2</v>
      </c>
      <c r="Z1029" s="22">
        <f t="shared" si="193"/>
        <v>3.5142403965218172E-3</v>
      </c>
      <c r="AA1029" s="33"/>
      <c r="AB1029" s="50">
        <f t="shared" si="189"/>
        <v>1016</v>
      </c>
      <c r="AC1029" s="48">
        <f t="shared" si="184"/>
        <v>0.11431937275175279</v>
      </c>
      <c r="AE1029" s="48">
        <f t="shared" si="190"/>
        <v>0.99782955876727397</v>
      </c>
      <c r="AF1029" s="48">
        <f t="shared" si="194"/>
        <v>0.11431937275175251</v>
      </c>
      <c r="AH1029" s="48">
        <f t="shared" si="195"/>
        <v>-2.7755575615628914E-16</v>
      </c>
    </row>
    <row r="1030" spans="4:34" ht="13.9" customHeight="1">
      <c r="D1030" s="8"/>
      <c r="E1030" s="9"/>
      <c r="F1030" s="18"/>
      <c r="G1030" s="18"/>
      <c r="H1030" s="18"/>
      <c r="J1030" s="40"/>
      <c r="K1030" s="40"/>
      <c r="L1030" s="40"/>
      <c r="M1030" s="38"/>
      <c r="O1030" s="12">
        <f t="shared" si="185"/>
        <v>84.75</v>
      </c>
      <c r="P1030" s="13">
        <v>1017</v>
      </c>
      <c r="Q1030" s="21">
        <v>2.5946619502531076E-2</v>
      </c>
      <c r="R1030" s="18">
        <f t="shared" si="186"/>
        <v>2.6417375475847882E-2</v>
      </c>
      <c r="S1030" s="21">
        <v>3.7836671655899545E-2</v>
      </c>
      <c r="T1030" s="18">
        <f t="shared" si="187"/>
        <v>4.2996253356504477E-2</v>
      </c>
      <c r="U1030" s="23">
        <v>3.9265153138458464E-2</v>
      </c>
      <c r="V1030" s="23">
        <f t="shared" si="188"/>
        <v>4.2995514193897577E-2</v>
      </c>
      <c r="W1030" s="22">
        <f t="shared" si="191"/>
        <v>3.5142296460908273E-3</v>
      </c>
      <c r="X1030" s="23">
        <v>3.8978962841659914E-2</v>
      </c>
      <c r="Y1030" s="23">
        <f t="shared" si="192"/>
        <v>4.2995693240841737E-2</v>
      </c>
      <c r="Z1030" s="22">
        <f t="shared" si="193"/>
        <v>3.5142441045994399E-3</v>
      </c>
      <c r="AA1030" s="33"/>
      <c r="AB1030" s="50">
        <f t="shared" si="189"/>
        <v>1017</v>
      </c>
      <c r="AC1030" s="48">
        <f t="shared" si="184"/>
        <v>0.11407124515685914</v>
      </c>
      <c r="AE1030" s="48">
        <f t="shared" si="190"/>
        <v>0.99782952277535453</v>
      </c>
      <c r="AF1030" s="48">
        <f t="shared" si="194"/>
        <v>0.11407124515685907</v>
      </c>
      <c r="AH1030" s="48">
        <f t="shared" si="195"/>
        <v>0</v>
      </c>
    </row>
    <row r="1031" spans="4:34" ht="13.9" customHeight="1">
      <c r="D1031" s="8"/>
      <c r="E1031" s="9"/>
      <c r="F1031" s="18"/>
      <c r="G1031" s="18"/>
      <c r="H1031" s="18"/>
      <c r="J1031" s="40"/>
      <c r="K1031" s="40"/>
      <c r="L1031" s="40"/>
      <c r="M1031" s="38"/>
      <c r="O1031" s="12">
        <f t="shared" si="185"/>
        <v>84.833333333333329</v>
      </c>
      <c r="P1031" s="13">
        <v>1018</v>
      </c>
      <c r="Q1031" s="21">
        <v>2.5947081828767926E-2</v>
      </c>
      <c r="R1031" s="18">
        <f t="shared" si="186"/>
        <v>2.6417812402153462E-2</v>
      </c>
      <c r="S1031" s="21">
        <v>3.7841727462593067E-2</v>
      </c>
      <c r="T1031" s="18">
        <f t="shared" si="187"/>
        <v>4.2996294483525155E-2</v>
      </c>
      <c r="U1031" s="23">
        <v>3.9268810985871427E-2</v>
      </c>
      <c r="V1031" s="23">
        <f t="shared" si="188"/>
        <v>4.2995560748769757E-2</v>
      </c>
      <c r="W1031" s="22">
        <f t="shared" si="191"/>
        <v>3.5142334179312229E-3</v>
      </c>
      <c r="X1031" s="23">
        <v>3.8982900949261046E-2</v>
      </c>
      <c r="Y1031" s="23">
        <f t="shared" si="192"/>
        <v>4.2995738521051763E-2</v>
      </c>
      <c r="Z1031" s="22">
        <f t="shared" si="193"/>
        <v>3.5142477737091227E-3</v>
      </c>
      <c r="AA1031" s="33"/>
      <c r="AB1031" s="50">
        <f t="shared" si="189"/>
        <v>1018</v>
      </c>
      <c r="AC1031" s="48">
        <f t="shared" si="184"/>
        <v>0.11382365204572205</v>
      </c>
      <c r="AE1031" s="48">
        <f t="shared" si="190"/>
        <v>0.99782948708242281</v>
      </c>
      <c r="AF1031" s="48">
        <f t="shared" si="194"/>
        <v>0.11382365204572199</v>
      </c>
      <c r="AH1031" s="48">
        <f t="shared" si="195"/>
        <v>0</v>
      </c>
    </row>
    <row r="1032" spans="4:34" ht="13.9" customHeight="1">
      <c r="D1032" s="8"/>
      <c r="E1032" s="9"/>
      <c r="F1032" s="18"/>
      <c r="G1032" s="18"/>
      <c r="H1032" s="18"/>
      <c r="J1032" s="40"/>
      <c r="K1032" s="40"/>
      <c r="L1032" s="40"/>
      <c r="M1032" s="38"/>
      <c r="O1032" s="12">
        <f t="shared" si="185"/>
        <v>84.916666666666671</v>
      </c>
      <c r="P1032" s="13">
        <v>1019</v>
      </c>
      <c r="Q1032" s="21">
        <v>2.5947543676384077E-2</v>
      </c>
      <c r="R1032" s="18">
        <f t="shared" si="186"/>
        <v>2.6418245699446841E-2</v>
      </c>
      <c r="S1032" s="21">
        <v>3.7846773410929568E-2</v>
      </c>
      <c r="T1032" s="18">
        <f t="shared" si="187"/>
        <v>4.2996335159431354E-2</v>
      </c>
      <c r="U1032" s="23">
        <v>3.9272461712356099E-2</v>
      </c>
      <c r="V1032" s="23">
        <f t="shared" si="188"/>
        <v>4.2995606820770194E-2</v>
      </c>
      <c r="W1032" s="22">
        <f t="shared" si="191"/>
        <v>3.5142371506475811E-3</v>
      </c>
      <c r="X1032" s="23">
        <v>3.898683138665282E-2</v>
      </c>
      <c r="Y1032" s="23">
        <f t="shared" si="192"/>
        <v>4.2995783325183945E-2</v>
      </c>
      <c r="Z1032" s="22">
        <f t="shared" si="193"/>
        <v>3.5142514042239004E-3</v>
      </c>
      <c r="AA1032" s="33"/>
      <c r="AB1032" s="50">
        <f t="shared" si="189"/>
        <v>1019</v>
      </c>
      <c r="AC1032" s="48">
        <f t="shared" si="184"/>
        <v>0.1135765923096818</v>
      </c>
      <c r="AE1032" s="48">
        <f t="shared" si="190"/>
        <v>0.99782945168601556</v>
      </c>
      <c r="AF1032" s="48">
        <f t="shared" si="194"/>
        <v>0.1135765923096826</v>
      </c>
      <c r="AH1032" s="48">
        <f t="shared" si="195"/>
        <v>8.0491169285323849E-16</v>
      </c>
    </row>
    <row r="1033" spans="4:34" ht="13.9" customHeight="1">
      <c r="D1033" s="8"/>
      <c r="E1033" s="9"/>
      <c r="F1033" s="18"/>
      <c r="G1033" s="18"/>
      <c r="H1033" s="18"/>
      <c r="J1033" s="40"/>
      <c r="K1033" s="40"/>
      <c r="L1033" s="40"/>
      <c r="M1033" s="38"/>
      <c r="O1033" s="12">
        <f t="shared" si="185"/>
        <v>85</v>
      </c>
      <c r="P1033" s="13">
        <v>1020</v>
      </c>
      <c r="Q1033" s="21">
        <v>2.5948005043230582E-2</v>
      </c>
      <c r="R1033" s="18">
        <f t="shared" si="186"/>
        <v>2.6418675397123836E-2</v>
      </c>
      <c r="S1033" s="21">
        <v>3.7851809529392266E-2</v>
      </c>
      <c r="T1033" s="18">
        <f t="shared" si="187"/>
        <v>4.2996375388713037E-2</v>
      </c>
      <c r="U1033" s="23">
        <v>3.9276105338347689E-2</v>
      </c>
      <c r="V1033" s="23">
        <f t="shared" si="188"/>
        <v>4.2995652414165919E-2</v>
      </c>
      <c r="W1033" s="22">
        <f t="shared" si="191"/>
        <v>3.5142408446475759E-3</v>
      </c>
      <c r="X1033" s="23">
        <v>3.899075417588671E-2</v>
      </c>
      <c r="Y1033" s="23">
        <f t="shared" si="192"/>
        <v>4.2995827658532493E-2</v>
      </c>
      <c r="Z1033" s="22">
        <f t="shared" si="193"/>
        <v>3.51425499656699E-3</v>
      </c>
      <c r="AA1033" s="33"/>
      <c r="AB1033" s="50">
        <f t="shared" si="189"/>
        <v>1020</v>
      </c>
      <c r="AC1033" s="48">
        <f t="shared" si="184"/>
        <v>0.11333006484192601</v>
      </c>
      <c r="AE1033" s="48">
        <f t="shared" si="190"/>
        <v>0.99782941658361879</v>
      </c>
      <c r="AF1033" s="48">
        <f t="shared" si="194"/>
        <v>0.11333006484192612</v>
      </c>
      <c r="AH1033" s="48">
        <f t="shared" si="195"/>
        <v>1.1102230246251565E-16</v>
      </c>
    </row>
    <row r="1034" spans="4:34" ht="13.9" customHeight="1">
      <c r="D1034" s="8"/>
      <c r="E1034" s="9"/>
      <c r="F1034" s="18"/>
      <c r="G1034" s="18"/>
      <c r="H1034" s="18"/>
      <c r="J1034" s="40"/>
      <c r="K1034" s="40"/>
      <c r="L1034" s="40"/>
      <c r="M1034" s="38"/>
      <c r="O1034" s="12">
        <f t="shared" si="185"/>
        <v>85.083333333333329</v>
      </c>
      <c r="P1034" s="13">
        <v>1021</v>
      </c>
      <c r="Q1034" s="21">
        <v>2.5948465927196018E-2</v>
      </c>
      <c r="R1034" s="18">
        <f t="shared" si="186"/>
        <v>2.6419101525569477E-2</v>
      </c>
      <c r="S1034" s="21">
        <v>3.7856835846358239E-2</v>
      </c>
      <c r="T1034" s="18">
        <f t="shared" si="187"/>
        <v>4.2996415176569158E-2</v>
      </c>
      <c r="U1034" s="23">
        <v>3.9279741884205244E-2</v>
      </c>
      <c r="V1034" s="23">
        <f t="shared" si="188"/>
        <v>4.2995697534774502E-2</v>
      </c>
      <c r="W1034" s="22">
        <f t="shared" si="191"/>
        <v>3.514244500273378E-3</v>
      </c>
      <c r="X1034" s="23">
        <v>3.8994669338932697E-2</v>
      </c>
      <c r="Y1034" s="23">
        <f t="shared" si="192"/>
        <v>4.2995871525356666E-2</v>
      </c>
      <c r="Z1034" s="22">
        <f t="shared" si="193"/>
        <v>3.514258551163163E-3</v>
      </c>
      <c r="AA1034" s="33"/>
      <c r="AB1034" s="50">
        <f t="shared" si="189"/>
        <v>1021</v>
      </c>
      <c r="AC1034" s="48">
        <f t="shared" si="184"/>
        <v>0.11308406853749622</v>
      </c>
      <c r="AE1034" s="48">
        <f t="shared" si="190"/>
        <v>0.99782938177285119</v>
      </c>
      <c r="AF1034" s="48">
        <f t="shared" si="194"/>
        <v>0.11308406853749628</v>
      </c>
      <c r="AH1034" s="48">
        <f t="shared" si="195"/>
        <v>0</v>
      </c>
    </row>
    <row r="1035" spans="4:34" ht="13.9" customHeight="1">
      <c r="D1035" s="8"/>
      <c r="E1035" s="9"/>
      <c r="F1035" s="18"/>
      <c r="G1035" s="18"/>
      <c r="H1035" s="18"/>
      <c r="J1035" s="40"/>
      <c r="K1035" s="40"/>
      <c r="L1035" s="40"/>
      <c r="M1035" s="38"/>
      <c r="O1035" s="12">
        <f t="shared" si="185"/>
        <v>85.166666666666671</v>
      </c>
      <c r="P1035" s="13">
        <v>1022</v>
      </c>
      <c r="Q1035" s="21">
        <v>2.5948926326206934E-2</v>
      </c>
      <c r="R1035" s="18">
        <f t="shared" si="186"/>
        <v>2.6419524114504433E-2</v>
      </c>
      <c r="S1035" s="21">
        <v>3.7861852390098205E-2</v>
      </c>
      <c r="T1035" s="18">
        <f t="shared" si="187"/>
        <v>4.2996454527495453E-2</v>
      </c>
      <c r="U1035" s="23">
        <v>3.9283371370214315E-2</v>
      </c>
      <c r="V1035" s="23">
        <f t="shared" si="188"/>
        <v>4.2995742186732633E-2</v>
      </c>
      <c r="W1035" s="22">
        <f t="shared" si="191"/>
        <v>3.5142481179917251E-3</v>
      </c>
      <c r="X1035" s="23">
        <v>3.8998576897679493E-2</v>
      </c>
      <c r="Y1035" s="23">
        <f t="shared" si="192"/>
        <v>4.2995914931232226E-2</v>
      </c>
      <c r="Z1035" s="22">
        <f t="shared" si="193"/>
        <v>3.5142620683539239E-3</v>
      </c>
      <c r="AA1035" s="33"/>
      <c r="AB1035" s="50">
        <f t="shared" si="189"/>
        <v>1022</v>
      </c>
      <c r="AC1035" s="48">
        <f t="shared" si="184"/>
        <v>0.11283860229328496</v>
      </c>
      <c r="AE1035" s="48">
        <f t="shared" si="190"/>
        <v>0.9978293472512505</v>
      </c>
      <c r="AF1035" s="48">
        <f t="shared" si="194"/>
        <v>0.11283860229328559</v>
      </c>
      <c r="AH1035" s="48">
        <f t="shared" si="195"/>
        <v>6.2450045135165055E-16</v>
      </c>
    </row>
    <row r="1036" spans="4:34" ht="13.9" customHeight="1">
      <c r="D1036" s="8"/>
      <c r="E1036" s="9"/>
      <c r="F1036" s="18"/>
      <c r="G1036" s="18"/>
      <c r="H1036" s="18"/>
      <c r="J1036" s="40"/>
      <c r="K1036" s="40"/>
      <c r="L1036" s="40"/>
      <c r="M1036" s="38"/>
      <c r="O1036" s="12">
        <f t="shared" si="185"/>
        <v>85.25</v>
      </c>
      <c r="P1036" s="13">
        <v>1023</v>
      </c>
      <c r="Q1036" s="21">
        <v>2.5949386238226735E-2</v>
      </c>
      <c r="R1036" s="18">
        <f t="shared" si="186"/>
        <v>2.6419943193233264E-2</v>
      </c>
      <c r="S1036" s="21">
        <v>3.7866859188777191E-2</v>
      </c>
      <c r="T1036" s="18">
        <f t="shared" si="187"/>
        <v>4.2996493446549433E-2</v>
      </c>
      <c r="U1036" s="23">
        <v>3.9286993816585181E-2</v>
      </c>
      <c r="V1036" s="23">
        <f t="shared" si="188"/>
        <v>4.299578637547441E-2</v>
      </c>
      <c r="W1036" s="22">
        <f t="shared" si="191"/>
        <v>3.5142516981339078E-3</v>
      </c>
      <c r="X1036" s="23">
        <v>3.9002476873935654E-2</v>
      </c>
      <c r="Y1036" s="23">
        <f t="shared" si="192"/>
        <v>4.2995957880704205E-2</v>
      </c>
      <c r="Z1036" s="22">
        <f t="shared" si="193"/>
        <v>3.5142655485862484E-3</v>
      </c>
      <c r="AA1036" s="33"/>
      <c r="AB1036" s="50">
        <f t="shared" si="189"/>
        <v>1023</v>
      </c>
      <c r="AC1036" s="48">
        <f t="shared" si="184"/>
        <v>0.11259366500804061</v>
      </c>
      <c r="AE1036" s="48">
        <f t="shared" si="190"/>
        <v>0.99782931301640876</v>
      </c>
      <c r="AF1036" s="48">
        <f t="shared" si="194"/>
        <v>0.11259366500804092</v>
      </c>
      <c r="AH1036" s="48">
        <f t="shared" si="195"/>
        <v>3.1918911957973251E-16</v>
      </c>
    </row>
    <row r="1037" spans="4:34" ht="13.9" customHeight="1">
      <c r="D1037" s="8"/>
      <c r="E1037" s="9"/>
      <c r="F1037" s="18"/>
      <c r="G1037" s="18"/>
      <c r="H1037" s="18"/>
      <c r="J1037" s="40"/>
      <c r="K1037" s="40"/>
      <c r="L1037" s="40"/>
      <c r="M1037" s="38"/>
      <c r="O1037" s="12">
        <f t="shared" si="185"/>
        <v>85.333333333333329</v>
      </c>
      <c r="P1037" s="13">
        <v>1024</v>
      </c>
      <c r="Q1037" s="21">
        <v>2.5949845661255688E-2</v>
      </c>
      <c r="R1037" s="18">
        <f t="shared" si="186"/>
        <v>2.6420358790861798E-2</v>
      </c>
      <c r="S1037" s="21">
        <v>3.7871856270455417E-2</v>
      </c>
      <c r="T1037" s="18">
        <f t="shared" si="187"/>
        <v>4.2996531938302773E-2</v>
      </c>
      <c r="U1037" s="23">
        <v>3.9290609243454178E-2</v>
      </c>
      <c r="V1037" s="23">
        <f t="shared" si="188"/>
        <v>4.29958301055402E-2</v>
      </c>
      <c r="W1037" s="22">
        <f t="shared" si="191"/>
        <v>3.5142552411357997E-3</v>
      </c>
      <c r="X1037" s="23">
        <v>3.9006369289429133E-2</v>
      </c>
      <c r="Y1037" s="23">
        <f t="shared" si="192"/>
        <v>4.2996000378534793E-2</v>
      </c>
      <c r="Z1037" s="22">
        <f t="shared" si="193"/>
        <v>3.5142689922245118E-3</v>
      </c>
      <c r="AA1037" s="33"/>
      <c r="AB1037" s="50">
        <f t="shared" si="189"/>
        <v>1024</v>
      </c>
      <c r="AC1037" s="48">
        <f t="shared" ref="AC1037:AC1100" si="196">1/(1+Q1037)^(P1037/12)</f>
        <v>0.1123492555823664</v>
      </c>
      <c r="AE1037" s="48">
        <f t="shared" si="190"/>
        <v>0.99782927906595131</v>
      </c>
      <c r="AF1037" s="48">
        <f t="shared" si="194"/>
        <v>0.11234925558236671</v>
      </c>
      <c r="AH1037" s="48">
        <f t="shared" si="195"/>
        <v>3.0531133177191805E-16</v>
      </c>
    </row>
    <row r="1038" spans="4:34" ht="13.9" customHeight="1">
      <c r="D1038" s="8"/>
      <c r="E1038" s="9"/>
      <c r="F1038" s="18"/>
      <c r="G1038" s="18"/>
      <c r="H1038" s="18"/>
      <c r="J1038" s="40"/>
      <c r="K1038" s="40"/>
      <c r="L1038" s="40"/>
      <c r="M1038" s="38"/>
      <c r="O1038" s="12">
        <f t="shared" ref="O1038:O1101" si="197">P1038/12</f>
        <v>85.416666666666671</v>
      </c>
      <c r="P1038" s="13">
        <v>1025</v>
      </c>
      <c r="Q1038" s="21">
        <v>2.5950304593330031E-2</v>
      </c>
      <c r="R1038" s="18">
        <f t="shared" ref="R1038:R1101" si="198">(1+Q1039)^P1039/(1+Q1038)^P1038-1</f>
        <v>2.6420770936176785E-2</v>
      </c>
      <c r="S1038" s="21">
        <v>3.7876843663088522E-2</v>
      </c>
      <c r="T1038" s="18">
        <f t="shared" ref="T1038:T1101" si="199">(1+S1039)^P1039/(1+S1038)^P1038-1</f>
        <v>4.2996570007524992E-2</v>
      </c>
      <c r="U1038" s="23">
        <v>3.9294217670884368E-2</v>
      </c>
      <c r="V1038" s="23">
        <f t="shared" ref="V1038:V1101" si="200">(1+U1039)^P1039/(1+U1038)^P1038-1</f>
        <v>4.2995873381656891E-2</v>
      </c>
      <c r="W1038" s="22">
        <f t="shared" si="191"/>
        <v>3.5142587473615539E-3</v>
      </c>
      <c r="X1038" s="23">
        <v>3.9010254165807945E-2</v>
      </c>
      <c r="Y1038" s="23">
        <f t="shared" si="192"/>
        <v>4.2996042429388925E-2</v>
      </c>
      <c r="Z1038" s="22">
        <f t="shared" si="193"/>
        <v>3.5142723996504088E-3</v>
      </c>
      <c r="AA1038" s="33"/>
      <c r="AB1038" s="50">
        <f t="shared" ref="AB1038:AB1101" si="201">+P1038</f>
        <v>1025</v>
      </c>
      <c r="AC1038" s="48">
        <f t="shared" si="196"/>
        <v>0.11210537291872627</v>
      </c>
      <c r="AE1038" s="48">
        <f t="shared" ref="AE1038:AE1101" si="202">1/(1+R1037)^(1/12)</f>
        <v>0.99782924539752016</v>
      </c>
      <c r="AF1038" s="48">
        <f t="shared" si="194"/>
        <v>0.1121053729187261</v>
      </c>
      <c r="AH1038" s="48">
        <f t="shared" si="195"/>
        <v>-1.6653345369377348E-16</v>
      </c>
    </row>
    <row r="1039" spans="4:34" ht="13.9" customHeight="1">
      <c r="D1039" s="8"/>
      <c r="E1039" s="9"/>
      <c r="F1039" s="18"/>
      <c r="G1039" s="18"/>
      <c r="H1039" s="18"/>
      <c r="J1039" s="40"/>
      <c r="K1039" s="40"/>
      <c r="L1039" s="40"/>
      <c r="M1039" s="38"/>
      <c r="O1039" s="12">
        <f t="shared" si="197"/>
        <v>85.5</v>
      </c>
      <c r="P1039" s="13">
        <v>1026</v>
      </c>
      <c r="Q1039" s="21">
        <v>2.5950763032521973E-2</v>
      </c>
      <c r="R1039" s="18">
        <f t="shared" si="198"/>
        <v>2.6421179658572491E-2</v>
      </c>
      <c r="S1039" s="21">
        <v>3.7881821394527559E-2</v>
      </c>
      <c r="T1039" s="18">
        <f t="shared" si="199"/>
        <v>4.2996607658839059E-2</v>
      </c>
      <c r="U1039" s="23">
        <v>3.9297819118864652E-2</v>
      </c>
      <c r="V1039" s="23">
        <f t="shared" si="200"/>
        <v>4.299591620890042E-2</v>
      </c>
      <c r="W1039" s="22">
        <f t="shared" ref="W1039:W1102" si="203">(1+V1038)^(1/12)-1</f>
        <v>3.5142622171899784E-3</v>
      </c>
      <c r="X1039" s="23">
        <v>3.9014131524640394E-2</v>
      </c>
      <c r="Y1039" s="23">
        <f t="shared" ref="Y1039:Y1102" si="204">(1+X1040)^P1040/(1+X1039)^P1039-1</f>
        <v>4.2996084038459559E-2</v>
      </c>
      <c r="Z1039" s="22">
        <f t="shared" ref="Z1039:Z1102" si="205">(1+Y1038)^(1/12)-1</f>
        <v>3.5142757712383066E-3</v>
      </c>
      <c r="AA1039" s="33"/>
      <c r="AB1039" s="50">
        <f t="shared" si="201"/>
        <v>1026</v>
      </c>
      <c r="AC1039" s="48">
        <f t="shared" si="196"/>
        <v>0.11186201592144281</v>
      </c>
      <c r="AE1039" s="48">
        <f t="shared" si="202"/>
        <v>0.99782921200878272</v>
      </c>
      <c r="AF1039" s="48">
        <f t="shared" ref="AF1039:AF1102" si="206">+AF1038*AE1039</f>
        <v>0.11186201592144319</v>
      </c>
      <c r="AH1039" s="48">
        <f t="shared" ref="AH1039:AH1102" si="207">+AF1039-AC1039</f>
        <v>3.8857805861880479E-16</v>
      </c>
    </row>
    <row r="1040" spans="4:34" ht="13.9" customHeight="1">
      <c r="D1040" s="8"/>
      <c r="E1040" s="9"/>
      <c r="F1040" s="18"/>
      <c r="G1040" s="18"/>
      <c r="H1040" s="18"/>
      <c r="J1040" s="40"/>
      <c r="K1040" s="40"/>
      <c r="L1040" s="40"/>
      <c r="M1040" s="38"/>
      <c r="O1040" s="12">
        <f t="shared" si="197"/>
        <v>85.583333333333329</v>
      </c>
      <c r="P1040" s="13">
        <v>1027</v>
      </c>
      <c r="Q1040" s="21">
        <v>2.5951220976939471E-2</v>
      </c>
      <c r="R1040" s="18">
        <f t="shared" si="198"/>
        <v>2.6421584986098035E-2</v>
      </c>
      <c r="S1040" s="21">
        <v>3.7886789492520112E-2</v>
      </c>
      <c r="T1040" s="18">
        <f t="shared" si="199"/>
        <v>4.2996644896901026E-2</v>
      </c>
      <c r="U1040" s="23">
        <v>3.9301413607311542E-2</v>
      </c>
      <c r="V1040" s="23">
        <f t="shared" si="200"/>
        <v>4.2995958591407923E-2</v>
      </c>
      <c r="W1040" s="22">
        <f t="shared" si="203"/>
        <v>3.5142656510280812E-3</v>
      </c>
      <c r="X1040" s="23">
        <v>3.9018001387415735E-2</v>
      </c>
      <c r="Y1040" s="23">
        <f t="shared" si="204"/>
        <v>4.2996125209998404E-2</v>
      </c>
      <c r="Z1040" s="22">
        <f t="shared" si="205"/>
        <v>3.5142791074043167E-3</v>
      </c>
      <c r="AA1040" s="33"/>
      <c r="AB1040" s="50">
        <f t="shared" si="201"/>
        <v>1027</v>
      </c>
      <c r="AC1040" s="48">
        <f t="shared" si="196"/>
        <v>0.11161918349669649</v>
      </c>
      <c r="AE1040" s="48">
        <f t="shared" si="202"/>
        <v>0.99782917889735723</v>
      </c>
      <c r="AF1040" s="48">
        <f t="shared" si="206"/>
        <v>0.11161918349669676</v>
      </c>
      <c r="AH1040" s="48">
        <f t="shared" si="207"/>
        <v>2.7755575615628914E-16</v>
      </c>
    </row>
    <row r="1041" spans="4:34" ht="13.9" customHeight="1">
      <c r="D1041" s="8"/>
      <c r="E1041" s="9"/>
      <c r="F1041" s="18"/>
      <c r="G1041" s="18"/>
      <c r="H1041" s="18"/>
      <c r="J1041" s="40"/>
      <c r="K1041" s="40"/>
      <c r="L1041" s="40"/>
      <c r="M1041" s="38"/>
      <c r="O1041" s="12">
        <f t="shared" si="197"/>
        <v>85.666666666666671</v>
      </c>
      <c r="P1041" s="13">
        <v>1028</v>
      </c>
      <c r="Q1041" s="21">
        <v>2.5951678424725344E-2</v>
      </c>
      <c r="R1041" s="18">
        <f t="shared" si="198"/>
        <v>2.6421986946219667E-2</v>
      </c>
      <c r="S1041" s="21">
        <v>3.7891747984710733E-2</v>
      </c>
      <c r="T1041" s="18">
        <f t="shared" si="199"/>
        <v>4.2996681726086061E-2</v>
      </c>
      <c r="U1041" s="23">
        <v>3.9305001156068053E-2</v>
      </c>
      <c r="V1041" s="23">
        <f t="shared" si="200"/>
        <v>4.2996000534123224E-2</v>
      </c>
      <c r="W1041" s="22">
        <f t="shared" si="203"/>
        <v>3.5142690492078188E-3</v>
      </c>
      <c r="X1041" s="23">
        <v>3.9021863775544174E-2</v>
      </c>
      <c r="Y1041" s="23">
        <f t="shared" si="204"/>
        <v>4.2996165948412157E-2</v>
      </c>
      <c r="Z1041" s="22">
        <f t="shared" si="205"/>
        <v>3.5142824084894997E-3</v>
      </c>
      <c r="AA1041" s="33"/>
      <c r="AB1041" s="50">
        <f t="shared" si="201"/>
        <v>1028</v>
      </c>
      <c r="AC1041" s="48">
        <f t="shared" si="196"/>
        <v>0.11137687455253197</v>
      </c>
      <c r="AE1041" s="48">
        <f t="shared" si="202"/>
        <v>0.99782914606097117</v>
      </c>
      <c r="AF1041" s="48">
        <f t="shared" si="206"/>
        <v>0.11137687455253178</v>
      </c>
      <c r="AH1041" s="48">
        <f t="shared" si="207"/>
        <v>-1.8041124150158794E-16</v>
      </c>
    </row>
    <row r="1042" spans="4:34" ht="13.9" customHeight="1">
      <c r="D1042" s="8"/>
      <c r="E1042" s="9"/>
      <c r="F1042" s="18"/>
      <c r="G1042" s="18"/>
      <c r="H1042" s="18"/>
      <c r="J1042" s="40"/>
      <c r="K1042" s="40"/>
      <c r="L1042" s="40"/>
      <c r="M1042" s="38"/>
      <c r="O1042" s="12">
        <f t="shared" si="197"/>
        <v>85.75</v>
      </c>
      <c r="P1042" s="13">
        <v>1029</v>
      </c>
      <c r="Q1042" s="21">
        <v>2.5952135374056384E-2</v>
      </c>
      <c r="R1042" s="18">
        <f t="shared" si="198"/>
        <v>2.6422385568246387E-2</v>
      </c>
      <c r="S1042" s="21">
        <v>3.7896696898640725E-2</v>
      </c>
      <c r="T1042" s="18">
        <f t="shared" si="199"/>
        <v>4.2996718151053326E-2</v>
      </c>
      <c r="U1042" s="23">
        <v>3.9308581784904817E-2</v>
      </c>
      <c r="V1042" s="23">
        <f t="shared" si="200"/>
        <v>4.2996042041668625E-2</v>
      </c>
      <c r="W1042" s="22">
        <f t="shared" si="203"/>
        <v>3.5142724121253188E-3</v>
      </c>
      <c r="X1042" s="23">
        <v>3.9025718710357093E-2</v>
      </c>
      <c r="Y1042" s="23">
        <f t="shared" si="204"/>
        <v>4.2996206258762104E-2</v>
      </c>
      <c r="Z1042" s="22">
        <f t="shared" si="205"/>
        <v>3.5142856748469065E-3</v>
      </c>
      <c r="AA1042" s="33"/>
      <c r="AB1042" s="50">
        <f t="shared" si="201"/>
        <v>1029</v>
      </c>
      <c r="AC1042" s="48">
        <f t="shared" si="196"/>
        <v>0.11113508799886375</v>
      </c>
      <c r="AE1042" s="48">
        <f t="shared" si="202"/>
        <v>0.99782911349739889</v>
      </c>
      <c r="AF1042" s="48">
        <f t="shared" si="206"/>
        <v>0.11113508799886379</v>
      </c>
      <c r="AH1042" s="48">
        <f t="shared" si="207"/>
        <v>0</v>
      </c>
    </row>
    <row r="1043" spans="4:34" ht="13.9" customHeight="1">
      <c r="D1043" s="8"/>
      <c r="E1043" s="9"/>
      <c r="F1043" s="18"/>
      <c r="G1043" s="18"/>
      <c r="H1043" s="18"/>
      <c r="J1043" s="40"/>
      <c r="K1043" s="40"/>
      <c r="L1043" s="40"/>
      <c r="M1043" s="38"/>
      <c r="O1043" s="12">
        <f t="shared" si="197"/>
        <v>85.833333333333329</v>
      </c>
      <c r="P1043" s="13">
        <v>1030</v>
      </c>
      <c r="Q1043" s="21">
        <v>2.5952591823144688E-2</v>
      </c>
      <c r="R1043" s="18">
        <f t="shared" si="198"/>
        <v>2.6422780879046037E-2</v>
      </c>
      <c r="S1043" s="21">
        <v>3.790163626174925E-2</v>
      </c>
      <c r="T1043" s="18">
        <f t="shared" si="199"/>
        <v>4.2996754176284124E-2</v>
      </c>
      <c r="U1043" s="23">
        <v>3.9312155513520741E-2</v>
      </c>
      <c r="V1043" s="23">
        <f t="shared" si="200"/>
        <v>4.2996083118102657E-2</v>
      </c>
      <c r="W1043" s="22">
        <f t="shared" si="203"/>
        <v>3.5142757401513958E-3</v>
      </c>
      <c r="X1043" s="23">
        <v>3.9029566213107714E-2</v>
      </c>
      <c r="Y1043" s="23">
        <f t="shared" si="204"/>
        <v>4.2996246145152073E-2</v>
      </c>
      <c r="Z1043" s="22">
        <f t="shared" si="205"/>
        <v>3.5142889068828786E-3</v>
      </c>
      <c r="AA1043" s="33"/>
      <c r="AB1043" s="50">
        <f t="shared" si="201"/>
        <v>1030</v>
      </c>
      <c r="AC1043" s="48">
        <f t="shared" si="196"/>
        <v>0.11089382274746147</v>
      </c>
      <c r="AE1043" s="48">
        <f t="shared" si="202"/>
        <v>0.99782908120426606</v>
      </c>
      <c r="AF1043" s="48">
        <f t="shared" si="206"/>
        <v>0.11089382274746151</v>
      </c>
      <c r="AH1043" s="48">
        <f t="shared" si="207"/>
        <v>0</v>
      </c>
    </row>
    <row r="1044" spans="4:34" ht="13.9" customHeight="1">
      <c r="D1044" s="8"/>
      <c r="E1044" s="9"/>
      <c r="F1044" s="18"/>
      <c r="G1044" s="18"/>
      <c r="H1044" s="18"/>
      <c r="J1044" s="40"/>
      <c r="K1044" s="40"/>
      <c r="L1044" s="40"/>
      <c r="M1044" s="38"/>
      <c r="O1044" s="12">
        <f t="shared" si="197"/>
        <v>85.916666666666671</v>
      </c>
      <c r="P1044" s="13">
        <v>1031</v>
      </c>
      <c r="Q1044" s="21">
        <v>2.5953047770235438E-2</v>
      </c>
      <c r="R1044" s="18">
        <f t="shared" si="198"/>
        <v>2.6423172906873571E-2</v>
      </c>
      <c r="S1044" s="21">
        <v>3.7906566101373773E-2</v>
      </c>
      <c r="T1044" s="18">
        <f t="shared" si="199"/>
        <v>4.2996789805726632E-2</v>
      </c>
      <c r="U1044" s="23">
        <v>3.9315722361541905E-2</v>
      </c>
      <c r="V1044" s="23">
        <f t="shared" si="200"/>
        <v>4.2996123768483718E-2</v>
      </c>
      <c r="W1044" s="22">
        <f t="shared" si="203"/>
        <v>3.5142790336111229E-3</v>
      </c>
      <c r="X1044" s="23">
        <v>3.9033406304971541E-2</v>
      </c>
      <c r="Y1044" s="23">
        <f t="shared" si="204"/>
        <v>4.2996285612024288E-2</v>
      </c>
      <c r="Z1044" s="22">
        <f t="shared" si="205"/>
        <v>3.5142921049258202E-3</v>
      </c>
      <c r="AA1044" s="33"/>
      <c r="AB1044" s="50">
        <f t="shared" si="201"/>
        <v>1031</v>
      </c>
      <c r="AC1044" s="48">
        <f t="shared" si="196"/>
        <v>0.11065307771196811</v>
      </c>
      <c r="AE1044" s="48">
        <f t="shared" si="202"/>
        <v>0.9978290491793953</v>
      </c>
      <c r="AF1044" s="48">
        <f t="shared" si="206"/>
        <v>0.11065307771196792</v>
      </c>
      <c r="AH1044" s="48">
        <f t="shared" si="207"/>
        <v>-1.9428902930940239E-16</v>
      </c>
    </row>
    <row r="1045" spans="4:34" ht="13.9" customHeight="1">
      <c r="D1045" s="8"/>
      <c r="E1045" s="9"/>
      <c r="F1045" s="18"/>
      <c r="G1045" s="18"/>
      <c r="H1045" s="18"/>
      <c r="J1045" s="40"/>
      <c r="K1045" s="40"/>
      <c r="L1045" s="40"/>
      <c r="M1045" s="38"/>
      <c r="O1045" s="12">
        <f t="shared" si="197"/>
        <v>86</v>
      </c>
      <c r="P1045" s="13">
        <v>1032</v>
      </c>
      <c r="Q1045" s="21">
        <v>2.5953503213608009E-2</v>
      </c>
      <c r="R1045" s="18">
        <f t="shared" si="198"/>
        <v>2.642356167810167E-2</v>
      </c>
      <c r="S1045" s="21">
        <v>3.791148644474962E-2</v>
      </c>
      <c r="T1045" s="18">
        <f t="shared" si="199"/>
        <v>4.2996825044513853E-2</v>
      </c>
      <c r="U1045" s="23">
        <v>3.9319282348523554E-2</v>
      </c>
      <c r="V1045" s="23">
        <f t="shared" si="200"/>
        <v>4.2996163996994241E-2</v>
      </c>
      <c r="W1045" s="22">
        <f t="shared" si="203"/>
        <v>3.5142822929103978E-3</v>
      </c>
      <c r="X1045" s="23">
        <v>3.9037239007045921E-2</v>
      </c>
      <c r="Y1045" s="23">
        <f t="shared" si="204"/>
        <v>4.2996324664221763E-2</v>
      </c>
      <c r="Z1045" s="22">
        <f t="shared" si="205"/>
        <v>3.5142952693323348E-3</v>
      </c>
      <c r="AA1045" s="33"/>
      <c r="AB1045" s="50">
        <f t="shared" si="201"/>
        <v>1032</v>
      </c>
      <c r="AC1045" s="48">
        <f t="shared" si="196"/>
        <v>0.11041285180788681</v>
      </c>
      <c r="AE1045" s="48">
        <f t="shared" si="202"/>
        <v>0.99782901742049757</v>
      </c>
      <c r="AF1045" s="48">
        <f t="shared" si="206"/>
        <v>0.1104128518078869</v>
      </c>
      <c r="AH1045" s="48">
        <f t="shared" si="207"/>
        <v>0</v>
      </c>
    </row>
    <row r="1046" spans="4:34" ht="13.9" customHeight="1">
      <c r="D1046" s="8"/>
      <c r="E1046" s="9"/>
      <c r="F1046" s="18"/>
      <c r="G1046" s="18"/>
      <c r="H1046" s="18"/>
      <c r="J1046" s="40"/>
      <c r="K1046" s="40"/>
      <c r="L1046" s="40"/>
      <c r="M1046" s="38"/>
      <c r="O1046" s="12">
        <f t="shared" si="197"/>
        <v>86.083333333333329</v>
      </c>
      <c r="P1046" s="13">
        <v>1033</v>
      </c>
      <c r="Q1046" s="21">
        <v>2.5953958151573975E-2</v>
      </c>
      <c r="R1046" s="18">
        <f t="shared" si="198"/>
        <v>2.6423947220300059E-2</v>
      </c>
      <c r="S1046" s="21">
        <v>3.7916397319011974E-2</v>
      </c>
      <c r="T1046" s="18">
        <f t="shared" si="199"/>
        <v>4.2996859895939821E-2</v>
      </c>
      <c r="U1046" s="23">
        <v>3.9322835493949437E-2</v>
      </c>
      <c r="V1046" s="23">
        <f t="shared" si="200"/>
        <v>4.2996203807762257E-2</v>
      </c>
      <c r="W1046" s="22">
        <f t="shared" si="203"/>
        <v>3.5142855183845079E-3</v>
      </c>
      <c r="X1046" s="23">
        <v>3.9041064340351594E-2</v>
      </c>
      <c r="Y1046" s="23">
        <f t="shared" si="204"/>
        <v>4.2996363305789043E-2</v>
      </c>
      <c r="Z1046" s="22">
        <f t="shared" si="205"/>
        <v>3.5142984004907785E-3</v>
      </c>
      <c r="AA1046" s="33"/>
      <c r="AB1046" s="50">
        <f t="shared" si="201"/>
        <v>1033</v>
      </c>
      <c r="AC1046" s="48">
        <f t="shared" si="196"/>
        <v>0.11017314395259969</v>
      </c>
      <c r="AE1046" s="48">
        <f t="shared" si="202"/>
        <v>0.99782898592543601</v>
      </c>
      <c r="AF1046" s="48">
        <f t="shared" si="206"/>
        <v>0.11017314395259924</v>
      </c>
      <c r="AH1046" s="48">
        <f t="shared" si="207"/>
        <v>-4.5796699765787707E-16</v>
      </c>
    </row>
    <row r="1047" spans="4:34" ht="13.9" customHeight="1">
      <c r="D1047" s="8"/>
      <c r="E1047" s="9"/>
      <c r="F1047" s="18"/>
      <c r="G1047" s="18"/>
      <c r="H1047" s="18"/>
      <c r="J1047" s="40"/>
      <c r="K1047" s="40"/>
      <c r="L1047" s="40"/>
      <c r="M1047" s="38"/>
      <c r="O1047" s="12">
        <f t="shared" si="197"/>
        <v>86.166666666666671</v>
      </c>
      <c r="P1047" s="13">
        <v>1034</v>
      </c>
      <c r="Q1047" s="21">
        <v>2.5954412582477993E-2</v>
      </c>
      <c r="R1047" s="18">
        <f t="shared" si="198"/>
        <v>2.6424329560247095E-2</v>
      </c>
      <c r="S1047" s="21">
        <v>3.7921298751194543E-2</v>
      </c>
      <c r="T1047" s="18">
        <f t="shared" si="199"/>
        <v>4.2996894365344707E-2</v>
      </c>
      <c r="U1047" s="23">
        <v>3.9326381817231804E-2</v>
      </c>
      <c r="V1047" s="23">
        <f t="shared" si="200"/>
        <v>4.2996243205588369E-2</v>
      </c>
      <c r="W1047" s="22">
        <f t="shared" si="203"/>
        <v>3.5142887103645215E-3</v>
      </c>
      <c r="X1047" s="23">
        <v>3.9044882325831809E-2</v>
      </c>
      <c r="Y1047" s="23">
        <f t="shared" si="204"/>
        <v>4.2996401540750462E-2</v>
      </c>
      <c r="Z1047" s="22">
        <f t="shared" si="205"/>
        <v>3.5143014987251142E-3</v>
      </c>
      <c r="AA1047" s="33"/>
      <c r="AB1047" s="50">
        <f t="shared" si="201"/>
        <v>1034</v>
      </c>
      <c r="AC1047" s="48">
        <f t="shared" si="196"/>
        <v>0.10993395306535121</v>
      </c>
      <c r="AE1047" s="48">
        <f t="shared" si="202"/>
        <v>0.99782895469197685</v>
      </c>
      <c r="AF1047" s="48">
        <f t="shared" si="206"/>
        <v>0.10993395306535078</v>
      </c>
      <c r="AH1047" s="48">
        <f t="shared" si="207"/>
        <v>-4.3021142204224816E-16</v>
      </c>
    </row>
    <row r="1048" spans="4:34" ht="13.9" customHeight="1">
      <c r="D1048" s="8"/>
      <c r="E1048" s="9"/>
      <c r="F1048" s="18"/>
      <c r="G1048" s="18"/>
      <c r="H1048" s="18"/>
      <c r="J1048" s="40"/>
      <c r="K1048" s="40"/>
      <c r="L1048" s="40"/>
      <c r="M1048" s="38"/>
      <c r="O1048" s="12">
        <f t="shared" si="197"/>
        <v>86.25</v>
      </c>
      <c r="P1048" s="13">
        <v>1035</v>
      </c>
      <c r="Q1048" s="21">
        <v>2.5954866504697138E-2</v>
      </c>
      <c r="R1048" s="18">
        <f t="shared" si="198"/>
        <v>2.6424708724935408E-2</v>
      </c>
      <c r="S1048" s="21">
        <v>3.7926190768231782E-2</v>
      </c>
      <c r="T1048" s="18">
        <f t="shared" si="199"/>
        <v>4.2996928455909078E-2</v>
      </c>
      <c r="U1048" s="23">
        <v>3.9329921337712737E-2</v>
      </c>
      <c r="V1048" s="23">
        <f t="shared" si="200"/>
        <v>4.2996282194400104E-2</v>
      </c>
      <c r="W1048" s="22">
        <f t="shared" si="203"/>
        <v>3.5142918692352421E-3</v>
      </c>
      <c r="X1048" s="23">
        <v>3.9048692984353206E-2</v>
      </c>
      <c r="Y1048" s="23">
        <f t="shared" si="204"/>
        <v>4.2996439374000994E-2</v>
      </c>
      <c r="Z1048" s="22">
        <f t="shared" si="205"/>
        <v>3.5143045643581949E-3</v>
      </c>
      <c r="AA1048" s="33"/>
      <c r="AB1048" s="50">
        <f t="shared" si="201"/>
        <v>1035</v>
      </c>
      <c r="AC1048" s="48">
        <f t="shared" si="196"/>
        <v>0.10969527806725825</v>
      </c>
      <c r="AE1048" s="48">
        <f t="shared" si="202"/>
        <v>0.99782892371795007</v>
      </c>
      <c r="AF1048" s="48">
        <f t="shared" si="206"/>
        <v>0.10969527806725861</v>
      </c>
      <c r="AH1048" s="48">
        <f t="shared" si="207"/>
        <v>3.6082248300317588E-16</v>
      </c>
    </row>
    <row r="1049" spans="4:34" ht="13.9" customHeight="1">
      <c r="D1049" s="8"/>
      <c r="E1049" s="9"/>
      <c r="F1049" s="18"/>
      <c r="G1049" s="18"/>
      <c r="H1049" s="18"/>
      <c r="J1049" s="40"/>
      <c r="K1049" s="40"/>
      <c r="L1049" s="40"/>
      <c r="M1049" s="38"/>
      <c r="O1049" s="12">
        <f t="shared" si="197"/>
        <v>86.333333333333329</v>
      </c>
      <c r="P1049" s="13">
        <v>1036</v>
      </c>
      <c r="Q1049" s="21">
        <v>2.5955319916640462E-2</v>
      </c>
      <c r="R1049" s="18">
        <f t="shared" si="198"/>
        <v>2.6425084740269389E-2</v>
      </c>
      <c r="S1049" s="21">
        <v>3.793107339695756E-2</v>
      </c>
      <c r="T1049" s="18">
        <f t="shared" si="199"/>
        <v>4.2996962172610065E-2</v>
      </c>
      <c r="U1049" s="23">
        <v>3.933345407466371E-2</v>
      </c>
      <c r="V1049" s="23">
        <f t="shared" si="200"/>
        <v>4.2996320778613928E-2</v>
      </c>
      <c r="W1049" s="22">
        <f t="shared" si="203"/>
        <v>3.5142949953113067E-3</v>
      </c>
      <c r="X1049" s="23">
        <v>3.9052496336706488E-2</v>
      </c>
      <c r="Y1049" s="23">
        <f t="shared" si="204"/>
        <v>4.2996476809663786E-2</v>
      </c>
      <c r="Z1049" s="22">
        <f t="shared" si="205"/>
        <v>3.5143075977823734E-3</v>
      </c>
      <c r="AA1049" s="33"/>
      <c r="AB1049" s="50">
        <f t="shared" si="201"/>
        <v>1036</v>
      </c>
      <c r="AC1049" s="48">
        <f t="shared" si="196"/>
        <v>0.10945711788130813</v>
      </c>
      <c r="AE1049" s="48">
        <f t="shared" si="202"/>
        <v>0.99782889300116906</v>
      </c>
      <c r="AF1049" s="48">
        <f t="shared" si="206"/>
        <v>0.10945711788130807</v>
      </c>
      <c r="AH1049" s="48">
        <f t="shared" si="207"/>
        <v>0</v>
      </c>
    </row>
    <row r="1050" spans="4:34" ht="13.9" customHeight="1">
      <c r="D1050" s="8"/>
      <c r="E1050" s="9"/>
      <c r="F1050" s="18"/>
      <c r="G1050" s="18"/>
      <c r="H1050" s="18"/>
      <c r="J1050" s="40"/>
      <c r="K1050" s="40"/>
      <c r="L1050" s="40"/>
      <c r="M1050" s="38"/>
      <c r="O1050" s="12">
        <f t="shared" si="197"/>
        <v>86.416666666666671</v>
      </c>
      <c r="P1050" s="13">
        <v>1037</v>
      </c>
      <c r="Q1050" s="21">
        <v>2.5955772816748546E-2</v>
      </c>
      <c r="R1050" s="18">
        <f t="shared" si="198"/>
        <v>2.6425457632332616E-2</v>
      </c>
      <c r="S1050" s="21">
        <v>3.7935946664107156E-2</v>
      </c>
      <c r="T1050" s="18">
        <f t="shared" si="199"/>
        <v>4.2996995518913117E-2</v>
      </c>
      <c r="U1050" s="23">
        <v>3.933698004728603E-2</v>
      </c>
      <c r="V1050" s="23">
        <f t="shared" si="200"/>
        <v>4.2996358962464676E-2</v>
      </c>
      <c r="W1050" s="22">
        <f t="shared" si="203"/>
        <v>3.5142980889473208E-3</v>
      </c>
      <c r="X1050" s="23">
        <v>3.9056292403606196E-2</v>
      </c>
      <c r="Y1050" s="23">
        <f t="shared" si="204"/>
        <v>4.2996513851343954E-2</v>
      </c>
      <c r="Z1050" s="22">
        <f t="shared" si="205"/>
        <v>3.5143105993284962E-3</v>
      </c>
      <c r="AA1050" s="33"/>
      <c r="AB1050" s="50">
        <f t="shared" si="201"/>
        <v>1037</v>
      </c>
      <c r="AC1050" s="48">
        <f t="shared" si="196"/>
        <v>0.10921947143236124</v>
      </c>
      <c r="AE1050" s="48">
        <f t="shared" si="202"/>
        <v>0.99782886253953451</v>
      </c>
      <c r="AF1050" s="48">
        <f t="shared" si="206"/>
        <v>0.10921947143236138</v>
      </c>
      <c r="AH1050" s="48">
        <f t="shared" si="207"/>
        <v>1.3877787807814457E-16</v>
      </c>
    </row>
    <row r="1051" spans="4:34" ht="13.9" customHeight="1">
      <c r="D1051" s="8"/>
      <c r="E1051" s="9"/>
      <c r="F1051" s="18"/>
      <c r="G1051" s="18"/>
      <c r="H1051" s="18"/>
      <c r="J1051" s="40"/>
      <c r="K1051" s="40"/>
      <c r="L1051" s="40"/>
      <c r="M1051" s="38"/>
      <c r="O1051" s="12">
        <f t="shared" si="197"/>
        <v>86.5</v>
      </c>
      <c r="P1051" s="13">
        <v>1038</v>
      </c>
      <c r="Q1051" s="21">
        <v>2.5956225203492833E-2</v>
      </c>
      <c r="R1051" s="18">
        <f t="shared" si="198"/>
        <v>2.6425827427609683E-2</v>
      </c>
      <c r="S1051" s="21">
        <v>3.7940810596316599E-2</v>
      </c>
      <c r="T1051" s="18">
        <f t="shared" si="199"/>
        <v>4.2997028499198953E-2</v>
      </c>
      <c r="U1051" s="23">
        <v>3.9340499274711282E-2</v>
      </c>
      <c r="V1051" s="23">
        <f t="shared" si="200"/>
        <v>4.2996396749951593E-2</v>
      </c>
      <c r="W1051" s="22">
        <f t="shared" si="203"/>
        <v>3.5143011504825683E-3</v>
      </c>
      <c r="X1051" s="23">
        <v>3.9060081205690933E-2</v>
      </c>
      <c r="Y1051" s="23">
        <f t="shared" si="204"/>
        <v>4.2996550503804132E-2</v>
      </c>
      <c r="Z1051" s="22">
        <f t="shared" si="205"/>
        <v>3.5143135692854433E-3</v>
      </c>
      <c r="AA1051" s="33"/>
      <c r="AB1051" s="50">
        <f t="shared" si="201"/>
        <v>1038</v>
      </c>
      <c r="AC1051" s="48">
        <f t="shared" si="196"/>
        <v>0.10898233764715452</v>
      </c>
      <c r="AE1051" s="48">
        <f t="shared" si="202"/>
        <v>0.99782883233093367</v>
      </c>
      <c r="AF1051" s="48">
        <f t="shared" si="206"/>
        <v>0.10898233764715493</v>
      </c>
      <c r="AH1051" s="48">
        <f t="shared" si="207"/>
        <v>4.0245584642661925E-16</v>
      </c>
    </row>
    <row r="1052" spans="4:34" ht="13.9" customHeight="1">
      <c r="D1052" s="8"/>
      <c r="E1052" s="9"/>
      <c r="F1052" s="18"/>
      <c r="G1052" s="18"/>
      <c r="H1052" s="18"/>
      <c r="J1052" s="40"/>
      <c r="K1052" s="40"/>
      <c r="L1052" s="40"/>
      <c r="M1052" s="38"/>
      <c r="O1052" s="12">
        <f t="shared" si="197"/>
        <v>86.583333333333329</v>
      </c>
      <c r="P1052" s="13">
        <v>1039</v>
      </c>
      <c r="Q1052" s="21">
        <v>2.5956677075376078E-2</v>
      </c>
      <c r="R1052" s="18">
        <f t="shared" si="198"/>
        <v>2.6426194151621951E-2</v>
      </c>
      <c r="S1052" s="21">
        <v>3.7945665220123548E-2</v>
      </c>
      <c r="T1052" s="18">
        <f t="shared" si="199"/>
        <v>4.2997061117675317E-2</v>
      </c>
      <c r="U1052" s="23">
        <v>3.9344011776001331E-2</v>
      </c>
      <c r="V1052" s="23">
        <f t="shared" si="200"/>
        <v>4.2996434144848772E-2</v>
      </c>
      <c r="W1052" s="22">
        <f t="shared" si="203"/>
        <v>3.5143041802376818E-3</v>
      </c>
      <c r="X1052" s="23">
        <v>3.9063862763524471E-2</v>
      </c>
      <c r="Y1052" s="23">
        <f t="shared" si="204"/>
        <v>4.2996586770573053E-2</v>
      </c>
      <c r="Z1052" s="22">
        <f t="shared" si="205"/>
        <v>3.5143165080351313E-3</v>
      </c>
      <c r="AA1052" s="33"/>
      <c r="AB1052" s="50">
        <f t="shared" si="201"/>
        <v>1039</v>
      </c>
      <c r="AC1052" s="48">
        <f t="shared" si="196"/>
        <v>0.10874571545429483</v>
      </c>
      <c r="AE1052" s="48">
        <f t="shared" si="202"/>
        <v>0.99782880237322014</v>
      </c>
      <c r="AF1052" s="48">
        <f t="shared" si="206"/>
        <v>0.1087457154542945</v>
      </c>
      <c r="AH1052" s="48">
        <f t="shared" si="207"/>
        <v>-3.3306690738754696E-16</v>
      </c>
    </row>
    <row r="1053" spans="4:34" ht="13.9" customHeight="1">
      <c r="D1053" s="8"/>
      <c r="E1053" s="9"/>
      <c r="F1053" s="18"/>
      <c r="G1053" s="18"/>
      <c r="H1053" s="18"/>
      <c r="J1053" s="40"/>
      <c r="K1053" s="40"/>
      <c r="L1053" s="40"/>
      <c r="M1053" s="38"/>
      <c r="O1053" s="12">
        <f t="shared" si="197"/>
        <v>86.666666666666671</v>
      </c>
      <c r="P1053" s="13">
        <v>1040</v>
      </c>
      <c r="Q1053" s="21">
        <v>2.5957128430931675E-2</v>
      </c>
      <c r="R1053" s="18">
        <f t="shared" si="198"/>
        <v>2.6426557829454467E-2</v>
      </c>
      <c r="S1053" s="21">
        <v>3.7950510561968187E-2</v>
      </c>
      <c r="T1053" s="18">
        <f t="shared" si="199"/>
        <v>4.2997093377777684E-2</v>
      </c>
      <c r="U1053" s="23">
        <v>3.9347517570148538E-2</v>
      </c>
      <c r="V1053" s="23">
        <f t="shared" si="200"/>
        <v>4.2996471152483728E-2</v>
      </c>
      <c r="W1053" s="22">
        <f t="shared" si="203"/>
        <v>3.5143071785153079E-3</v>
      </c>
      <c r="X1053" s="23">
        <v>3.9067637097594865E-2</v>
      </c>
      <c r="Y1053" s="23">
        <f t="shared" si="204"/>
        <v>4.2996622656545247E-2</v>
      </c>
      <c r="Z1053" s="22">
        <f t="shared" si="205"/>
        <v>3.5143194158604452E-3</v>
      </c>
      <c r="AA1053" s="33"/>
      <c r="AB1053" s="50">
        <f t="shared" si="201"/>
        <v>1040</v>
      </c>
      <c r="AC1053" s="48">
        <f t="shared" si="196"/>
        <v>0.10850960378426258</v>
      </c>
      <c r="AE1053" s="48">
        <f t="shared" si="202"/>
        <v>0.99782877266432635</v>
      </c>
      <c r="AF1053" s="48">
        <f t="shared" si="206"/>
        <v>0.10850960378426275</v>
      </c>
      <c r="AH1053" s="48">
        <f t="shared" si="207"/>
        <v>1.6653345369377348E-16</v>
      </c>
    </row>
    <row r="1054" spans="4:34" ht="13.9" customHeight="1">
      <c r="D1054" s="8"/>
      <c r="E1054" s="9"/>
      <c r="F1054" s="18"/>
      <c r="G1054" s="18"/>
      <c r="H1054" s="18"/>
      <c r="J1054" s="40"/>
      <c r="K1054" s="40"/>
      <c r="L1054" s="40"/>
      <c r="M1054" s="38"/>
      <c r="O1054" s="12">
        <f t="shared" si="197"/>
        <v>86.75</v>
      </c>
      <c r="P1054" s="13">
        <v>1041</v>
      </c>
      <c r="Q1054" s="21">
        <v>2.5957579268722331E-2</v>
      </c>
      <c r="R1054" s="18">
        <f t="shared" si="198"/>
        <v>2.6426918487351347E-2</v>
      </c>
      <c r="S1054" s="21">
        <v>3.7955346648192334E-2</v>
      </c>
      <c r="T1054" s="18">
        <f t="shared" si="199"/>
        <v>4.2997125284101934E-2</v>
      </c>
      <c r="U1054" s="23">
        <v>3.9351016676077322E-2</v>
      </c>
      <c r="V1054" s="23">
        <f t="shared" si="200"/>
        <v>4.2996507775518111E-2</v>
      </c>
      <c r="W1054" s="22">
        <f t="shared" si="203"/>
        <v>3.5143101457426607E-3</v>
      </c>
      <c r="X1054" s="23">
        <v>3.9071404228316231E-2</v>
      </c>
      <c r="Y1054" s="23">
        <f t="shared" si="204"/>
        <v>4.2996658164766943E-2</v>
      </c>
      <c r="Z1054" s="22">
        <f t="shared" si="205"/>
        <v>3.5143222931537377E-3</v>
      </c>
      <c r="AA1054" s="33"/>
      <c r="AB1054" s="50">
        <f t="shared" si="201"/>
        <v>1041</v>
      </c>
      <c r="AC1054" s="48">
        <f t="shared" si="196"/>
        <v>0.10827400156942145</v>
      </c>
      <c r="AE1054" s="48">
        <f t="shared" si="202"/>
        <v>0.99782874320221959</v>
      </c>
      <c r="AF1054" s="48">
        <f t="shared" si="206"/>
        <v>0.10827400156942171</v>
      </c>
      <c r="AH1054" s="48">
        <f t="shared" si="207"/>
        <v>2.6367796834847468E-16</v>
      </c>
    </row>
    <row r="1055" spans="4:34" ht="13.9" customHeight="1">
      <c r="D1055" s="8"/>
      <c r="E1055" s="9"/>
      <c r="F1055" s="18"/>
      <c r="G1055" s="18"/>
      <c r="H1055" s="18"/>
      <c r="J1055" s="40"/>
      <c r="K1055" s="40"/>
      <c r="L1055" s="40"/>
      <c r="M1055" s="38"/>
      <c r="O1055" s="12">
        <f t="shared" si="197"/>
        <v>86.833333333333329</v>
      </c>
      <c r="P1055" s="13">
        <v>1042</v>
      </c>
      <c r="Q1055" s="21">
        <v>2.5958029587341613E-2</v>
      </c>
      <c r="R1055" s="18">
        <f t="shared" si="198"/>
        <v>2.6427276149284529E-2</v>
      </c>
      <c r="S1055" s="21">
        <v>3.7960173505041439E-2</v>
      </c>
      <c r="T1055" s="18">
        <f t="shared" si="199"/>
        <v>4.2997156840050899E-2</v>
      </c>
      <c r="U1055" s="23">
        <v>3.9354509112642377E-2</v>
      </c>
      <c r="V1055" s="23">
        <f t="shared" si="200"/>
        <v>4.299654401845121E-2</v>
      </c>
      <c r="W1055" s="22">
        <f t="shared" si="203"/>
        <v>3.5143130821331248E-3</v>
      </c>
      <c r="X1055" s="23">
        <v>3.9075164176027855E-2</v>
      </c>
      <c r="Y1055" s="23">
        <f t="shared" si="204"/>
        <v>4.2996693300018318E-2</v>
      </c>
      <c r="Z1055" s="22">
        <f t="shared" si="205"/>
        <v>3.5143251401594799E-3</v>
      </c>
      <c r="AA1055" s="33"/>
      <c r="AB1055" s="50">
        <f t="shared" si="201"/>
        <v>1042</v>
      </c>
      <c r="AC1055" s="48">
        <f t="shared" si="196"/>
        <v>0.10803890774400136</v>
      </c>
      <c r="AE1055" s="48">
        <f t="shared" si="202"/>
        <v>0.9978287139847738</v>
      </c>
      <c r="AF1055" s="48">
        <f t="shared" si="206"/>
        <v>0.10803890774400145</v>
      </c>
      <c r="AH1055" s="48">
        <f t="shared" si="207"/>
        <v>0</v>
      </c>
    </row>
    <row r="1056" spans="4:34" ht="13.9" customHeight="1">
      <c r="D1056" s="8"/>
      <c r="E1056" s="9"/>
      <c r="F1056" s="18"/>
      <c r="G1056" s="18"/>
      <c r="H1056" s="18"/>
      <c r="J1056" s="40"/>
      <c r="K1056" s="40"/>
      <c r="L1056" s="40"/>
      <c r="M1056" s="38"/>
      <c r="O1056" s="12">
        <f t="shared" si="197"/>
        <v>86.916666666666671</v>
      </c>
      <c r="P1056" s="13">
        <v>1043</v>
      </c>
      <c r="Q1056" s="21">
        <v>2.5958479385411515E-2</v>
      </c>
      <c r="R1056" s="18">
        <f t="shared" si="198"/>
        <v>2.6427630841128646E-2</v>
      </c>
      <c r="S1056" s="21">
        <v>3.7964991158663697E-2</v>
      </c>
      <c r="T1056" s="18">
        <f t="shared" si="199"/>
        <v>4.2997188049309853E-2</v>
      </c>
      <c r="U1056" s="23">
        <v>3.9357994898630455E-2</v>
      </c>
      <c r="V1056" s="23">
        <f t="shared" si="200"/>
        <v>4.2996579885222763E-2</v>
      </c>
      <c r="W1056" s="22">
        <f t="shared" si="203"/>
        <v>3.5143159880475228E-3</v>
      </c>
      <c r="X1056" s="23">
        <v>3.907891696099508E-2</v>
      </c>
      <c r="Y1056" s="23">
        <f t="shared" si="204"/>
        <v>4.2996728065467948E-2</v>
      </c>
      <c r="Z1056" s="22">
        <f t="shared" si="205"/>
        <v>3.514327957260921E-3</v>
      </c>
      <c r="AA1056" s="33"/>
      <c r="AB1056" s="50">
        <f t="shared" si="201"/>
        <v>1043</v>
      </c>
      <c r="AC1056" s="48">
        <f t="shared" si="196"/>
        <v>0.1078043212441185</v>
      </c>
      <c r="AE1056" s="48">
        <f t="shared" si="202"/>
        <v>0.99782868501004662</v>
      </c>
      <c r="AF1056" s="48">
        <f t="shared" si="206"/>
        <v>0.10780432124411871</v>
      </c>
      <c r="AH1056" s="48">
        <f t="shared" si="207"/>
        <v>2.0816681711721685E-16</v>
      </c>
    </row>
    <row r="1057" spans="4:34" ht="13.9" customHeight="1">
      <c r="D1057" s="8"/>
      <c r="E1057" s="9"/>
      <c r="F1057" s="18"/>
      <c r="G1057" s="18"/>
      <c r="H1057" s="18"/>
      <c r="J1057" s="40"/>
      <c r="K1057" s="40"/>
      <c r="L1057" s="40"/>
      <c r="M1057" s="38"/>
      <c r="O1057" s="12">
        <f t="shared" si="197"/>
        <v>87</v>
      </c>
      <c r="P1057" s="13">
        <v>1044</v>
      </c>
      <c r="Q1057" s="21">
        <v>2.5958928661584002E-2</v>
      </c>
      <c r="R1057" s="18">
        <f t="shared" si="198"/>
        <v>2.6427982587296173E-2</v>
      </c>
      <c r="S1057" s="21">
        <v>3.7969799635111157E-2</v>
      </c>
      <c r="T1057" s="18">
        <f t="shared" si="199"/>
        <v>4.299721891619579E-2</v>
      </c>
      <c r="U1057" s="23">
        <v>3.9361474052759915E-2</v>
      </c>
      <c r="V1057" s="23">
        <f t="shared" si="200"/>
        <v>4.2996615379970349E-2</v>
      </c>
      <c r="W1057" s="22">
        <f t="shared" si="203"/>
        <v>3.51431886380138E-3</v>
      </c>
      <c r="X1057" s="23">
        <v>3.9082662603409313E-2</v>
      </c>
      <c r="Y1057" s="23">
        <f t="shared" si="204"/>
        <v>4.2996762465940641E-2</v>
      </c>
      <c r="Z1057" s="22">
        <f t="shared" si="205"/>
        <v>3.5143307447118577E-3</v>
      </c>
      <c r="AA1057" s="33"/>
      <c r="AB1057" s="50">
        <f t="shared" si="201"/>
        <v>1044</v>
      </c>
      <c r="AC1057" s="48">
        <f t="shared" si="196"/>
        <v>0.10757024100775883</v>
      </c>
      <c r="AE1057" s="48">
        <f t="shared" si="202"/>
        <v>0.99782865627594164</v>
      </c>
      <c r="AF1057" s="48">
        <f t="shared" si="206"/>
        <v>0.10757024100775892</v>
      </c>
      <c r="AH1057" s="48">
        <f t="shared" si="207"/>
        <v>0</v>
      </c>
    </row>
    <row r="1058" spans="4:34" ht="13.9" customHeight="1">
      <c r="D1058" s="8"/>
      <c r="E1058" s="9"/>
      <c r="F1058" s="18"/>
      <c r="G1058" s="18"/>
      <c r="H1058" s="18"/>
      <c r="J1058" s="40"/>
      <c r="K1058" s="40"/>
      <c r="L1058" s="40"/>
      <c r="M1058" s="38"/>
      <c r="O1058" s="12">
        <f t="shared" si="197"/>
        <v>87.083333333333329</v>
      </c>
      <c r="P1058" s="13">
        <v>1045</v>
      </c>
      <c r="Q1058" s="21">
        <v>2.5959377414539464E-2</v>
      </c>
      <c r="R1058" s="18">
        <f t="shared" si="198"/>
        <v>2.642833141173373E-2</v>
      </c>
      <c r="S1058" s="21">
        <v>3.7974598960340167E-2</v>
      </c>
      <c r="T1058" s="18">
        <f t="shared" si="199"/>
        <v>4.2997249444431951E-2</v>
      </c>
      <c r="U1058" s="23">
        <v>3.936494659368206E-2</v>
      </c>
      <c r="V1058" s="23">
        <f t="shared" si="200"/>
        <v>4.2996650506152534E-2</v>
      </c>
      <c r="W1058" s="22">
        <f t="shared" si="203"/>
        <v>3.5143217097268753E-3</v>
      </c>
      <c r="X1058" s="23">
        <v>3.9086401123388903E-2</v>
      </c>
      <c r="Y1058" s="23">
        <f t="shared" si="204"/>
        <v>4.2996796504071622E-2</v>
      </c>
      <c r="Z1058" s="22">
        <f t="shared" si="205"/>
        <v>3.5143335028995359E-3</v>
      </c>
      <c r="AA1058" s="33"/>
      <c r="AB1058" s="50">
        <f t="shared" si="201"/>
        <v>1045</v>
      </c>
      <c r="AC1058" s="48">
        <f t="shared" si="196"/>
        <v>0.10733666597478789</v>
      </c>
      <c r="AE1058" s="48">
        <f t="shared" si="202"/>
        <v>0.99782862778048065</v>
      </c>
      <c r="AF1058" s="48">
        <f t="shared" si="206"/>
        <v>0.10733666597478767</v>
      </c>
      <c r="AH1058" s="48">
        <f t="shared" si="207"/>
        <v>-2.2204460492503131E-16</v>
      </c>
    </row>
    <row r="1059" spans="4:34" ht="13.9" customHeight="1">
      <c r="D1059" s="8"/>
      <c r="E1059" s="9"/>
      <c r="F1059" s="18"/>
      <c r="G1059" s="18"/>
      <c r="H1059" s="18"/>
      <c r="J1059" s="40"/>
      <c r="K1059" s="40"/>
      <c r="L1059" s="40"/>
      <c r="M1059" s="38"/>
      <c r="O1059" s="12">
        <f t="shared" si="197"/>
        <v>87.166666666666671</v>
      </c>
      <c r="P1059" s="13">
        <v>1046</v>
      </c>
      <c r="Q1059" s="21">
        <v>2.5959825642986489E-2</v>
      </c>
      <c r="R1059" s="18">
        <f t="shared" si="198"/>
        <v>2.6428677339505713E-2</v>
      </c>
      <c r="S1059" s="21">
        <v>3.7979389160211596E-2</v>
      </c>
      <c r="T1059" s="18">
        <f t="shared" si="199"/>
        <v>4.2997279637440267E-2</v>
      </c>
      <c r="U1059" s="23">
        <v>3.9368412539979802E-2</v>
      </c>
      <c r="V1059" s="23">
        <f t="shared" si="200"/>
        <v>4.2996685267881807E-2</v>
      </c>
      <c r="W1059" s="22">
        <f t="shared" si="203"/>
        <v>3.5143245261013423E-3</v>
      </c>
      <c r="X1059" s="23">
        <v>3.9090132540978484E-2</v>
      </c>
      <c r="Y1059" s="23">
        <f t="shared" si="204"/>
        <v>4.2996830184753199E-2</v>
      </c>
      <c r="Z1059" s="22">
        <f t="shared" si="205"/>
        <v>3.5143362320348981E-3</v>
      </c>
      <c r="AA1059" s="33"/>
      <c r="AB1059" s="50">
        <f t="shared" si="201"/>
        <v>1046</v>
      </c>
      <c r="AC1059" s="48">
        <f t="shared" si="196"/>
        <v>0.10710359508695348</v>
      </c>
      <c r="AE1059" s="48">
        <f t="shared" si="202"/>
        <v>0.99782859952172387</v>
      </c>
      <c r="AF1059" s="48">
        <f t="shared" si="206"/>
        <v>0.10710359508695344</v>
      </c>
      <c r="AH1059" s="48">
        <f t="shared" si="207"/>
        <v>0</v>
      </c>
    </row>
    <row r="1060" spans="4:34" ht="13.9" customHeight="1">
      <c r="D1060" s="8"/>
      <c r="E1060" s="9"/>
      <c r="F1060" s="18"/>
      <c r="G1060" s="18"/>
      <c r="H1060" s="18"/>
      <c r="J1060" s="40"/>
      <c r="K1060" s="40"/>
      <c r="L1060" s="40"/>
      <c r="M1060" s="38"/>
      <c r="O1060" s="12">
        <f t="shared" si="197"/>
        <v>87.25</v>
      </c>
      <c r="P1060" s="13">
        <v>1047</v>
      </c>
      <c r="Q1060" s="21">
        <v>2.596027334566231E-2</v>
      </c>
      <c r="R1060" s="18">
        <f t="shared" si="198"/>
        <v>2.6429020394041824E-2</v>
      </c>
      <c r="S1060" s="21">
        <v>3.7984170260491279E-2</v>
      </c>
      <c r="T1060" s="18">
        <f t="shared" si="199"/>
        <v>4.2997309498732372E-2</v>
      </c>
      <c r="U1060" s="23">
        <v>3.937187191016922E-2</v>
      </c>
      <c r="V1060" s="23">
        <f t="shared" si="200"/>
        <v>4.2996719668832784E-2</v>
      </c>
      <c r="W1060" s="22">
        <f t="shared" si="203"/>
        <v>3.5143273132540731E-3</v>
      </c>
      <c r="X1060" s="23">
        <v>3.9093856876150523E-2</v>
      </c>
      <c r="Y1060" s="23">
        <f t="shared" si="204"/>
        <v>4.2996863511179262E-2</v>
      </c>
      <c r="Z1060" s="22">
        <f t="shared" si="205"/>
        <v>3.5143389325102969E-3</v>
      </c>
      <c r="AA1060" s="33"/>
      <c r="AB1060" s="50">
        <f t="shared" si="201"/>
        <v>1047</v>
      </c>
      <c r="AC1060" s="48">
        <f t="shared" si="196"/>
        <v>0.10687102728787609</v>
      </c>
      <c r="AE1060" s="48">
        <f t="shared" si="202"/>
        <v>0.99782857149764026</v>
      </c>
      <c r="AF1060" s="48">
        <f t="shared" si="206"/>
        <v>0.10687102728787644</v>
      </c>
      <c r="AH1060" s="48">
        <f t="shared" si="207"/>
        <v>3.4694469519536142E-16</v>
      </c>
    </row>
    <row r="1061" spans="4:34" ht="13.9" customHeight="1">
      <c r="D1061" s="8"/>
      <c r="E1061" s="9"/>
      <c r="F1061" s="18"/>
      <c r="G1061" s="18"/>
      <c r="H1061" s="18"/>
      <c r="J1061" s="40"/>
      <c r="K1061" s="40"/>
      <c r="L1061" s="40"/>
      <c r="M1061" s="38"/>
      <c r="O1061" s="12">
        <f t="shared" si="197"/>
        <v>87.333333333333329</v>
      </c>
      <c r="P1061" s="13">
        <v>1048</v>
      </c>
      <c r="Q1061" s="21">
        <v>2.5960720521331249E-2</v>
      </c>
      <c r="R1061" s="18">
        <f t="shared" si="198"/>
        <v>2.6429360600209062E-2</v>
      </c>
      <c r="S1061" s="21">
        <v>3.7988942286850236E-2</v>
      </c>
      <c r="T1061" s="18">
        <f t="shared" si="199"/>
        <v>4.2997339032702753E-2</v>
      </c>
      <c r="U1061" s="23">
        <v>3.9375324722699556E-2</v>
      </c>
      <c r="V1061" s="23">
        <f t="shared" si="200"/>
        <v>4.2996753712679414E-2</v>
      </c>
      <c r="W1061" s="22">
        <f t="shared" si="203"/>
        <v>3.5143300714801651E-3</v>
      </c>
      <c r="X1061" s="23">
        <v>3.9097574148804437E-2</v>
      </c>
      <c r="Y1061" s="23">
        <f t="shared" si="204"/>
        <v>4.2996896487381253E-2</v>
      </c>
      <c r="Z1061" s="22">
        <f t="shared" si="205"/>
        <v>3.5143416045817499E-3</v>
      </c>
      <c r="AA1061" s="33"/>
      <c r="AB1061" s="50">
        <f t="shared" si="201"/>
        <v>1048</v>
      </c>
      <c r="AC1061" s="48">
        <f t="shared" si="196"/>
        <v>0.1066389615230614</v>
      </c>
      <c r="AE1061" s="48">
        <f t="shared" si="202"/>
        <v>0.99782854370633145</v>
      </c>
      <c r="AF1061" s="48">
        <f t="shared" si="206"/>
        <v>0.10663896152306136</v>
      </c>
      <c r="AH1061" s="48">
        <f t="shared" si="207"/>
        <v>0</v>
      </c>
    </row>
    <row r="1062" spans="4:34" ht="13.9" customHeight="1">
      <c r="D1062" s="8"/>
      <c r="E1062" s="9"/>
      <c r="F1062" s="18"/>
      <c r="G1062" s="18"/>
      <c r="H1062" s="18"/>
      <c r="J1062" s="40"/>
      <c r="K1062" s="40"/>
      <c r="L1062" s="40"/>
      <c r="M1062" s="38"/>
      <c r="O1062" s="12">
        <f t="shared" si="197"/>
        <v>87.416666666666671</v>
      </c>
      <c r="P1062" s="13">
        <v>1049</v>
      </c>
      <c r="Q1062" s="21">
        <v>2.596116716878627E-2</v>
      </c>
      <c r="R1062" s="18">
        <f t="shared" si="198"/>
        <v>2.6429697980137723E-2</v>
      </c>
      <c r="S1062" s="21">
        <v>3.7993705264865563E-2</v>
      </c>
      <c r="T1062" s="18">
        <f t="shared" si="199"/>
        <v>4.2997368242313039E-2</v>
      </c>
      <c r="U1062" s="23">
        <v>3.9378770995953216E-2</v>
      </c>
      <c r="V1062" s="23">
        <f t="shared" si="200"/>
        <v>4.2996787403396075E-2</v>
      </c>
      <c r="W1062" s="22">
        <f t="shared" si="203"/>
        <v>3.5143328010738273E-3</v>
      </c>
      <c r="X1062" s="23">
        <v>3.910128437876792E-2</v>
      </c>
      <c r="Y1062" s="23">
        <f t="shared" si="204"/>
        <v>4.2996929116631E-2</v>
      </c>
      <c r="Z1062" s="22">
        <f t="shared" si="205"/>
        <v>3.5143442485727761E-3</v>
      </c>
      <c r="AA1062" s="33"/>
      <c r="AB1062" s="50">
        <f t="shared" si="201"/>
        <v>1049</v>
      </c>
      <c r="AC1062" s="48">
        <f t="shared" si="196"/>
        <v>0.10640739673988379</v>
      </c>
      <c r="AE1062" s="48">
        <f t="shared" si="202"/>
        <v>0.99782851614578272</v>
      </c>
      <c r="AF1062" s="48">
        <f t="shared" si="206"/>
        <v>0.10640739673988353</v>
      </c>
      <c r="AH1062" s="48">
        <f t="shared" si="207"/>
        <v>-2.6367796834847468E-16</v>
      </c>
    </row>
    <row r="1063" spans="4:34" ht="13.9" customHeight="1">
      <c r="D1063" s="8"/>
      <c r="E1063" s="9"/>
      <c r="F1063" s="18"/>
      <c r="G1063" s="18"/>
      <c r="H1063" s="18"/>
      <c r="J1063" s="40"/>
      <c r="K1063" s="40"/>
      <c r="L1063" s="40"/>
      <c r="M1063" s="38"/>
      <c r="O1063" s="12">
        <f t="shared" si="197"/>
        <v>87.5</v>
      </c>
      <c r="P1063" s="13">
        <v>1050</v>
      </c>
      <c r="Q1063" s="21">
        <v>2.5961613286845875E-2</v>
      </c>
      <c r="R1063" s="18">
        <f t="shared" si="198"/>
        <v>2.6430032558476535E-2</v>
      </c>
      <c r="S1063" s="21">
        <v>3.7998459220020431E-2</v>
      </c>
      <c r="T1063" s="18">
        <f t="shared" si="199"/>
        <v>4.2997397130916992E-2</v>
      </c>
      <c r="U1063" s="23">
        <v>3.9382210748246216E-2</v>
      </c>
      <c r="V1063" s="23">
        <f t="shared" si="200"/>
        <v>4.2996820744031439E-2</v>
      </c>
      <c r="W1063" s="22">
        <f t="shared" si="203"/>
        <v>3.5143355023539158E-3</v>
      </c>
      <c r="X1063" s="23">
        <v>3.910498758579628E-2</v>
      </c>
      <c r="Y1063" s="23">
        <f t="shared" si="204"/>
        <v>4.299696140280429E-2</v>
      </c>
      <c r="Z1063" s="22">
        <f t="shared" si="205"/>
        <v>3.5143468647453879E-3</v>
      </c>
      <c r="AA1063" s="33"/>
      <c r="AB1063" s="50">
        <f t="shared" si="201"/>
        <v>1050</v>
      </c>
      <c r="AC1063" s="48">
        <f t="shared" si="196"/>
        <v>0.10617633188761159</v>
      </c>
      <c r="AE1063" s="48">
        <f t="shared" si="202"/>
        <v>0.99782848881420128</v>
      </c>
      <c r="AF1063" s="48">
        <f t="shared" si="206"/>
        <v>0.10617633188761115</v>
      </c>
      <c r="AH1063" s="48">
        <f t="shared" si="207"/>
        <v>-4.4408920985006262E-16</v>
      </c>
    </row>
    <row r="1064" spans="4:34" ht="13.9" customHeight="1">
      <c r="D1064" s="8"/>
      <c r="E1064" s="9"/>
      <c r="F1064" s="18"/>
      <c r="G1064" s="18"/>
      <c r="H1064" s="18"/>
      <c r="J1064" s="40"/>
      <c r="K1064" s="40"/>
      <c r="L1064" s="40"/>
      <c r="M1064" s="38"/>
      <c r="O1064" s="12">
        <f t="shared" si="197"/>
        <v>87.583333333333329</v>
      </c>
      <c r="P1064" s="13">
        <v>1051</v>
      </c>
      <c r="Q1064" s="21">
        <v>2.5962058874356542E-2</v>
      </c>
      <c r="R1064" s="18">
        <f t="shared" si="198"/>
        <v>2.6430364358238645E-2</v>
      </c>
      <c r="S1064" s="21">
        <v>3.8003204177704308E-2</v>
      </c>
      <c r="T1064" s="18">
        <f t="shared" si="199"/>
        <v>4.2997425702647529E-2</v>
      </c>
      <c r="U1064" s="23">
        <v>3.9385643997828179E-2</v>
      </c>
      <c r="V1064" s="23">
        <f t="shared" si="200"/>
        <v>4.2996853738917595E-2</v>
      </c>
      <c r="W1064" s="22">
        <f t="shared" si="203"/>
        <v>3.5143381755649017E-3</v>
      </c>
      <c r="X1064" s="23">
        <v>3.9108683789573329E-2</v>
      </c>
      <c r="Y1064" s="23">
        <f t="shared" si="204"/>
        <v>4.2996993349639467E-2</v>
      </c>
      <c r="Z1064" s="22">
        <f t="shared" si="205"/>
        <v>3.514349453410448E-3</v>
      </c>
      <c r="AA1064" s="33"/>
      <c r="AB1064" s="50">
        <f t="shared" si="201"/>
        <v>1051</v>
      </c>
      <c r="AC1064" s="48">
        <f t="shared" si="196"/>
        <v>0.10594576591738213</v>
      </c>
      <c r="AE1064" s="48">
        <f t="shared" si="202"/>
        <v>0.99782846170958972</v>
      </c>
      <c r="AF1064" s="48">
        <f t="shared" si="206"/>
        <v>0.10594576591738189</v>
      </c>
      <c r="AH1064" s="48">
        <f t="shared" si="207"/>
        <v>-2.3592239273284576E-16</v>
      </c>
    </row>
    <row r="1065" spans="4:34" ht="13.9" customHeight="1">
      <c r="D1065" s="8"/>
      <c r="E1065" s="9"/>
      <c r="F1065" s="18"/>
      <c r="G1065" s="18"/>
      <c r="H1065" s="18"/>
      <c r="J1065" s="40"/>
      <c r="K1065" s="40"/>
      <c r="L1065" s="40"/>
      <c r="M1065" s="38"/>
      <c r="O1065" s="12">
        <f t="shared" si="197"/>
        <v>87.666666666666671</v>
      </c>
      <c r="P1065" s="13">
        <v>1052</v>
      </c>
      <c r="Q1065" s="21">
        <v>2.596250393019095E-2</v>
      </c>
      <c r="R1065" s="18">
        <f t="shared" si="198"/>
        <v>2.6430693402825334E-2</v>
      </c>
      <c r="S1065" s="21">
        <v>3.8007940163214293E-2</v>
      </c>
      <c r="T1065" s="18">
        <f t="shared" si="199"/>
        <v>4.2997453960890608E-2</v>
      </c>
      <c r="U1065" s="23">
        <v>3.9389070762883449E-2</v>
      </c>
      <c r="V1065" s="23">
        <f t="shared" si="200"/>
        <v>4.2996886391537759E-2</v>
      </c>
      <c r="W1065" s="22">
        <f t="shared" si="203"/>
        <v>3.5143408210538407E-3</v>
      </c>
      <c r="X1065" s="23">
        <v>3.9112373009712043E-2</v>
      </c>
      <c r="Y1065" s="23">
        <f t="shared" si="204"/>
        <v>4.2997024960924835E-2</v>
      </c>
      <c r="Z1065" s="22">
        <f t="shared" si="205"/>
        <v>3.5143520148679386E-3</v>
      </c>
      <c r="AA1065" s="33"/>
      <c r="AB1065" s="50">
        <f t="shared" si="201"/>
        <v>1052</v>
      </c>
      <c r="AC1065" s="48">
        <f t="shared" si="196"/>
        <v>0.10571569778221551</v>
      </c>
      <c r="AE1065" s="48">
        <f t="shared" si="202"/>
        <v>0.99782843483008354</v>
      </c>
      <c r="AF1065" s="48">
        <f t="shared" si="206"/>
        <v>0.10571569778221558</v>
      </c>
      <c r="AH1065" s="48">
        <f t="shared" si="207"/>
        <v>0</v>
      </c>
    </row>
    <row r="1066" spans="4:34" ht="13.9" customHeight="1">
      <c r="D1066" s="8"/>
      <c r="E1066" s="9"/>
      <c r="F1066" s="18"/>
      <c r="G1066" s="18"/>
      <c r="H1066" s="18"/>
      <c r="J1066" s="40"/>
      <c r="K1066" s="40"/>
      <c r="L1066" s="40"/>
      <c r="M1066" s="38"/>
      <c r="O1066" s="12">
        <f t="shared" si="197"/>
        <v>87.75</v>
      </c>
      <c r="P1066" s="13">
        <v>1053</v>
      </c>
      <c r="Q1066" s="21">
        <v>2.5962948453248202E-2</v>
      </c>
      <c r="R1066" s="18">
        <f t="shared" si="198"/>
        <v>2.6431019714283632E-2</v>
      </c>
      <c r="S1066" s="21">
        <v>3.8012667201754669E-2</v>
      </c>
      <c r="T1066" s="18">
        <f t="shared" si="199"/>
        <v>4.2997481908880975E-2</v>
      </c>
      <c r="U1066" s="23">
        <v>3.9392491061530643E-2</v>
      </c>
      <c r="V1066" s="23">
        <f t="shared" si="200"/>
        <v>4.2996918705156872E-2</v>
      </c>
      <c r="W1066" s="22">
        <f t="shared" si="203"/>
        <v>3.5143434391005091E-3</v>
      </c>
      <c r="X1066" s="23">
        <v>3.9116055265754124E-2</v>
      </c>
      <c r="Y1066" s="23">
        <f t="shared" si="204"/>
        <v>4.2997056239140186E-2</v>
      </c>
      <c r="Z1066" s="22">
        <f t="shared" si="205"/>
        <v>3.5143545494211725E-3</v>
      </c>
      <c r="AA1066" s="33"/>
      <c r="AB1066" s="50">
        <f t="shared" si="201"/>
        <v>1053</v>
      </c>
      <c r="AC1066" s="48">
        <f t="shared" si="196"/>
        <v>0.10548612643700969</v>
      </c>
      <c r="AE1066" s="48">
        <f t="shared" si="202"/>
        <v>0.99782840817378682</v>
      </c>
      <c r="AF1066" s="48">
        <f t="shared" si="206"/>
        <v>0.1054861264370093</v>
      </c>
      <c r="AH1066" s="48">
        <f t="shared" si="207"/>
        <v>-3.8857805861880479E-16</v>
      </c>
    </row>
    <row r="1067" spans="4:34" ht="13.9" customHeight="1">
      <c r="D1067" s="8"/>
      <c r="E1067" s="9"/>
      <c r="F1067" s="18"/>
      <c r="G1067" s="18"/>
      <c r="H1067" s="18"/>
      <c r="J1067" s="40"/>
      <c r="K1067" s="40"/>
      <c r="L1067" s="40"/>
      <c r="M1067" s="38"/>
      <c r="O1067" s="12">
        <f t="shared" si="197"/>
        <v>87.833333333333329</v>
      </c>
      <c r="P1067" s="13">
        <v>1054</v>
      </c>
      <c r="Q1067" s="21">
        <v>2.5963392442452715E-2</v>
      </c>
      <c r="R1067" s="18">
        <f t="shared" si="198"/>
        <v>2.6431343315863831E-2</v>
      </c>
      <c r="S1067" s="21">
        <v>3.8017385318437347E-2</v>
      </c>
      <c r="T1067" s="18">
        <f t="shared" si="199"/>
        <v>4.2997509550237956E-2</v>
      </c>
      <c r="U1067" s="23">
        <v>3.9395904911822877E-2</v>
      </c>
      <c r="V1067" s="23">
        <f t="shared" si="200"/>
        <v>4.2996950683383162E-2</v>
      </c>
      <c r="W1067" s="22">
        <f t="shared" si="203"/>
        <v>3.5143460299662532E-3</v>
      </c>
      <c r="X1067" s="23">
        <v>3.911973057717022E-2</v>
      </c>
      <c r="Y1067" s="23">
        <f t="shared" si="204"/>
        <v>4.2997087189216909E-2</v>
      </c>
      <c r="Z1067" s="22">
        <f t="shared" si="205"/>
        <v>3.5143570572693239E-3</v>
      </c>
      <c r="AA1067" s="33"/>
      <c r="AB1067" s="50">
        <f t="shared" si="201"/>
        <v>1054</v>
      </c>
      <c r="AC1067" s="48">
        <f t="shared" si="196"/>
        <v>0.10525705083854774</v>
      </c>
      <c r="AE1067" s="48">
        <f t="shared" si="202"/>
        <v>0.99782838173891331</v>
      </c>
      <c r="AF1067" s="48">
        <f t="shared" si="206"/>
        <v>0.10525705083854739</v>
      </c>
      <c r="AH1067" s="48">
        <f t="shared" si="207"/>
        <v>-3.4694469519536142E-16</v>
      </c>
    </row>
    <row r="1068" spans="4:34" ht="13.9" customHeight="1">
      <c r="D1068" s="8"/>
      <c r="E1068" s="9"/>
      <c r="F1068" s="18"/>
      <c r="G1068" s="18"/>
      <c r="H1068" s="18"/>
      <c r="J1068" s="40"/>
      <c r="K1068" s="40"/>
      <c r="L1068" s="40"/>
      <c r="M1068" s="38"/>
      <c r="O1068" s="12">
        <f t="shared" si="197"/>
        <v>87.916666666666671</v>
      </c>
      <c r="P1068" s="13">
        <v>1055</v>
      </c>
      <c r="Q1068" s="21">
        <v>2.5963835896754883E-2</v>
      </c>
      <c r="R1068" s="18">
        <f t="shared" si="198"/>
        <v>2.6431664230000429E-2</v>
      </c>
      <c r="S1068" s="21">
        <v>3.8022094538282758E-2</v>
      </c>
      <c r="T1068" s="18">
        <f t="shared" si="199"/>
        <v>4.2997536887466437E-2</v>
      </c>
      <c r="U1068" s="23">
        <v>3.9399312331748426E-2</v>
      </c>
      <c r="V1068" s="23">
        <f t="shared" si="200"/>
        <v>4.2996982329583711E-2</v>
      </c>
      <c r="W1068" s="22">
        <f t="shared" si="203"/>
        <v>3.5143485939406194E-3</v>
      </c>
      <c r="X1068" s="23">
        <v>3.9123398963361256E-2</v>
      </c>
      <c r="Y1068" s="23">
        <f t="shared" si="204"/>
        <v>4.299711781352511E-2</v>
      </c>
      <c r="Z1068" s="22">
        <f t="shared" si="205"/>
        <v>3.5143595388076321E-3</v>
      </c>
      <c r="AA1068" s="33"/>
      <c r="AB1068" s="50">
        <f t="shared" si="201"/>
        <v>1055</v>
      </c>
      <c r="AC1068" s="48">
        <f t="shared" si="196"/>
        <v>0.1050284699454892</v>
      </c>
      <c r="AE1068" s="48">
        <f t="shared" si="202"/>
        <v>0.99782835552357907</v>
      </c>
      <c r="AF1068" s="48">
        <f t="shared" si="206"/>
        <v>0.10502846994548951</v>
      </c>
      <c r="AH1068" s="48">
        <f t="shared" si="207"/>
        <v>3.0531133177191805E-16</v>
      </c>
    </row>
    <row r="1069" spans="4:34" ht="13.9" customHeight="1">
      <c r="D1069" s="8"/>
      <c r="E1069" s="9"/>
      <c r="F1069" s="18"/>
      <c r="G1069" s="18"/>
      <c r="H1069" s="18"/>
      <c r="J1069" s="40"/>
      <c r="K1069" s="40"/>
      <c r="L1069" s="40"/>
      <c r="M1069" s="38"/>
      <c r="O1069" s="12">
        <f t="shared" si="197"/>
        <v>88</v>
      </c>
      <c r="P1069" s="13">
        <v>1056</v>
      </c>
      <c r="Q1069" s="21">
        <v>2.5964278815130193E-2</v>
      </c>
      <c r="R1069" s="18">
        <f t="shared" si="198"/>
        <v>2.643198247979317E-2</v>
      </c>
      <c r="S1069" s="21">
        <v>3.8026794886219406E-2</v>
      </c>
      <c r="T1069" s="18">
        <f t="shared" si="199"/>
        <v>4.2997563925342819E-2</v>
      </c>
      <c r="U1069" s="23">
        <v>3.9402713339230511E-2</v>
      </c>
      <c r="V1069" s="23">
        <f t="shared" si="200"/>
        <v>4.2997013647378957E-2</v>
      </c>
      <c r="W1069" s="22">
        <f t="shared" si="203"/>
        <v>3.5143511312936138E-3</v>
      </c>
      <c r="X1069" s="23">
        <v>3.9127060443657546E-2</v>
      </c>
      <c r="Y1069" s="23">
        <f t="shared" si="204"/>
        <v>4.299714811569233E-2</v>
      </c>
      <c r="Z1069" s="22">
        <f t="shared" si="205"/>
        <v>3.5143619942261672E-3</v>
      </c>
      <c r="AA1069" s="33"/>
      <c r="AB1069" s="50">
        <f t="shared" si="201"/>
        <v>1056</v>
      </c>
      <c r="AC1069" s="48">
        <f t="shared" si="196"/>
        <v>0.10480038271837597</v>
      </c>
      <c r="AE1069" s="48">
        <f t="shared" si="202"/>
        <v>0.99782832952596678</v>
      </c>
      <c r="AF1069" s="48">
        <f t="shared" si="206"/>
        <v>0.104800382718376</v>
      </c>
      <c r="AH1069" s="48">
        <f t="shared" si="207"/>
        <v>0</v>
      </c>
    </row>
    <row r="1070" spans="4:34" ht="13.9" customHeight="1">
      <c r="D1070" s="8"/>
      <c r="E1070" s="9"/>
      <c r="F1070" s="18"/>
      <c r="G1070" s="18"/>
      <c r="H1070" s="18"/>
      <c r="J1070" s="40"/>
      <c r="K1070" s="40"/>
      <c r="L1070" s="40"/>
      <c r="M1070" s="38"/>
      <c r="O1070" s="12">
        <f t="shared" si="197"/>
        <v>88.083333333333329</v>
      </c>
      <c r="P1070" s="13">
        <v>1057</v>
      </c>
      <c r="Q1070" s="21">
        <v>2.5964721196579887E-2</v>
      </c>
      <c r="R1070" s="18">
        <f t="shared" si="198"/>
        <v>2.6432298085754979E-2</v>
      </c>
      <c r="S1070" s="21">
        <v>3.8031486387085645E-2</v>
      </c>
      <c r="T1070" s="18">
        <f t="shared" si="199"/>
        <v>4.2997590666209895E-2</v>
      </c>
      <c r="U1070" s="23">
        <v>3.94061079521284E-2</v>
      </c>
      <c r="V1070" s="23">
        <f t="shared" si="200"/>
        <v>4.2997044640393778E-2</v>
      </c>
      <c r="W1070" s="22">
        <f t="shared" si="203"/>
        <v>3.5143536423152266E-3</v>
      </c>
      <c r="X1070" s="23">
        <v>3.9130715037319685E-2</v>
      </c>
      <c r="Y1070" s="23">
        <f t="shared" si="204"/>
        <v>4.2997178099766442E-2</v>
      </c>
      <c r="Z1070" s="22">
        <f t="shared" si="205"/>
        <v>3.5143644238158078E-3</v>
      </c>
      <c r="AA1070" s="33"/>
      <c r="AB1070" s="50">
        <f t="shared" si="201"/>
        <v>1057</v>
      </c>
      <c r="AC1070" s="48">
        <f t="shared" si="196"/>
        <v>0.10457278811962106</v>
      </c>
      <c r="AE1070" s="48">
        <f t="shared" si="202"/>
        <v>0.9978283037442045</v>
      </c>
      <c r="AF1070" s="48">
        <f t="shared" si="206"/>
        <v>0.10457278811962056</v>
      </c>
      <c r="AH1070" s="48">
        <f t="shared" si="207"/>
        <v>-4.9960036108132044E-16</v>
      </c>
    </row>
    <row r="1071" spans="4:34" ht="13.9" customHeight="1">
      <c r="D1071" s="8"/>
      <c r="E1071" s="9"/>
      <c r="F1071" s="18"/>
      <c r="G1071" s="18"/>
      <c r="H1071" s="18"/>
      <c r="J1071" s="40"/>
      <c r="K1071" s="40"/>
      <c r="L1071" s="40"/>
      <c r="M1071" s="38"/>
      <c r="O1071" s="12">
        <f t="shared" si="197"/>
        <v>88.166666666666671</v>
      </c>
      <c r="P1071" s="13">
        <v>1058</v>
      </c>
      <c r="Q1071" s="21">
        <v>2.5965163040128747E-2</v>
      </c>
      <c r="R1071" s="18">
        <f t="shared" si="198"/>
        <v>2.6432611071413037E-2</v>
      </c>
      <c r="S1071" s="21">
        <v>3.8036169065628567E-2</v>
      </c>
      <c r="T1071" s="18">
        <f t="shared" si="199"/>
        <v>4.2997617113515352E-2</v>
      </c>
      <c r="U1071" s="23">
        <v>3.940949618823697E-2</v>
      </c>
      <c r="V1071" s="23">
        <f t="shared" si="200"/>
        <v>4.2997075311851374E-2</v>
      </c>
      <c r="W1071" s="22">
        <f t="shared" si="203"/>
        <v>3.5143561272963364E-3</v>
      </c>
      <c r="X1071" s="23">
        <v>3.913436276353921E-2</v>
      </c>
      <c r="Y1071" s="23">
        <f t="shared" si="204"/>
        <v>4.2997207768002532E-2</v>
      </c>
      <c r="Z1071" s="22">
        <f t="shared" si="205"/>
        <v>3.514366827901183E-3</v>
      </c>
      <c r="AA1071" s="33"/>
      <c r="AB1071" s="50">
        <f t="shared" si="201"/>
        <v>1058</v>
      </c>
      <c r="AC1071" s="48">
        <f t="shared" si="196"/>
        <v>0.10434568511353021</v>
      </c>
      <c r="AE1071" s="48">
        <f t="shared" si="202"/>
        <v>0.99782827817663033</v>
      </c>
      <c r="AF1071" s="48">
        <f t="shared" si="206"/>
        <v>0.10434568511353057</v>
      </c>
      <c r="AH1071" s="48">
        <f t="shared" si="207"/>
        <v>3.6082248300317588E-16</v>
      </c>
    </row>
    <row r="1072" spans="4:34" ht="13.9" customHeight="1">
      <c r="D1072" s="8"/>
      <c r="E1072" s="9"/>
      <c r="F1072" s="18"/>
      <c r="G1072" s="18"/>
      <c r="H1072" s="18"/>
      <c r="J1072" s="40"/>
      <c r="K1072" s="40"/>
      <c r="L1072" s="40"/>
      <c r="M1072" s="38"/>
      <c r="O1072" s="12">
        <f t="shared" si="197"/>
        <v>88.25</v>
      </c>
      <c r="P1072" s="13">
        <v>1059</v>
      </c>
      <c r="Q1072" s="21">
        <v>2.5965604344826865E-2</v>
      </c>
      <c r="R1072" s="18">
        <f t="shared" si="198"/>
        <v>2.6432921457444136E-2</v>
      </c>
      <c r="S1072" s="21">
        <v>3.804084294650556E-2</v>
      </c>
      <c r="T1072" s="18">
        <f t="shared" si="199"/>
        <v>4.2997643270411334E-2</v>
      </c>
      <c r="U1072" s="23">
        <v>3.9412878065287149E-2</v>
      </c>
      <c r="V1072" s="23">
        <f t="shared" si="200"/>
        <v>4.2997105664183355E-2</v>
      </c>
      <c r="W1072" s="22">
        <f t="shared" si="203"/>
        <v>3.514358586495403E-3</v>
      </c>
      <c r="X1072" s="23">
        <v>3.9138003641437713E-2</v>
      </c>
      <c r="Y1072" s="23">
        <f t="shared" si="204"/>
        <v>4.2997237124768439E-2</v>
      </c>
      <c r="Z1072" s="22">
        <f t="shared" si="205"/>
        <v>3.5143692066628152E-3</v>
      </c>
      <c r="AA1072" s="33"/>
      <c r="AB1072" s="50">
        <f t="shared" si="201"/>
        <v>1059</v>
      </c>
      <c r="AC1072" s="48">
        <f t="shared" si="196"/>
        <v>0.10411907266627936</v>
      </c>
      <c r="AE1072" s="48">
        <f t="shared" si="202"/>
        <v>0.99782825282133836</v>
      </c>
      <c r="AF1072" s="48">
        <f t="shared" si="206"/>
        <v>0.10411907266627975</v>
      </c>
      <c r="AH1072" s="48">
        <f t="shared" si="207"/>
        <v>3.8857805861880479E-16</v>
      </c>
    </row>
    <row r="1073" spans="4:34" ht="13.9" customHeight="1">
      <c r="D1073" s="8"/>
      <c r="E1073" s="9"/>
      <c r="F1073" s="18"/>
      <c r="G1073" s="18"/>
      <c r="H1073" s="18"/>
      <c r="J1073" s="40"/>
      <c r="K1073" s="40"/>
      <c r="L1073" s="40"/>
      <c r="M1073" s="38"/>
      <c r="O1073" s="12">
        <f t="shared" si="197"/>
        <v>88.333333333333329</v>
      </c>
      <c r="P1073" s="13">
        <v>1060</v>
      </c>
      <c r="Q1073" s="21">
        <v>2.5966045109747649E-2</v>
      </c>
      <c r="R1073" s="18">
        <f t="shared" si="198"/>
        <v>2.6433229266209057E-2</v>
      </c>
      <c r="S1073" s="21">
        <v>3.8045508054283639E-2</v>
      </c>
      <c r="T1073" s="18">
        <f t="shared" si="199"/>
        <v>4.2997669140167893E-2</v>
      </c>
      <c r="U1073" s="23">
        <v>3.9416253600945694E-2</v>
      </c>
      <c r="V1073" s="23">
        <f t="shared" si="200"/>
        <v>4.2997135702548039E-2</v>
      </c>
      <c r="W1073" s="22">
        <f t="shared" si="203"/>
        <v>3.5143610201073816E-3</v>
      </c>
      <c r="X1073" s="23">
        <v>3.914163769006862E-2</v>
      </c>
      <c r="Y1073" s="23">
        <f t="shared" si="204"/>
        <v>4.2997266172577264E-2</v>
      </c>
      <c r="Z1073" s="22">
        <f t="shared" si="205"/>
        <v>3.5143715604510906E-3</v>
      </c>
      <c r="AA1073" s="33"/>
      <c r="AB1073" s="50">
        <f t="shared" si="201"/>
        <v>1060</v>
      </c>
      <c r="AC1073" s="48">
        <f t="shared" si="196"/>
        <v>0.10389294974593111</v>
      </c>
      <c r="AE1073" s="48">
        <f t="shared" si="202"/>
        <v>0.99782822767665291</v>
      </c>
      <c r="AF1073" s="48">
        <f t="shared" si="206"/>
        <v>0.10389294974593055</v>
      </c>
      <c r="AH1073" s="48">
        <f t="shared" si="207"/>
        <v>-5.5511151231257827E-16</v>
      </c>
    </row>
    <row r="1074" spans="4:34" ht="13.9" customHeight="1">
      <c r="D1074" s="8"/>
      <c r="E1074" s="9"/>
      <c r="F1074" s="18"/>
      <c r="G1074" s="18"/>
      <c r="H1074" s="18"/>
      <c r="J1074" s="40"/>
      <c r="K1074" s="40"/>
      <c r="L1074" s="40"/>
      <c r="M1074" s="38"/>
      <c r="O1074" s="12">
        <f t="shared" si="197"/>
        <v>88.416666666666671</v>
      </c>
      <c r="P1074" s="13">
        <v>1061</v>
      </c>
      <c r="Q1074" s="21">
        <v>2.5966485333989375E-2</v>
      </c>
      <c r="R1074" s="18">
        <f t="shared" si="198"/>
        <v>2.6433534518912838E-2</v>
      </c>
      <c r="S1074" s="21">
        <v>3.8050164413440779E-2</v>
      </c>
      <c r="T1074" s="18">
        <f t="shared" si="199"/>
        <v>4.2997694726364832E-2</v>
      </c>
      <c r="U1074" s="23">
        <v>3.941962281281719E-2</v>
      </c>
      <c r="V1074" s="23">
        <f t="shared" si="200"/>
        <v>4.299716542823151E-2</v>
      </c>
      <c r="W1074" s="22">
        <f t="shared" si="203"/>
        <v>3.5143634285454972E-3</v>
      </c>
      <c r="X1074" s="23">
        <v>3.9145264928416079E-2</v>
      </c>
      <c r="Y1074" s="23">
        <f t="shared" si="204"/>
        <v>4.2997294915160467E-2</v>
      </c>
      <c r="Z1074" s="22">
        <f t="shared" si="205"/>
        <v>3.5143738894676257E-3</v>
      </c>
      <c r="AA1074" s="33"/>
      <c r="AB1074" s="50">
        <f t="shared" si="201"/>
        <v>1061</v>
      </c>
      <c r="AC1074" s="48">
        <f t="shared" si="196"/>
        <v>0.1036673153224182</v>
      </c>
      <c r="AE1074" s="48">
        <f t="shared" si="202"/>
        <v>0.99782820274076267</v>
      </c>
      <c r="AF1074" s="48">
        <f t="shared" si="206"/>
        <v>0.10366731532241825</v>
      </c>
      <c r="AH1074" s="48">
        <f t="shared" si="207"/>
        <v>0</v>
      </c>
    </row>
    <row r="1075" spans="4:34" ht="13.9" customHeight="1">
      <c r="D1075" s="8"/>
      <c r="E1075" s="9"/>
      <c r="F1075" s="18"/>
      <c r="G1075" s="18"/>
      <c r="H1075" s="18"/>
      <c r="J1075" s="40"/>
      <c r="K1075" s="40"/>
      <c r="L1075" s="40"/>
      <c r="M1075" s="38"/>
      <c r="O1075" s="12">
        <f t="shared" si="197"/>
        <v>88.5</v>
      </c>
      <c r="P1075" s="13">
        <v>1062</v>
      </c>
      <c r="Q1075" s="21">
        <v>2.5966925016673192E-2</v>
      </c>
      <c r="R1075" s="18">
        <f t="shared" si="198"/>
        <v>2.643383723665238E-2</v>
      </c>
      <c r="S1075" s="21">
        <v>3.805481204836636E-2</v>
      </c>
      <c r="T1075" s="18">
        <f t="shared" si="199"/>
        <v>4.2997720030848008E-2</v>
      </c>
      <c r="U1075" s="23">
        <v>3.9422985718441605E-2</v>
      </c>
      <c r="V1075" s="23">
        <f t="shared" si="200"/>
        <v>4.2997194846130071E-2</v>
      </c>
      <c r="W1075" s="22">
        <f t="shared" si="203"/>
        <v>3.5143658119134447E-3</v>
      </c>
      <c r="X1075" s="23">
        <v>3.9148885375396514E-2</v>
      </c>
      <c r="Y1075" s="23">
        <f t="shared" si="204"/>
        <v>4.2997323355320249E-2</v>
      </c>
      <c r="Z1075" s="22">
        <f t="shared" si="205"/>
        <v>3.5143761940115148E-3</v>
      </c>
      <c r="AA1075" s="33"/>
      <c r="AB1075" s="50">
        <f t="shared" si="201"/>
        <v>1062</v>
      </c>
      <c r="AC1075" s="48">
        <f t="shared" si="196"/>
        <v>0.1034421683675585</v>
      </c>
      <c r="AE1075" s="48">
        <f t="shared" si="202"/>
        <v>0.99782817801194945</v>
      </c>
      <c r="AF1075" s="48">
        <f t="shared" si="206"/>
        <v>0.10344216836755886</v>
      </c>
      <c r="AH1075" s="48">
        <f t="shared" si="207"/>
        <v>3.6082248300317588E-16</v>
      </c>
    </row>
    <row r="1076" spans="4:34" ht="13.9" customHeight="1">
      <c r="D1076" s="8"/>
      <c r="E1076" s="9"/>
      <c r="F1076" s="18"/>
      <c r="G1076" s="18"/>
      <c r="H1076" s="18"/>
      <c r="J1076" s="40"/>
      <c r="K1076" s="40"/>
      <c r="L1076" s="40"/>
      <c r="M1076" s="38"/>
      <c r="O1076" s="12">
        <f t="shared" si="197"/>
        <v>88.583333333333329</v>
      </c>
      <c r="P1076" s="13">
        <v>1063</v>
      </c>
      <c r="Q1076" s="21">
        <v>2.5967364156943562E-2</v>
      </c>
      <c r="R1076" s="18">
        <f t="shared" si="198"/>
        <v>2.6434137440229488E-2</v>
      </c>
      <c r="S1076" s="21">
        <v>3.8059450983359833E-2</v>
      </c>
      <c r="T1076" s="18">
        <f t="shared" si="199"/>
        <v>4.2997745058592773E-2</v>
      </c>
      <c r="U1076" s="23">
        <v>3.9426342335297404E-2</v>
      </c>
      <c r="V1076" s="23">
        <f t="shared" si="200"/>
        <v>4.2997223958595177E-2</v>
      </c>
      <c r="W1076" s="22">
        <f t="shared" si="203"/>
        <v>3.5143681706033547E-3</v>
      </c>
      <c r="X1076" s="23">
        <v>3.9152499049857736E-2</v>
      </c>
      <c r="Y1076" s="23">
        <f t="shared" si="204"/>
        <v>4.2997351496854463E-2</v>
      </c>
      <c r="Z1076" s="22">
        <f t="shared" si="205"/>
        <v>3.5143784743072448E-3</v>
      </c>
      <c r="AA1076" s="33"/>
      <c r="AB1076" s="50">
        <f t="shared" si="201"/>
        <v>1063</v>
      </c>
      <c r="AC1076" s="48">
        <f t="shared" si="196"/>
        <v>0.10321750785504817</v>
      </c>
      <c r="AE1076" s="48">
        <f t="shared" si="202"/>
        <v>0.99782815348850384</v>
      </c>
      <c r="AF1076" s="48">
        <f t="shared" si="206"/>
        <v>0.10321750785504819</v>
      </c>
      <c r="AH1076" s="48">
        <f t="shared" si="207"/>
        <v>0</v>
      </c>
    </row>
    <row r="1077" spans="4:34" ht="13.9" customHeight="1">
      <c r="D1077" s="8"/>
      <c r="E1077" s="9"/>
      <c r="F1077" s="18"/>
      <c r="G1077" s="18"/>
      <c r="H1077" s="18"/>
      <c r="J1077" s="40"/>
      <c r="K1077" s="40"/>
      <c r="L1077" s="40"/>
      <c r="M1077" s="38"/>
      <c r="O1077" s="12">
        <f t="shared" si="197"/>
        <v>88.666666666666671</v>
      </c>
      <c r="P1077" s="13">
        <v>1064</v>
      </c>
      <c r="Q1077" s="21">
        <v>2.5967802753967817E-2</v>
      </c>
      <c r="R1077" s="18">
        <f t="shared" si="198"/>
        <v>2.6434435150936242E-2</v>
      </c>
      <c r="S1077" s="21">
        <v>3.8064081242634051E-2</v>
      </c>
      <c r="T1077" s="18">
        <f t="shared" si="199"/>
        <v>4.2997769810954267E-2</v>
      </c>
      <c r="U1077" s="23">
        <v>3.9429692680799766E-2</v>
      </c>
      <c r="V1077" s="23">
        <f t="shared" si="200"/>
        <v>4.2997252768510741E-2</v>
      </c>
      <c r="W1077" s="22">
        <f t="shared" si="203"/>
        <v>3.5143705048039653E-3</v>
      </c>
      <c r="X1077" s="23">
        <v>3.9156105970580501E-2</v>
      </c>
      <c r="Y1077" s="23">
        <f t="shared" si="204"/>
        <v>4.2997379342204045E-2</v>
      </c>
      <c r="Z1077" s="22">
        <f t="shared" si="205"/>
        <v>3.514380730659683E-3</v>
      </c>
      <c r="AA1077" s="33"/>
      <c r="AB1077" s="50">
        <f t="shared" si="201"/>
        <v>1064</v>
      </c>
      <c r="AC1077" s="48">
        <f t="shared" si="196"/>
        <v>0.10299333276046267</v>
      </c>
      <c r="AE1077" s="48">
        <f t="shared" si="202"/>
        <v>0.99782812916874086</v>
      </c>
      <c r="AF1077" s="48">
        <f t="shared" si="206"/>
        <v>0.10299333276046255</v>
      </c>
      <c r="AH1077" s="48">
        <f t="shared" si="207"/>
        <v>-1.2490009027033011E-16</v>
      </c>
    </row>
    <row r="1078" spans="4:34" ht="13.9" customHeight="1">
      <c r="D1078" s="8"/>
      <c r="E1078" s="9"/>
      <c r="F1078" s="18"/>
      <c r="G1078" s="18"/>
      <c r="H1078" s="18"/>
      <c r="J1078" s="40"/>
      <c r="K1078" s="40"/>
      <c r="L1078" s="40"/>
      <c r="M1078" s="38"/>
      <c r="O1078" s="12">
        <f t="shared" si="197"/>
        <v>88.75</v>
      </c>
      <c r="P1078" s="13">
        <v>1065</v>
      </c>
      <c r="Q1078" s="21">
        <v>2.5968240806936382E-2</v>
      </c>
      <c r="R1078" s="18">
        <f t="shared" si="198"/>
        <v>2.6434730389939487E-2</v>
      </c>
      <c r="S1078" s="21">
        <v>3.8068702850312608E-2</v>
      </c>
      <c r="T1078" s="18">
        <f t="shared" si="199"/>
        <v>4.2997794291451008E-2</v>
      </c>
      <c r="U1078" s="23">
        <v>3.9433036772301255E-2</v>
      </c>
      <c r="V1078" s="23">
        <f t="shared" si="200"/>
        <v>4.2997281279815613E-2</v>
      </c>
      <c r="W1078" s="22">
        <f t="shared" si="203"/>
        <v>3.5143728147466469E-3</v>
      </c>
      <c r="X1078" s="23">
        <v>3.9159706156277174E-2</v>
      </c>
      <c r="Y1078" s="23">
        <f t="shared" si="204"/>
        <v>4.2997406894990986E-2</v>
      </c>
      <c r="Z1078" s="22">
        <f t="shared" si="205"/>
        <v>3.5143829632642287E-3</v>
      </c>
      <c r="AA1078" s="33"/>
      <c r="AB1078" s="50">
        <f t="shared" si="201"/>
        <v>1065</v>
      </c>
      <c r="AC1078" s="48">
        <f t="shared" si="196"/>
        <v>0.10276964206125241</v>
      </c>
      <c r="AE1078" s="48">
        <f t="shared" si="202"/>
        <v>0.99782810505093489</v>
      </c>
      <c r="AF1078" s="48">
        <f t="shared" si="206"/>
        <v>0.10276964206125272</v>
      </c>
      <c r="AH1078" s="48">
        <f t="shared" si="207"/>
        <v>3.0531133177191805E-16</v>
      </c>
    </row>
    <row r="1079" spans="4:34" ht="13.9" customHeight="1">
      <c r="D1079" s="8"/>
      <c r="E1079" s="9"/>
      <c r="F1079" s="18"/>
      <c r="G1079" s="18"/>
      <c r="H1079" s="18"/>
      <c r="J1079" s="40"/>
      <c r="K1079" s="40"/>
      <c r="L1079" s="40"/>
      <c r="M1079" s="38"/>
      <c r="O1079" s="12">
        <f t="shared" si="197"/>
        <v>88.833333333333329</v>
      </c>
      <c r="P1079" s="13">
        <v>1066</v>
      </c>
      <c r="Q1079" s="21">
        <v>2.5968678315062332E-2</v>
      </c>
      <c r="R1079" s="18">
        <f t="shared" si="198"/>
        <v>2.6435023176552663E-2</v>
      </c>
      <c r="S1079" s="21">
        <v>3.8073315830432053E-2</v>
      </c>
      <c r="T1079" s="18">
        <f t="shared" si="199"/>
        <v>4.2997818503703655E-2</v>
      </c>
      <c r="U1079" s="23">
        <v>3.9436374627093151E-2</v>
      </c>
      <c r="V1079" s="23">
        <f t="shared" si="200"/>
        <v>4.2997309494882563E-2</v>
      </c>
      <c r="W1079" s="22">
        <f t="shared" si="203"/>
        <v>3.5143751007469248E-3</v>
      </c>
      <c r="X1079" s="23">
        <v>3.916329962559395E-2</v>
      </c>
      <c r="Y1079" s="23">
        <f t="shared" si="204"/>
        <v>4.2997434157687753E-2</v>
      </c>
      <c r="Z1079" s="22">
        <f t="shared" si="205"/>
        <v>3.5143851724115382E-3</v>
      </c>
      <c r="AA1079" s="33"/>
      <c r="AB1079" s="50">
        <f t="shared" si="201"/>
        <v>1066</v>
      </c>
      <c r="AC1079" s="48">
        <f t="shared" si="196"/>
        <v>0.10254643473674327</v>
      </c>
      <c r="AE1079" s="48">
        <f t="shared" si="202"/>
        <v>0.9978280811333714</v>
      </c>
      <c r="AF1079" s="48">
        <f t="shared" si="206"/>
        <v>0.10254643473674321</v>
      </c>
      <c r="AH1079" s="48">
        <f t="shared" si="207"/>
        <v>0</v>
      </c>
    </row>
    <row r="1080" spans="4:34" ht="13.9" customHeight="1">
      <c r="D1080" s="8"/>
      <c r="E1080" s="9"/>
      <c r="F1080" s="18"/>
      <c r="G1080" s="18"/>
      <c r="H1080" s="18"/>
      <c r="J1080" s="40"/>
      <c r="K1080" s="40"/>
      <c r="L1080" s="40"/>
      <c r="M1080" s="38"/>
      <c r="O1080" s="12">
        <f t="shared" si="197"/>
        <v>88.916666666666671</v>
      </c>
      <c r="P1080" s="13">
        <v>1067</v>
      </c>
      <c r="Q1080" s="21">
        <v>2.5969115277580057E-2</v>
      </c>
      <c r="R1080" s="18">
        <f t="shared" si="198"/>
        <v>2.6435313532254812E-2</v>
      </c>
      <c r="S1080" s="21">
        <v>3.8077920206942339E-2</v>
      </c>
      <c r="T1080" s="18">
        <f t="shared" si="199"/>
        <v>4.2997842450279267E-2</v>
      </c>
      <c r="U1080" s="23">
        <v>3.9439706262404117E-2</v>
      </c>
      <c r="V1080" s="23">
        <f t="shared" si="200"/>
        <v>4.2997337417383541E-2</v>
      </c>
      <c r="W1080" s="22">
        <f t="shared" si="203"/>
        <v>3.5143773629950914E-3</v>
      </c>
      <c r="X1080" s="23">
        <v>3.916688639710908E-2</v>
      </c>
      <c r="Y1080" s="23">
        <f t="shared" si="204"/>
        <v>4.2997461134409276E-2</v>
      </c>
      <c r="Z1080" s="22">
        <f t="shared" si="205"/>
        <v>3.5143873582996754E-3</v>
      </c>
      <c r="AA1080" s="33"/>
      <c r="AB1080" s="50">
        <f t="shared" si="201"/>
        <v>1067</v>
      </c>
      <c r="AC1080" s="48">
        <f t="shared" si="196"/>
        <v>0.1023237097681461</v>
      </c>
      <c r="AE1080" s="48">
        <f t="shared" si="202"/>
        <v>0.99782805741448544</v>
      </c>
      <c r="AF1080" s="48">
        <f t="shared" si="206"/>
        <v>0.1023237097681458</v>
      </c>
      <c r="AH1080" s="48">
        <f t="shared" si="207"/>
        <v>-3.0531133177191805E-16</v>
      </c>
    </row>
    <row r="1081" spans="4:34" ht="13.9" customHeight="1">
      <c r="D1081" s="8"/>
      <c r="E1081" s="9"/>
      <c r="F1081" s="18"/>
      <c r="G1081" s="18"/>
      <c r="H1081" s="18"/>
      <c r="J1081" s="40"/>
      <c r="K1081" s="40"/>
      <c r="L1081" s="40"/>
      <c r="M1081" s="38"/>
      <c r="O1081" s="12">
        <f t="shared" si="197"/>
        <v>89</v>
      </c>
      <c r="P1081" s="13">
        <v>1068</v>
      </c>
      <c r="Q1081" s="21">
        <v>2.5969551693746817E-2</v>
      </c>
      <c r="R1081" s="18">
        <f t="shared" si="198"/>
        <v>2.6435601476633153E-2</v>
      </c>
      <c r="S1081" s="21">
        <v>3.8082516003706157E-2</v>
      </c>
      <c r="T1081" s="18">
        <f t="shared" si="199"/>
        <v>4.2997866133271945E-2</v>
      </c>
      <c r="U1081" s="23">
        <v>3.9443031695401976E-2</v>
      </c>
      <c r="V1081" s="23">
        <f t="shared" si="200"/>
        <v>4.2997365050233105E-2</v>
      </c>
      <c r="W1081" s="22">
        <f t="shared" si="203"/>
        <v>3.5143796017855777E-3</v>
      </c>
      <c r="X1081" s="23">
        <v>3.9170466489335309E-2</v>
      </c>
      <c r="Y1081" s="23">
        <f t="shared" si="204"/>
        <v>4.2997487826924141E-2</v>
      </c>
      <c r="Z1081" s="22">
        <f t="shared" si="205"/>
        <v>3.5143895212585985E-3</v>
      </c>
      <c r="AA1081" s="33"/>
      <c r="AB1081" s="50">
        <f t="shared" si="201"/>
        <v>1068</v>
      </c>
      <c r="AC1081" s="48">
        <f t="shared" si="196"/>
        <v>0.10210146613853946</v>
      </c>
      <c r="AE1081" s="48">
        <f t="shared" si="202"/>
        <v>0.99782803389253705</v>
      </c>
      <c r="AF1081" s="48">
        <f t="shared" si="206"/>
        <v>0.1021014661385395</v>
      </c>
      <c r="AH1081" s="48">
        <f t="shared" si="207"/>
        <v>0</v>
      </c>
    </row>
    <row r="1082" spans="4:34" ht="13.9" customHeight="1">
      <c r="D1082" s="8"/>
      <c r="E1082" s="9"/>
      <c r="F1082" s="18"/>
      <c r="G1082" s="18"/>
      <c r="H1082" s="18"/>
      <c r="J1082" s="40"/>
      <c r="K1082" s="40"/>
      <c r="L1082" s="40"/>
      <c r="M1082" s="38"/>
      <c r="O1082" s="12">
        <f t="shared" si="197"/>
        <v>89.083333333333329</v>
      </c>
      <c r="P1082" s="13">
        <v>1069</v>
      </c>
      <c r="Q1082" s="21">
        <v>2.5969987562840968E-2</v>
      </c>
      <c r="R1082" s="18">
        <f t="shared" si="198"/>
        <v>2.6435887030144656E-2</v>
      </c>
      <c r="S1082" s="21">
        <v>3.8087103244499598E-2</v>
      </c>
      <c r="T1082" s="18">
        <f t="shared" si="199"/>
        <v>4.2997889556818158E-2</v>
      </c>
      <c r="U1082" s="23">
        <v>3.9446350943192821E-2</v>
      </c>
      <c r="V1082" s="23">
        <f t="shared" si="200"/>
        <v>4.2997392396088907E-2</v>
      </c>
      <c r="W1082" s="22">
        <f t="shared" si="203"/>
        <v>3.5143818173521968E-3</v>
      </c>
      <c r="X1082" s="23">
        <v>3.9174039920718107E-2</v>
      </c>
      <c r="Y1082" s="23">
        <f t="shared" si="204"/>
        <v>4.2997514239204948E-2</v>
      </c>
      <c r="Z1082" s="22">
        <f t="shared" si="205"/>
        <v>3.514391661430194E-3</v>
      </c>
      <c r="AA1082" s="33"/>
      <c r="AB1082" s="50">
        <f t="shared" si="201"/>
        <v>1069</v>
      </c>
      <c r="AC1082" s="48">
        <f t="shared" si="196"/>
        <v>0.10187970283288486</v>
      </c>
      <c r="AE1082" s="48">
        <f t="shared" si="202"/>
        <v>0.99782801056593873</v>
      </c>
      <c r="AF1082" s="48">
        <f t="shared" si="206"/>
        <v>0.10187970283288443</v>
      </c>
      <c r="AH1082" s="48">
        <f t="shared" si="207"/>
        <v>-4.3021142204224816E-16</v>
      </c>
    </row>
    <row r="1083" spans="4:34" ht="13.9" customHeight="1">
      <c r="D1083" s="8"/>
      <c r="E1083" s="9"/>
      <c r="F1083" s="18"/>
      <c r="G1083" s="18"/>
      <c r="H1083" s="18"/>
      <c r="J1083" s="40"/>
      <c r="K1083" s="40"/>
      <c r="L1083" s="40"/>
      <c r="M1083" s="38"/>
      <c r="O1083" s="12">
        <f t="shared" si="197"/>
        <v>89.166666666666671</v>
      </c>
      <c r="P1083" s="13">
        <v>1070</v>
      </c>
      <c r="Q1083" s="21">
        <v>2.5970422884162625E-2</v>
      </c>
      <c r="R1083" s="18">
        <f t="shared" si="198"/>
        <v>2.6436170212184029E-2</v>
      </c>
      <c r="S1083" s="21">
        <v>3.8091681953013268E-2</v>
      </c>
      <c r="T1083" s="18">
        <f t="shared" si="199"/>
        <v>4.2997912723327092E-2</v>
      </c>
      <c r="U1083" s="23">
        <v>3.9449664022821906E-2</v>
      </c>
      <c r="V1083" s="23">
        <f t="shared" si="200"/>
        <v>4.2997419457886821E-2</v>
      </c>
      <c r="W1083" s="22">
        <f t="shared" si="203"/>
        <v>3.5143840099081114E-3</v>
      </c>
      <c r="X1083" s="23">
        <v>3.9177606709637436E-2</v>
      </c>
      <c r="Y1083" s="23">
        <f t="shared" si="204"/>
        <v>4.2997540373481469E-2</v>
      </c>
      <c r="Z1083" s="22">
        <f t="shared" si="205"/>
        <v>3.5143937791330959E-3</v>
      </c>
      <c r="AA1083" s="33"/>
      <c r="AB1083" s="50">
        <f t="shared" si="201"/>
        <v>1070</v>
      </c>
      <c r="AC1083" s="48">
        <f t="shared" si="196"/>
        <v>0.10165841883801313</v>
      </c>
      <c r="AE1083" s="48">
        <f t="shared" si="202"/>
        <v>0.99782798743303369</v>
      </c>
      <c r="AF1083" s="48">
        <f t="shared" si="206"/>
        <v>0.10165841883801262</v>
      </c>
      <c r="AH1083" s="48">
        <f t="shared" si="207"/>
        <v>-5.134781488891349E-16</v>
      </c>
    </row>
    <row r="1084" spans="4:34" ht="13.9" customHeight="1">
      <c r="D1084" s="8"/>
      <c r="E1084" s="9"/>
      <c r="F1084" s="18"/>
      <c r="G1084" s="18"/>
      <c r="H1084" s="18"/>
      <c r="J1084" s="40"/>
      <c r="K1084" s="40"/>
      <c r="L1084" s="40"/>
      <c r="M1084" s="38"/>
      <c r="O1084" s="12">
        <f t="shared" si="197"/>
        <v>89.25</v>
      </c>
      <c r="P1084" s="13">
        <v>1071</v>
      </c>
      <c r="Q1084" s="21">
        <v>2.5970857657032775E-2</v>
      </c>
      <c r="R1084" s="18">
        <f t="shared" si="198"/>
        <v>2.6436451043300169E-2</v>
      </c>
      <c r="S1084" s="21">
        <v>3.8096252152852284E-2</v>
      </c>
      <c r="T1084" s="18">
        <f t="shared" si="199"/>
        <v>4.2997935635126217E-2</v>
      </c>
      <c r="U1084" s="23">
        <v>3.9452970951273203E-2</v>
      </c>
      <c r="V1084" s="23">
        <f t="shared" si="200"/>
        <v>4.2997446239576353E-2</v>
      </c>
      <c r="W1084" s="22">
        <f t="shared" si="203"/>
        <v>3.5143861796884668E-3</v>
      </c>
      <c r="X1084" s="23">
        <v>3.9181166874407092E-2</v>
      </c>
      <c r="Y1084" s="23">
        <f t="shared" si="204"/>
        <v>4.2997566233134776E-2</v>
      </c>
      <c r="Z1084" s="22">
        <f t="shared" si="205"/>
        <v>3.5143958745456061E-3</v>
      </c>
      <c r="AA1084" s="33"/>
      <c r="AB1084" s="50">
        <f t="shared" si="201"/>
        <v>1071</v>
      </c>
      <c r="AC1084" s="48">
        <f t="shared" si="196"/>
        <v>0.1014376131426345</v>
      </c>
      <c r="AE1084" s="48">
        <f t="shared" si="202"/>
        <v>0.99782796449225009</v>
      </c>
      <c r="AF1084" s="48">
        <f t="shared" si="206"/>
        <v>0.10143761314263475</v>
      </c>
      <c r="AH1084" s="48">
        <f t="shared" si="207"/>
        <v>2.4980018054066022E-16</v>
      </c>
    </row>
    <row r="1085" spans="4:34" ht="13.9" customHeight="1">
      <c r="D1085" s="8"/>
      <c r="E1085" s="9"/>
      <c r="F1085" s="18"/>
      <c r="G1085" s="18"/>
      <c r="H1085" s="18"/>
      <c r="J1085" s="40"/>
      <c r="K1085" s="40"/>
      <c r="L1085" s="40"/>
      <c r="M1085" s="38"/>
      <c r="O1085" s="12">
        <f t="shared" si="197"/>
        <v>89.333333333333329</v>
      </c>
      <c r="P1085" s="13">
        <v>1072</v>
      </c>
      <c r="Q1085" s="21">
        <v>2.5971291880793723E-2</v>
      </c>
      <c r="R1085" s="18">
        <f t="shared" si="198"/>
        <v>2.6436729541539306E-2</v>
      </c>
      <c r="S1085" s="21">
        <v>3.810081386753561E-2</v>
      </c>
      <c r="T1085" s="18">
        <f t="shared" si="199"/>
        <v>4.2997958295744709E-2</v>
      </c>
      <c r="U1085" s="23">
        <v>3.9456271745471172E-2</v>
      </c>
      <c r="V1085" s="23">
        <f t="shared" si="200"/>
        <v>4.2997472742518861E-2</v>
      </c>
      <c r="W1085" s="22">
        <f t="shared" si="203"/>
        <v>3.5143883270101206E-3</v>
      </c>
      <c r="X1085" s="23">
        <v>3.918472043327581E-2</v>
      </c>
      <c r="Y1085" s="23">
        <f t="shared" si="204"/>
        <v>4.2997591821006154E-2</v>
      </c>
      <c r="Z1085" s="22">
        <f t="shared" si="205"/>
        <v>3.5143979479392851E-3</v>
      </c>
      <c r="AA1085" s="33"/>
      <c r="AB1085" s="50">
        <f t="shared" si="201"/>
        <v>1072</v>
      </c>
      <c r="AC1085" s="48">
        <f t="shared" si="196"/>
        <v>0.10121728473732908</v>
      </c>
      <c r="AE1085" s="48">
        <f t="shared" si="202"/>
        <v>0.99782794174192313</v>
      </c>
      <c r="AF1085" s="48">
        <f t="shared" si="206"/>
        <v>0.10121728473732867</v>
      </c>
      <c r="AH1085" s="48">
        <f t="shared" si="207"/>
        <v>-4.0245584642661925E-16</v>
      </c>
    </row>
    <row r="1086" spans="4:34" ht="13.9" customHeight="1">
      <c r="D1086" s="8"/>
      <c r="E1086" s="9"/>
      <c r="F1086" s="18"/>
      <c r="G1086" s="18"/>
      <c r="H1086" s="18"/>
      <c r="J1086" s="40"/>
      <c r="K1086" s="40"/>
      <c r="L1086" s="40"/>
      <c r="M1086" s="38"/>
      <c r="O1086" s="12">
        <f t="shared" si="197"/>
        <v>89.416666666666671</v>
      </c>
      <c r="P1086" s="13">
        <v>1073</v>
      </c>
      <c r="Q1086" s="21">
        <v>2.5971725554807534E-2</v>
      </c>
      <c r="R1086" s="18">
        <f t="shared" si="198"/>
        <v>2.6437005727806717E-2</v>
      </c>
      <c r="S1086" s="21">
        <v>3.8105367120498279E-2</v>
      </c>
      <c r="T1086" s="18">
        <f t="shared" si="199"/>
        <v>4.2997980707393246E-2</v>
      </c>
      <c r="U1086" s="23">
        <v>3.9459566422278769E-2</v>
      </c>
      <c r="V1086" s="23">
        <f t="shared" si="200"/>
        <v>4.2997498970680059E-2</v>
      </c>
      <c r="W1086" s="22">
        <f t="shared" si="203"/>
        <v>3.5143904519820968E-3</v>
      </c>
      <c r="X1086" s="23">
        <v>3.9188267404426824E-2</v>
      </c>
      <c r="Y1086" s="23">
        <f t="shared" si="204"/>
        <v>4.2997617139529209E-2</v>
      </c>
      <c r="Z1086" s="22">
        <f t="shared" si="205"/>
        <v>3.5143999995419506E-3</v>
      </c>
      <c r="AA1086" s="33"/>
      <c r="AB1086" s="50">
        <f t="shared" si="201"/>
        <v>1073</v>
      </c>
      <c r="AC1086" s="48">
        <f t="shared" si="196"/>
        <v>0.10099743261455828</v>
      </c>
      <c r="AE1086" s="48">
        <f t="shared" si="202"/>
        <v>0.99782791918059111</v>
      </c>
      <c r="AF1086" s="48">
        <f t="shared" si="206"/>
        <v>0.10099743261455807</v>
      </c>
      <c r="AH1086" s="48">
        <f t="shared" si="207"/>
        <v>-2.0816681711721685E-16</v>
      </c>
    </row>
    <row r="1087" spans="4:34" ht="13.9" customHeight="1">
      <c r="D1087" s="8"/>
      <c r="E1087" s="9"/>
      <c r="F1087" s="18"/>
      <c r="G1087" s="18"/>
      <c r="H1087" s="18"/>
      <c r="J1087" s="40"/>
      <c r="K1087" s="40"/>
      <c r="L1087" s="40"/>
      <c r="M1087" s="38"/>
      <c r="O1087" s="12">
        <f t="shared" si="197"/>
        <v>89.5</v>
      </c>
      <c r="P1087" s="13">
        <v>1074</v>
      </c>
      <c r="Q1087" s="21">
        <v>2.5972158678457813E-2</v>
      </c>
      <c r="R1087" s="18">
        <f t="shared" si="198"/>
        <v>2.6437279620427967E-2</v>
      </c>
      <c r="S1087" s="21">
        <v>3.8109911935090279E-2</v>
      </c>
      <c r="T1087" s="18">
        <f t="shared" si="199"/>
        <v>4.2998002873312569E-2</v>
      </c>
      <c r="U1087" s="23">
        <v>3.9462854998499886E-2</v>
      </c>
      <c r="V1087" s="23">
        <f t="shared" si="200"/>
        <v>4.2997524926883468E-2</v>
      </c>
      <c r="W1087" s="22">
        <f t="shared" si="203"/>
        <v>3.5143925549223631E-3</v>
      </c>
      <c r="X1087" s="23">
        <v>3.9191807805978307E-2</v>
      </c>
      <c r="Y1087" s="23">
        <f t="shared" si="204"/>
        <v>4.2997642192127428E-2</v>
      </c>
      <c r="Z1087" s="22">
        <f t="shared" si="205"/>
        <v>3.5144020295483358E-3</v>
      </c>
      <c r="AA1087" s="33"/>
      <c r="AB1087" s="50">
        <f t="shared" si="201"/>
        <v>1074</v>
      </c>
      <c r="AC1087" s="48">
        <f t="shared" si="196"/>
        <v>0.10077805576864651</v>
      </c>
      <c r="AE1087" s="48">
        <f t="shared" si="202"/>
        <v>0.99782789680656003</v>
      </c>
      <c r="AF1087" s="48">
        <f t="shared" si="206"/>
        <v>0.10077805576864675</v>
      </c>
      <c r="AH1087" s="48">
        <f t="shared" si="207"/>
        <v>2.3592239273284576E-16</v>
      </c>
    </row>
    <row r="1088" spans="4:34" ht="13.9" customHeight="1">
      <c r="D1088" s="8"/>
      <c r="E1088" s="9"/>
      <c r="F1088" s="18"/>
      <c r="G1088" s="18"/>
      <c r="H1088" s="18"/>
      <c r="J1088" s="40"/>
      <c r="K1088" s="40"/>
      <c r="L1088" s="40"/>
      <c r="M1088" s="38"/>
      <c r="O1088" s="12">
        <f t="shared" si="197"/>
        <v>89.583333333333329</v>
      </c>
      <c r="P1088" s="13">
        <v>1075</v>
      </c>
      <c r="Q1088" s="21">
        <v>2.5972591251147481E-2</v>
      </c>
      <c r="R1088" s="18">
        <f t="shared" si="198"/>
        <v>2.6437551239234747E-2</v>
      </c>
      <c r="S1088" s="21">
        <v>3.8114448334577888E-2</v>
      </c>
      <c r="T1088" s="18">
        <f t="shared" si="199"/>
        <v>4.2998024795756651E-2</v>
      </c>
      <c r="U1088" s="23">
        <v>3.9466137490878239E-2</v>
      </c>
      <c r="V1088" s="23">
        <f t="shared" si="200"/>
        <v>4.2997550613443458E-2</v>
      </c>
      <c r="W1088" s="22">
        <f t="shared" si="203"/>
        <v>3.5143946360574052E-3</v>
      </c>
      <c r="X1088" s="23">
        <v>3.919534165598404E-2</v>
      </c>
      <c r="Y1088" s="23">
        <f t="shared" si="204"/>
        <v>4.2997666981269944E-2</v>
      </c>
      <c r="Z1088" s="22">
        <f t="shared" si="205"/>
        <v>3.5144040382331099E-3</v>
      </c>
      <c r="AA1088" s="33"/>
      <c r="AB1088" s="50">
        <f t="shared" si="201"/>
        <v>1075</v>
      </c>
      <c r="AC1088" s="48">
        <f t="shared" si="196"/>
        <v>0.10055915319579743</v>
      </c>
      <c r="AE1088" s="48">
        <f t="shared" si="202"/>
        <v>0.9978278746183451</v>
      </c>
      <c r="AF1088" s="48">
        <f t="shared" si="206"/>
        <v>0.10055915319579783</v>
      </c>
      <c r="AH1088" s="48">
        <f t="shared" si="207"/>
        <v>4.0245584642661925E-16</v>
      </c>
    </row>
    <row r="1089" spans="4:34" ht="13.9" customHeight="1">
      <c r="D1089" s="8"/>
      <c r="E1089" s="9"/>
      <c r="F1089" s="18"/>
      <c r="G1089" s="18"/>
      <c r="H1089" s="18"/>
      <c r="J1089" s="40"/>
      <c r="K1089" s="40"/>
      <c r="L1089" s="40"/>
      <c r="M1089" s="38"/>
      <c r="O1089" s="12">
        <f t="shared" si="197"/>
        <v>89.666666666666671</v>
      </c>
      <c r="P1089" s="13">
        <v>1076</v>
      </c>
      <c r="Q1089" s="21">
        <v>2.5973023272300111E-2</v>
      </c>
      <c r="R1089" s="18">
        <f t="shared" si="198"/>
        <v>2.6437820601780571E-2</v>
      </c>
      <c r="S1089" s="21">
        <v>3.8118976342143007E-2</v>
      </c>
      <c r="T1089" s="18">
        <f t="shared" si="199"/>
        <v>4.2998046477346064E-2</v>
      </c>
      <c r="U1089" s="23">
        <v>3.946941391609804E-2</v>
      </c>
      <c r="V1089" s="23">
        <f t="shared" si="200"/>
        <v>4.2997576033239504E-2</v>
      </c>
      <c r="W1089" s="22">
        <f t="shared" si="203"/>
        <v>3.5143966955726302E-3</v>
      </c>
      <c r="X1089" s="23">
        <v>3.9198868972433409E-2</v>
      </c>
      <c r="Y1089" s="23">
        <f t="shared" si="204"/>
        <v>4.2997691509636393E-2</v>
      </c>
      <c r="Z1089" s="22">
        <f t="shared" si="205"/>
        <v>3.5144060257945586E-3</v>
      </c>
      <c r="AA1089" s="33"/>
      <c r="AB1089" s="50">
        <f t="shared" si="201"/>
        <v>1076</v>
      </c>
      <c r="AC1089" s="48">
        <f t="shared" si="196"/>
        <v>0.10034072389407939</v>
      </c>
      <c r="AE1089" s="48">
        <f t="shared" si="202"/>
        <v>0.99782785261433971</v>
      </c>
      <c r="AF1089" s="48">
        <f t="shared" si="206"/>
        <v>0.10034072389407937</v>
      </c>
      <c r="AH1089" s="48">
        <f t="shared" si="207"/>
        <v>0</v>
      </c>
    </row>
    <row r="1090" spans="4:34" ht="13.9" customHeight="1">
      <c r="D1090" s="8"/>
      <c r="E1090" s="9"/>
      <c r="F1090" s="18"/>
      <c r="G1090" s="18"/>
      <c r="H1090" s="18"/>
      <c r="J1090" s="40"/>
      <c r="K1090" s="40"/>
      <c r="L1090" s="40"/>
      <c r="M1090" s="38"/>
      <c r="O1090" s="12">
        <f t="shared" si="197"/>
        <v>89.75</v>
      </c>
      <c r="P1090" s="13">
        <v>1077</v>
      </c>
      <c r="Q1090" s="21">
        <v>2.5973454741357926E-2</v>
      </c>
      <c r="R1090" s="18">
        <f t="shared" si="198"/>
        <v>2.6438087728214654E-2</v>
      </c>
      <c r="S1090" s="21">
        <v>3.8123495980884492E-2</v>
      </c>
      <c r="T1090" s="18">
        <f t="shared" si="199"/>
        <v>4.2998067921133032E-2</v>
      </c>
      <c r="U1090" s="23">
        <v>3.9472684290783988E-2</v>
      </c>
      <c r="V1090" s="23">
        <f t="shared" si="200"/>
        <v>4.2997601189790791E-2</v>
      </c>
      <c r="W1090" s="22">
        <f t="shared" si="203"/>
        <v>3.5143987336991866E-3</v>
      </c>
      <c r="X1090" s="23">
        <v>3.9202389773251189E-2</v>
      </c>
      <c r="Y1090" s="23">
        <f t="shared" si="204"/>
        <v>4.299771578033984E-2</v>
      </c>
      <c r="Z1090" s="22">
        <f t="shared" si="205"/>
        <v>3.5144079924471772E-3</v>
      </c>
      <c r="AA1090" s="33"/>
      <c r="AB1090" s="50">
        <f t="shared" si="201"/>
        <v>1077</v>
      </c>
      <c r="AC1090" s="48">
        <f t="shared" si="196"/>
        <v>0.10012276686344057</v>
      </c>
      <c r="AE1090" s="48">
        <f t="shared" si="202"/>
        <v>0.99782783079312143</v>
      </c>
      <c r="AF1090" s="48">
        <f t="shared" si="206"/>
        <v>0.10012276686344075</v>
      </c>
      <c r="AH1090" s="48">
        <f t="shared" si="207"/>
        <v>1.8041124150158794E-16</v>
      </c>
    </row>
    <row r="1091" spans="4:34" ht="13.9" customHeight="1">
      <c r="D1091" s="8"/>
      <c r="E1091" s="9"/>
      <c r="F1091" s="18"/>
      <c r="G1091" s="18"/>
      <c r="H1091" s="18"/>
      <c r="J1091" s="40"/>
      <c r="K1091" s="40"/>
      <c r="L1091" s="40"/>
      <c r="M1091" s="38"/>
      <c r="O1091" s="12">
        <f t="shared" si="197"/>
        <v>89.833333333333329</v>
      </c>
      <c r="P1091" s="13">
        <v>1078</v>
      </c>
      <c r="Q1091" s="21">
        <v>2.597388565778358E-2</v>
      </c>
      <c r="R1091" s="18">
        <f t="shared" si="198"/>
        <v>2.6438352636212636E-2</v>
      </c>
      <c r="S1091" s="21">
        <v>3.8128007273817932E-2</v>
      </c>
      <c r="T1091" s="18">
        <f t="shared" si="199"/>
        <v>4.2998089129655748E-2</v>
      </c>
      <c r="U1091" s="23">
        <v>3.9475948631502611E-2</v>
      </c>
      <c r="V1091" s="23">
        <f t="shared" si="200"/>
        <v>4.2997626084866125E-2</v>
      </c>
      <c r="W1091" s="22">
        <f t="shared" si="203"/>
        <v>3.5144007507188491E-3</v>
      </c>
      <c r="X1091" s="23">
        <v>3.9205904076299092E-2</v>
      </c>
      <c r="Y1091" s="23">
        <f t="shared" si="204"/>
        <v>4.299773979595356E-2</v>
      </c>
      <c r="Z1091" s="22">
        <f t="shared" si="205"/>
        <v>3.5144099384405436E-3</v>
      </c>
      <c r="AA1091" s="33"/>
      <c r="AB1091" s="50">
        <f t="shared" si="201"/>
        <v>1078</v>
      </c>
      <c r="AC1091" s="48">
        <f t="shared" si="196"/>
        <v>9.9905281105689733E-2</v>
      </c>
      <c r="AE1091" s="48">
        <f t="shared" si="202"/>
        <v>0.99782780915305835</v>
      </c>
      <c r="AF1091" s="48">
        <f t="shared" si="206"/>
        <v>9.9905281105689511E-2</v>
      </c>
      <c r="AH1091" s="48">
        <f t="shared" si="207"/>
        <v>-2.2204460492503131E-16</v>
      </c>
    </row>
    <row r="1092" spans="4:34" ht="13.9" customHeight="1">
      <c r="D1092" s="8"/>
      <c r="E1092" s="9"/>
      <c r="F1092" s="18"/>
      <c r="G1092" s="18"/>
      <c r="H1092" s="18"/>
      <c r="J1092" s="40"/>
      <c r="K1092" s="40"/>
      <c r="L1092" s="40"/>
      <c r="M1092" s="38"/>
      <c r="O1092" s="12">
        <f t="shared" si="197"/>
        <v>89.916666666666671</v>
      </c>
      <c r="P1092" s="13">
        <v>1079</v>
      </c>
      <c r="Q1092" s="21">
        <v>2.5974316021058375E-2</v>
      </c>
      <c r="R1092" s="18">
        <f t="shared" si="198"/>
        <v>2.6438615345061534E-2</v>
      </c>
      <c r="S1092" s="21">
        <v>3.8132510243876538E-2</v>
      </c>
      <c r="T1092" s="18">
        <f t="shared" si="199"/>
        <v>4.2998110105250342E-2</v>
      </c>
      <c r="U1092" s="23">
        <v>3.9479206954760704E-2</v>
      </c>
      <c r="V1092" s="23">
        <f t="shared" si="200"/>
        <v>4.2997650721369629E-2</v>
      </c>
      <c r="W1092" s="22">
        <f t="shared" si="203"/>
        <v>3.514402746773948E-3</v>
      </c>
      <c r="X1092" s="23">
        <v>3.9209411899374658E-2</v>
      </c>
      <c r="Y1092" s="23">
        <f t="shared" si="204"/>
        <v>4.2997763558520363E-2</v>
      </c>
      <c r="Z1092" s="22">
        <f t="shared" si="205"/>
        <v>3.5144118639811595E-3</v>
      </c>
      <c r="AA1092" s="33"/>
      <c r="AB1092" s="50">
        <f t="shared" si="201"/>
        <v>1079</v>
      </c>
      <c r="AC1092" s="48">
        <f t="shared" si="196"/>
        <v>9.9688265624509359E-2</v>
      </c>
      <c r="AE1092" s="48">
        <f t="shared" si="202"/>
        <v>0.99782778769271774</v>
      </c>
      <c r="AF1092" s="48">
        <f t="shared" si="206"/>
        <v>9.9688265624509234E-2</v>
      </c>
      <c r="AH1092" s="48">
        <f t="shared" si="207"/>
        <v>-1.2490009027033011E-16</v>
      </c>
    </row>
    <row r="1093" spans="4:34" ht="13.9" customHeight="1">
      <c r="D1093" s="8"/>
      <c r="E1093" s="9"/>
      <c r="F1093" s="18"/>
      <c r="G1093" s="18"/>
      <c r="H1093" s="18"/>
      <c r="J1093" s="40"/>
      <c r="K1093" s="40"/>
      <c r="L1093" s="40"/>
      <c r="M1093" s="38"/>
      <c r="O1093" s="12">
        <f t="shared" si="197"/>
        <v>90</v>
      </c>
      <c r="P1093" s="13">
        <v>1080</v>
      </c>
      <c r="Q1093" s="21">
        <v>2.5974745830683155E-2</v>
      </c>
      <c r="R1093" s="18">
        <f t="shared" si="198"/>
        <v>2.6438875871716006E-2</v>
      </c>
      <c r="S1093" s="21">
        <v>3.8137004913910921E-2</v>
      </c>
      <c r="T1093" s="18">
        <f t="shared" si="199"/>
        <v>4.2998130850296024E-2</v>
      </c>
      <c r="U1093" s="23">
        <v>3.9482459277006665E-2</v>
      </c>
      <c r="V1093" s="23">
        <f t="shared" si="200"/>
        <v>4.2997675102902644E-2</v>
      </c>
      <c r="W1093" s="22">
        <f t="shared" si="203"/>
        <v>3.5144047220967423E-3</v>
      </c>
      <c r="X1093" s="23">
        <v>3.9212913260211923E-2</v>
      </c>
      <c r="Y1093" s="23">
        <f t="shared" si="204"/>
        <v>4.2997787071731963E-2</v>
      </c>
      <c r="Z1093" s="22">
        <f t="shared" si="205"/>
        <v>3.5144137692328936E-3</v>
      </c>
      <c r="AA1093" s="33"/>
      <c r="AB1093" s="50">
        <f t="shared" si="201"/>
        <v>1080</v>
      </c>
      <c r="AC1093" s="48">
        <f t="shared" si="196"/>
        <v>9.9471719425444374E-2</v>
      </c>
      <c r="AE1093" s="48">
        <f t="shared" si="202"/>
        <v>0.99782776641053739</v>
      </c>
      <c r="AF1093" s="48">
        <f t="shared" si="206"/>
        <v>9.9471719425444402E-2</v>
      </c>
      <c r="AH1093" s="48">
        <f t="shared" si="207"/>
        <v>0</v>
      </c>
    </row>
    <row r="1094" spans="4:34" ht="13.9" customHeight="1">
      <c r="D1094" s="8"/>
      <c r="E1094" s="9"/>
      <c r="F1094" s="18"/>
      <c r="G1094" s="18"/>
      <c r="H1094" s="18"/>
      <c r="J1094" s="40"/>
      <c r="K1094" s="40"/>
      <c r="L1094" s="40"/>
      <c r="M1094" s="38"/>
      <c r="O1094" s="12">
        <f t="shared" si="197"/>
        <v>90.083333333333329</v>
      </c>
      <c r="P1094" s="13">
        <v>1081</v>
      </c>
      <c r="Q1094" s="21">
        <v>2.5975175086176527E-2</v>
      </c>
      <c r="R1094" s="18">
        <f t="shared" si="198"/>
        <v>2.643913423571842E-2</v>
      </c>
      <c r="S1094" s="21">
        <v>3.8141491306689312E-2</v>
      </c>
      <c r="T1094" s="18">
        <f t="shared" si="199"/>
        <v>4.2998151368204063E-2</v>
      </c>
      <c r="U1094" s="23">
        <v>3.9485705614631383E-2</v>
      </c>
      <c r="V1094" s="23">
        <f t="shared" si="200"/>
        <v>4.2997699230498343E-2</v>
      </c>
      <c r="W1094" s="22">
        <f t="shared" si="203"/>
        <v>3.5144066769765558E-3</v>
      </c>
      <c r="X1094" s="23">
        <v>3.9216408176482531E-2</v>
      </c>
      <c r="Y1094" s="23">
        <f t="shared" si="204"/>
        <v>4.2997810337966902E-2</v>
      </c>
      <c r="Z1094" s="22">
        <f t="shared" si="205"/>
        <v>3.5144156544915095E-3</v>
      </c>
      <c r="AA1094" s="33"/>
      <c r="AB1094" s="50">
        <f t="shared" si="201"/>
        <v>1081</v>
      </c>
      <c r="AC1094" s="48">
        <f t="shared" si="196"/>
        <v>9.9255641515917023E-2</v>
      </c>
      <c r="AE1094" s="48">
        <f t="shared" si="202"/>
        <v>0.99782774530514373</v>
      </c>
      <c r="AF1094" s="48">
        <f t="shared" si="206"/>
        <v>9.9255641515917051E-2</v>
      </c>
      <c r="AH1094" s="48">
        <f t="shared" si="207"/>
        <v>0</v>
      </c>
    </row>
    <row r="1095" spans="4:34" ht="13.9" customHeight="1">
      <c r="D1095" s="8"/>
      <c r="E1095" s="9"/>
      <c r="F1095" s="18"/>
      <c r="G1095" s="18"/>
      <c r="H1095" s="18"/>
      <c r="J1095" s="40"/>
      <c r="K1095" s="40"/>
      <c r="L1095" s="40"/>
      <c r="M1095" s="38"/>
      <c r="O1095" s="12">
        <f t="shared" si="197"/>
        <v>90.166666666666671</v>
      </c>
      <c r="P1095" s="13">
        <v>1082</v>
      </c>
      <c r="Q1095" s="21">
        <v>2.597560378707664E-2</v>
      </c>
      <c r="R1095" s="18">
        <f t="shared" si="198"/>
        <v>2.6439390454511713E-2</v>
      </c>
      <c r="S1095" s="21">
        <v>3.8145969444899119E-2</v>
      </c>
      <c r="T1095" s="18">
        <f t="shared" si="199"/>
        <v>4.2998171660418638E-2</v>
      </c>
      <c r="U1095" s="23">
        <v>3.9488945983966461E-2</v>
      </c>
      <c r="V1095" s="23">
        <f t="shared" si="200"/>
        <v>4.2997723108463948E-2</v>
      </c>
      <c r="W1095" s="22">
        <f t="shared" si="203"/>
        <v>3.5144086114957673E-3</v>
      </c>
      <c r="X1095" s="23">
        <v>3.9219896665795062E-2</v>
      </c>
      <c r="Y1095" s="23">
        <f t="shared" si="204"/>
        <v>4.2997833358953352E-2</v>
      </c>
      <c r="Z1095" s="22">
        <f t="shared" si="205"/>
        <v>3.5144175199479655E-3</v>
      </c>
      <c r="AA1095" s="33"/>
      <c r="AB1095" s="50">
        <f t="shared" si="201"/>
        <v>1082</v>
      </c>
      <c r="AC1095" s="48">
        <f t="shared" si="196"/>
        <v>9.9040030905203566E-2</v>
      </c>
      <c r="AE1095" s="48">
        <f t="shared" si="202"/>
        <v>0.99782772437495304</v>
      </c>
      <c r="AF1095" s="48">
        <f t="shared" si="206"/>
        <v>9.9040030905203622E-2</v>
      </c>
      <c r="AH1095" s="48">
        <f t="shared" si="207"/>
        <v>0</v>
      </c>
    </row>
    <row r="1096" spans="4:34" ht="13.9" customHeight="1">
      <c r="D1096" s="8"/>
      <c r="E1096" s="9"/>
      <c r="F1096" s="18"/>
      <c r="G1096" s="18"/>
      <c r="H1096" s="18"/>
      <c r="J1096" s="40"/>
      <c r="K1096" s="40"/>
      <c r="L1096" s="40"/>
      <c r="M1096" s="38"/>
      <c r="O1096" s="12">
        <f t="shared" si="197"/>
        <v>90.25</v>
      </c>
      <c r="P1096" s="13">
        <v>1083</v>
      </c>
      <c r="Q1096" s="21">
        <v>2.5976031932939625E-2</v>
      </c>
      <c r="R1096" s="18">
        <f t="shared" si="198"/>
        <v>2.6439644545333874E-2</v>
      </c>
      <c r="S1096" s="21">
        <v>3.8150439351145815E-2</v>
      </c>
      <c r="T1096" s="18">
        <f t="shared" si="199"/>
        <v>4.2998191730281521E-2</v>
      </c>
      <c r="U1096" s="23">
        <v>3.9492180401287102E-2</v>
      </c>
      <c r="V1096" s="23">
        <f t="shared" si="200"/>
        <v>4.2997746738225873E-2</v>
      </c>
      <c r="W1096" s="22">
        <f t="shared" si="203"/>
        <v>3.5144105260001002E-3</v>
      </c>
      <c r="X1096" s="23">
        <v>3.9223378745695259E-2</v>
      </c>
      <c r="Y1096" s="23">
        <f t="shared" si="204"/>
        <v>4.2997856138192292E-2</v>
      </c>
      <c r="Z1096" s="22">
        <f t="shared" si="205"/>
        <v>3.5144193657403733E-3</v>
      </c>
      <c r="AA1096" s="33"/>
      <c r="AB1096" s="50">
        <f t="shared" si="201"/>
        <v>1083</v>
      </c>
      <c r="AC1096" s="48">
        <f t="shared" si="196"/>
        <v>9.8824886604450074E-2</v>
      </c>
      <c r="AE1096" s="48">
        <f t="shared" si="202"/>
        <v>0.99782770361855277</v>
      </c>
      <c r="AF1096" s="48">
        <f t="shared" si="206"/>
        <v>9.8824886604449824E-2</v>
      </c>
      <c r="AH1096" s="48">
        <f t="shared" si="207"/>
        <v>-2.4980018054066022E-16</v>
      </c>
    </row>
    <row r="1097" spans="4:34" ht="13.9" customHeight="1">
      <c r="D1097" s="8"/>
      <c r="E1097" s="9"/>
      <c r="F1097" s="18"/>
      <c r="G1097" s="18"/>
      <c r="H1097" s="18"/>
      <c r="J1097" s="40"/>
      <c r="K1097" s="40"/>
      <c r="L1097" s="40"/>
      <c r="M1097" s="38"/>
      <c r="O1097" s="12">
        <f t="shared" si="197"/>
        <v>90.333333333333329</v>
      </c>
      <c r="P1097" s="13">
        <v>1084</v>
      </c>
      <c r="Q1097" s="21">
        <v>2.5976459523339157E-2</v>
      </c>
      <c r="R1097" s="18">
        <f t="shared" si="198"/>
        <v>2.6439896526384121E-2</v>
      </c>
      <c r="S1097" s="21">
        <v>3.8154901047954271E-2</v>
      </c>
      <c r="T1097" s="18">
        <f t="shared" si="199"/>
        <v>4.2998211579352574E-2</v>
      </c>
      <c r="U1097" s="23">
        <v>3.9495408882809668E-2</v>
      </c>
      <c r="V1097" s="23">
        <f t="shared" si="200"/>
        <v>4.2997770122962242E-2</v>
      </c>
      <c r="W1097" s="22">
        <f t="shared" si="203"/>
        <v>3.5144124206036853E-3</v>
      </c>
      <c r="X1097" s="23">
        <v>3.9226854433666691E-2</v>
      </c>
      <c r="Y1097" s="23">
        <f t="shared" si="204"/>
        <v>4.2997878677877299E-2</v>
      </c>
      <c r="Z1097" s="22">
        <f t="shared" si="205"/>
        <v>3.5144211921500634E-3</v>
      </c>
      <c r="AA1097" s="33"/>
      <c r="AB1097" s="50">
        <f t="shared" si="201"/>
        <v>1084</v>
      </c>
      <c r="AC1097" s="48">
        <f t="shared" si="196"/>
        <v>9.8610207626670346E-2</v>
      </c>
      <c r="AE1097" s="48">
        <f t="shared" si="202"/>
        <v>0.99782768303454561</v>
      </c>
      <c r="AF1097" s="48">
        <f t="shared" si="206"/>
        <v>9.8610207626669874E-2</v>
      </c>
      <c r="AH1097" s="48">
        <f t="shared" si="207"/>
        <v>-4.7184478546569153E-16</v>
      </c>
    </row>
    <row r="1098" spans="4:34" ht="13.9" customHeight="1">
      <c r="D1098" s="8"/>
      <c r="E1098" s="9"/>
      <c r="F1098" s="18"/>
      <c r="G1098" s="18"/>
      <c r="H1098" s="18"/>
      <c r="J1098" s="40"/>
      <c r="K1098" s="40"/>
      <c r="L1098" s="40"/>
      <c r="M1098" s="38"/>
      <c r="O1098" s="12">
        <f t="shared" si="197"/>
        <v>90.416666666666671</v>
      </c>
      <c r="P1098" s="13">
        <v>1085</v>
      </c>
      <c r="Q1098" s="21">
        <v>2.597688655786734E-2</v>
      </c>
      <c r="R1098" s="18">
        <f t="shared" si="198"/>
        <v>2.6440146415350085E-2</v>
      </c>
      <c r="S1098" s="21">
        <v>3.815935455776831E-2</v>
      </c>
      <c r="T1098" s="18">
        <f t="shared" si="199"/>
        <v>4.2998231211062832E-2</v>
      </c>
      <c r="U1098" s="23">
        <v>3.9498631444694121E-2</v>
      </c>
      <c r="V1098" s="23">
        <f t="shared" si="200"/>
        <v>4.2997793264792028E-2</v>
      </c>
      <c r="W1098" s="22">
        <f t="shared" si="203"/>
        <v>3.5144142955612079E-3</v>
      </c>
      <c r="X1098" s="23">
        <v>3.9230323747131424E-2</v>
      </c>
      <c r="Y1098" s="23">
        <f t="shared" si="204"/>
        <v>4.2997900980928261E-2</v>
      </c>
      <c r="Z1098" s="22">
        <f t="shared" si="205"/>
        <v>3.5144229993524512E-3</v>
      </c>
      <c r="AA1098" s="33"/>
      <c r="AB1098" s="50">
        <f t="shared" si="201"/>
        <v>1085</v>
      </c>
      <c r="AC1098" s="48">
        <f t="shared" si="196"/>
        <v>9.8395992986736111E-2</v>
      </c>
      <c r="AE1098" s="48">
        <f t="shared" si="202"/>
        <v>0.99782766262145761</v>
      </c>
      <c r="AF1098" s="48">
        <f t="shared" si="206"/>
        <v>9.8395992986736638E-2</v>
      </c>
      <c r="AH1098" s="48">
        <f t="shared" si="207"/>
        <v>5.2735593669694936E-16</v>
      </c>
    </row>
    <row r="1099" spans="4:34" ht="13.9" customHeight="1">
      <c r="D1099" s="8"/>
      <c r="E1099" s="9"/>
      <c r="F1099" s="18"/>
      <c r="G1099" s="18"/>
      <c r="H1099" s="18"/>
      <c r="J1099" s="40"/>
      <c r="K1099" s="40"/>
      <c r="L1099" s="40"/>
      <c r="M1099" s="38"/>
      <c r="O1099" s="12">
        <f t="shared" si="197"/>
        <v>90.5</v>
      </c>
      <c r="P1099" s="13">
        <v>1086</v>
      </c>
      <c r="Q1099" s="21">
        <v>2.5977313036133598E-2</v>
      </c>
      <c r="R1099" s="18">
        <f t="shared" si="198"/>
        <v>2.6440394229610087E-2</v>
      </c>
      <c r="S1099" s="21">
        <v>3.8163799902952045E-2</v>
      </c>
      <c r="T1099" s="18">
        <f t="shared" si="199"/>
        <v>4.299825062676077E-2</v>
      </c>
      <c r="U1099" s="23">
        <v>3.9501848103042692E-2</v>
      </c>
      <c r="V1099" s="23">
        <f t="shared" si="200"/>
        <v>4.2997816166280511E-2</v>
      </c>
      <c r="W1099" s="22">
        <f t="shared" si="203"/>
        <v>3.5144161510429761E-3</v>
      </c>
      <c r="X1099" s="23">
        <v>3.9233786703449347E-2</v>
      </c>
      <c r="Y1099" s="23">
        <f t="shared" si="204"/>
        <v>4.2997923048812225E-2</v>
      </c>
      <c r="Z1099" s="22">
        <f t="shared" si="205"/>
        <v>3.5144247875817936E-3</v>
      </c>
      <c r="AA1099" s="33"/>
      <c r="AB1099" s="50">
        <f t="shared" si="201"/>
        <v>1086</v>
      </c>
      <c r="AC1099" s="48">
        <f t="shared" si="196"/>
        <v>9.8182241701383552E-2</v>
      </c>
      <c r="AE1099" s="48">
        <f t="shared" si="202"/>
        <v>0.99782764237785559</v>
      </c>
      <c r="AF1099" s="48">
        <f t="shared" si="206"/>
        <v>9.8182241701383427E-2</v>
      </c>
      <c r="AH1099" s="48">
        <f t="shared" si="207"/>
        <v>-1.2490009027033011E-16</v>
      </c>
    </row>
    <row r="1100" spans="4:34" ht="13.9" customHeight="1">
      <c r="D1100" s="8"/>
      <c r="E1100" s="9"/>
      <c r="F1100" s="18"/>
      <c r="G1100" s="18"/>
      <c r="H1100" s="18"/>
      <c r="J1100" s="40"/>
      <c r="K1100" s="40"/>
      <c r="L1100" s="40"/>
      <c r="M1100" s="38"/>
      <c r="O1100" s="12">
        <f t="shared" si="197"/>
        <v>90.583333333333329</v>
      </c>
      <c r="P1100" s="13">
        <v>1087</v>
      </c>
      <c r="Q1100" s="21">
        <v>2.5977738957765339E-2</v>
      </c>
      <c r="R1100" s="18">
        <f t="shared" si="198"/>
        <v>2.644063998602042E-2</v>
      </c>
      <c r="S1100" s="21">
        <v>3.8168237105789204E-2</v>
      </c>
      <c r="T1100" s="18">
        <f t="shared" si="199"/>
        <v>4.2998269829796376E-2</v>
      </c>
      <c r="U1100" s="23">
        <v>3.9505058873900989E-2</v>
      </c>
      <c r="V1100" s="23">
        <f t="shared" si="200"/>
        <v>4.299783883062247E-2</v>
      </c>
      <c r="W1100" s="22">
        <f t="shared" si="203"/>
        <v>3.5144179872543813E-3</v>
      </c>
      <c r="X1100" s="23">
        <v>3.9237243319918624E-2</v>
      </c>
      <c r="Y1100" s="23">
        <f t="shared" si="204"/>
        <v>4.2997944885467598E-2</v>
      </c>
      <c r="Z1100" s="22">
        <f t="shared" si="205"/>
        <v>3.5144265569557742E-3</v>
      </c>
      <c r="AA1100" s="33"/>
      <c r="AB1100" s="50">
        <f t="shared" si="201"/>
        <v>1087</v>
      </c>
      <c r="AC1100" s="48">
        <f t="shared" si="196"/>
        <v>9.796895278920463E-2</v>
      </c>
      <c r="AE1100" s="48">
        <f t="shared" si="202"/>
        <v>0.99782762230233135</v>
      </c>
      <c r="AF1100" s="48">
        <f t="shared" si="206"/>
        <v>9.7968952789204228E-2</v>
      </c>
      <c r="AH1100" s="48">
        <f t="shared" si="207"/>
        <v>-4.0245584642661925E-16</v>
      </c>
    </row>
    <row r="1101" spans="4:34" ht="13.9" customHeight="1">
      <c r="D1101" s="8"/>
      <c r="E1101" s="9"/>
      <c r="F1101" s="18"/>
      <c r="G1101" s="18"/>
      <c r="H1101" s="18"/>
      <c r="J1101" s="40"/>
      <c r="K1101" s="40"/>
      <c r="L1101" s="40"/>
      <c r="M1101" s="38"/>
      <c r="O1101" s="12">
        <f t="shared" si="197"/>
        <v>90.666666666666671</v>
      </c>
      <c r="P1101" s="13">
        <v>1088</v>
      </c>
      <c r="Q1101" s="21">
        <v>2.5978164322406627E-2</v>
      </c>
      <c r="R1101" s="18">
        <f t="shared" si="198"/>
        <v>2.6440883701733142E-2</v>
      </c>
      <c r="S1101" s="21">
        <v>3.817266618848425E-2</v>
      </c>
      <c r="T1101" s="18">
        <f t="shared" si="199"/>
        <v>4.2998288821548325E-2</v>
      </c>
      <c r="U1101" s="23">
        <v>3.9508263773258223E-2</v>
      </c>
      <c r="V1101" s="23">
        <f t="shared" si="200"/>
        <v>4.2997861259501446E-2</v>
      </c>
      <c r="W1101" s="22">
        <f t="shared" si="203"/>
        <v>3.5144198044516628E-3</v>
      </c>
      <c r="X1101" s="23">
        <v>3.9240693613777022E-2</v>
      </c>
      <c r="Y1101" s="23">
        <f t="shared" si="204"/>
        <v>4.2997966491859829E-2</v>
      </c>
      <c r="Z1101" s="22">
        <f t="shared" si="205"/>
        <v>3.5144283077901406E-3</v>
      </c>
      <c r="AA1101" s="33"/>
      <c r="AB1101" s="50">
        <f t="shared" si="201"/>
        <v>1088</v>
      </c>
      <c r="AC1101" s="48">
        <f t="shared" ref="AC1101:AC1164" si="208">1/(1+Q1101)^(P1101/12)</f>
        <v>9.7756125270655483E-2</v>
      </c>
      <c r="AE1101" s="48">
        <f t="shared" si="202"/>
        <v>0.99782760239351964</v>
      </c>
      <c r="AF1101" s="48">
        <f t="shared" si="206"/>
        <v>9.7756125270655567E-2</v>
      </c>
      <c r="AH1101" s="48">
        <f t="shared" si="207"/>
        <v>0</v>
      </c>
    </row>
    <row r="1102" spans="4:34" ht="13.9" customHeight="1">
      <c r="D1102" s="8"/>
      <c r="E1102" s="9"/>
      <c r="F1102" s="18"/>
      <c r="G1102" s="18"/>
      <c r="H1102" s="18"/>
      <c r="J1102" s="40"/>
      <c r="K1102" s="40"/>
      <c r="L1102" s="40"/>
      <c r="M1102" s="38"/>
      <c r="O1102" s="12">
        <f t="shared" ref="O1102:O1165" si="209">P1102/12</f>
        <v>90.75</v>
      </c>
      <c r="P1102" s="13">
        <v>1089</v>
      </c>
      <c r="Q1102" s="21">
        <v>2.5978589129718399E-2</v>
      </c>
      <c r="R1102" s="18">
        <f t="shared" ref="R1102:R1165" si="210">(1+Q1103)^P1103/(1+Q1102)^P1102-1</f>
        <v>2.6441125393836584E-2</v>
      </c>
      <c r="S1102" s="21">
        <v>3.817708717316215E-2</v>
      </c>
      <c r="T1102" s="18">
        <f t="shared" ref="T1102:T1165" si="211">(1+S1103)^P1103/(1+S1102)^P1102-1</f>
        <v>4.2998307605079722E-2</v>
      </c>
      <c r="U1102" s="23">
        <v>3.9511462817047205E-2</v>
      </c>
      <c r="V1102" s="23">
        <f t="shared" ref="V1102:V1165" si="212">(1+U1103)^P1103/(1+U1102)^P1102-1</f>
        <v>4.2997883455397901E-2</v>
      </c>
      <c r="W1102" s="22">
        <f t="shared" si="203"/>
        <v>3.5144216027698238E-3</v>
      </c>
      <c r="X1102" s="23">
        <v>3.9244137602200357E-2</v>
      </c>
      <c r="Y1102" s="23">
        <f t="shared" si="204"/>
        <v>4.2997987871340015E-2</v>
      </c>
      <c r="Z1102" s="22">
        <f t="shared" si="205"/>
        <v>3.5144300401621642E-3</v>
      </c>
      <c r="AA1102" s="33"/>
      <c r="AB1102" s="50">
        <f t="shared" ref="AB1102:AB1165" si="213">+P1102</f>
        <v>1089</v>
      </c>
      <c r="AC1102" s="48">
        <f t="shared" si="208"/>
        <v>9.7543758168051692E-2</v>
      </c>
      <c r="AE1102" s="48">
        <f t="shared" ref="AE1102:AE1165" si="214">1/(1+R1101)^(1/12)</f>
        <v>0.99782758265003069</v>
      </c>
      <c r="AF1102" s="48">
        <f t="shared" si="206"/>
        <v>9.7543758168051817E-2</v>
      </c>
      <c r="AH1102" s="48">
        <f t="shared" si="207"/>
        <v>1.2490009027033011E-16</v>
      </c>
    </row>
    <row r="1103" spans="4:34" ht="13.9" customHeight="1">
      <c r="D1103" s="8"/>
      <c r="E1103" s="9"/>
      <c r="F1103" s="18"/>
      <c r="G1103" s="18"/>
      <c r="H1103" s="18"/>
      <c r="J1103" s="40"/>
      <c r="K1103" s="40"/>
      <c r="L1103" s="40"/>
      <c r="M1103" s="38"/>
      <c r="O1103" s="12">
        <f t="shared" si="209"/>
        <v>90.833333333333329</v>
      </c>
      <c r="P1103" s="13">
        <v>1090</v>
      </c>
      <c r="Q1103" s="21">
        <v>2.597901337937869E-2</v>
      </c>
      <c r="R1103" s="18">
        <f t="shared" si="210"/>
        <v>2.6441365079258539E-2</v>
      </c>
      <c r="S1103" s="21">
        <v>3.8181500081869268E-2</v>
      </c>
      <c r="T1103" s="18">
        <f t="shared" si="211"/>
        <v>4.2998326182648983E-2</v>
      </c>
      <c r="U1103" s="23">
        <v>3.9514656021144123E-2</v>
      </c>
      <c r="V1103" s="23">
        <f t="shared" si="212"/>
        <v>4.2997905420988802E-2</v>
      </c>
      <c r="W1103" s="22">
        <f t="shared" ref="W1103:W1166" si="215">(1+V1102)^(1/12)-1</f>
        <v>3.5144233824078164E-3</v>
      </c>
      <c r="X1103" s="23">
        <v>3.9247575302304272E-2</v>
      </c>
      <c r="Y1103" s="23">
        <f t="shared" ref="Y1103:Y1166" si="216">(1+X1104)^P1104/(1+X1103)^P1103-1</f>
        <v>4.2998009026332218E-2</v>
      </c>
      <c r="Z1103" s="22">
        <f t="shared" ref="Z1103:Z1166" si="217">(1+Y1102)^(1/12)-1</f>
        <v>3.5144317543407411E-3</v>
      </c>
      <c r="AA1103" s="33"/>
      <c r="AB1103" s="50">
        <f t="shared" si="213"/>
        <v>1090</v>
      </c>
      <c r="AC1103" s="48">
        <f t="shared" si="208"/>
        <v>9.7331850505563228E-2</v>
      </c>
      <c r="AE1103" s="48">
        <f t="shared" si="214"/>
        <v>0.99782756307048004</v>
      </c>
      <c r="AF1103" s="48">
        <f t="shared" ref="AF1103:AF1166" si="218">+AF1102*AE1103</f>
        <v>9.733185050556338E-2</v>
      </c>
      <c r="AH1103" s="48">
        <f t="shared" ref="AH1103:AH1166" si="219">+AF1103-AC1103</f>
        <v>1.5265566588595902E-16</v>
      </c>
    </row>
    <row r="1104" spans="4:34" ht="13.9" customHeight="1">
      <c r="D1104" s="8"/>
      <c r="E1104" s="9"/>
      <c r="F1104" s="18"/>
      <c r="G1104" s="18"/>
      <c r="H1104" s="18"/>
      <c r="J1104" s="40"/>
      <c r="K1104" s="40"/>
      <c r="L1104" s="40"/>
      <c r="M1104" s="38"/>
      <c r="O1104" s="12">
        <f t="shared" si="209"/>
        <v>90.916666666666671</v>
      </c>
      <c r="P1104" s="13">
        <v>1091</v>
      </c>
      <c r="Q1104" s="21">
        <v>2.597943707108219E-2</v>
      </c>
      <c r="R1104" s="18">
        <f t="shared" si="210"/>
        <v>2.6441602774845085E-2</v>
      </c>
      <c r="S1104" s="21">
        <v>3.8185904936573367E-2</v>
      </c>
      <c r="T1104" s="18">
        <f t="shared" si="211"/>
        <v>4.2998344556122392E-2</v>
      </c>
      <c r="U1104" s="23">
        <v>3.9517843401369657E-2</v>
      </c>
      <c r="V1104" s="23">
        <f t="shared" si="212"/>
        <v>4.2997927159014626E-2</v>
      </c>
      <c r="W1104" s="22">
        <f t="shared" si="215"/>
        <v>3.5144251435799134E-3</v>
      </c>
      <c r="X1104" s="23">
        <v>3.9251006731144233E-2</v>
      </c>
      <c r="Y1104" s="23">
        <f t="shared" si="216"/>
        <v>4.2998029958272621E-2</v>
      </c>
      <c r="Z1104" s="22">
        <f t="shared" si="217"/>
        <v>3.5144334505199382E-3</v>
      </c>
      <c r="AA1104" s="33"/>
      <c r="AB1104" s="50">
        <f t="shared" si="213"/>
        <v>1091</v>
      </c>
      <c r="AC1104" s="48">
        <f t="shared" si="208"/>
        <v>9.7120401309215371E-2</v>
      </c>
      <c r="AE1104" s="48">
        <f t="shared" si="214"/>
        <v>0.99782754365349591</v>
      </c>
      <c r="AF1104" s="48">
        <f t="shared" si="218"/>
        <v>9.7120401309215579E-2</v>
      </c>
      <c r="AH1104" s="48">
        <f t="shared" si="219"/>
        <v>2.0816681711721685E-16</v>
      </c>
    </row>
    <row r="1105" spans="4:34" ht="13.9" customHeight="1">
      <c r="D1105" s="8"/>
      <c r="E1105" s="9"/>
      <c r="F1105" s="18"/>
      <c r="G1105" s="18"/>
      <c r="H1105" s="18"/>
      <c r="J1105" s="40"/>
      <c r="K1105" s="40"/>
      <c r="L1105" s="40"/>
      <c r="M1105" s="38"/>
      <c r="O1105" s="12">
        <f t="shared" si="209"/>
        <v>91</v>
      </c>
      <c r="P1105" s="13">
        <v>1092</v>
      </c>
      <c r="Q1105" s="21">
        <v>2.5979860204540017E-2</v>
      </c>
      <c r="R1105" s="18">
        <f t="shared" si="210"/>
        <v>2.6441838496366277E-2</v>
      </c>
      <c r="S1105" s="21">
        <v>3.8190301759163825E-2</v>
      </c>
      <c r="T1105" s="18">
        <f t="shared" si="211"/>
        <v>4.2998362727703299E-2</v>
      </c>
      <c r="U1105" s="23">
        <v>3.9521024973488972E-2</v>
      </c>
      <c r="V1105" s="23">
        <f t="shared" si="212"/>
        <v>4.2997948671120723E-2</v>
      </c>
      <c r="W1105" s="22">
        <f t="shared" si="215"/>
        <v>3.5144268865063832E-3</v>
      </c>
      <c r="X1105" s="23">
        <v>3.9254431905714648E-2</v>
      </c>
      <c r="Y1105" s="23">
        <f t="shared" si="216"/>
        <v>4.299805067085094E-2</v>
      </c>
      <c r="Z1105" s="22">
        <f t="shared" si="217"/>
        <v>3.5144351288152187E-3</v>
      </c>
      <c r="AA1105" s="33"/>
      <c r="AB1105" s="50">
        <f t="shared" si="213"/>
        <v>1092</v>
      </c>
      <c r="AC1105" s="48">
        <f t="shared" si="208"/>
        <v>9.6909409606887029E-2</v>
      </c>
      <c r="AE1105" s="48">
        <f t="shared" si="214"/>
        <v>0.99782752439771394</v>
      </c>
      <c r="AF1105" s="48">
        <f t="shared" si="218"/>
        <v>9.690940960688707E-2</v>
      </c>
      <c r="AH1105" s="48">
        <f t="shared" si="219"/>
        <v>0</v>
      </c>
    </row>
    <row r="1106" spans="4:34" ht="13.9" customHeight="1">
      <c r="D1106" s="8"/>
      <c r="E1106" s="9"/>
      <c r="F1106" s="18"/>
      <c r="G1106" s="18"/>
      <c r="H1106" s="18"/>
      <c r="J1106" s="40"/>
      <c r="K1106" s="40"/>
      <c r="L1106" s="40"/>
      <c r="M1106" s="38"/>
      <c r="O1106" s="12">
        <f t="shared" si="209"/>
        <v>91.083333333333329</v>
      </c>
      <c r="P1106" s="13">
        <v>1093</v>
      </c>
      <c r="Q1106" s="21">
        <v>2.5980282779479058E-2</v>
      </c>
      <c r="R1106" s="18">
        <f t="shared" si="210"/>
        <v>2.644207226056694E-2</v>
      </c>
      <c r="S1106" s="21">
        <v>3.8194690571452083E-2</v>
      </c>
      <c r="T1106" s="18">
        <f t="shared" si="211"/>
        <v>4.2998380699881267E-2</v>
      </c>
      <c r="U1106" s="23">
        <v>3.9524200753211503E-2</v>
      </c>
      <c r="V1106" s="23">
        <f t="shared" si="212"/>
        <v>4.2997969959853277E-2</v>
      </c>
      <c r="W1106" s="22">
        <f t="shared" si="215"/>
        <v>3.5144286113186762E-3</v>
      </c>
      <c r="X1106" s="23">
        <v>3.9257850842950859E-2</v>
      </c>
      <c r="Y1106" s="23">
        <f t="shared" si="216"/>
        <v>4.299807116519494E-2</v>
      </c>
      <c r="Z1106" s="22">
        <f t="shared" si="217"/>
        <v>3.5144367895223461E-3</v>
      </c>
      <c r="AA1106" s="33"/>
      <c r="AB1106" s="50">
        <f t="shared" si="213"/>
        <v>1093</v>
      </c>
      <c r="AC1106" s="48">
        <f t="shared" si="208"/>
        <v>9.6698874428316164E-2</v>
      </c>
      <c r="AE1106" s="48">
        <f t="shared" si="214"/>
        <v>0.99782750530185638</v>
      </c>
      <c r="AF1106" s="48">
        <f t="shared" si="218"/>
        <v>9.6698874428315873E-2</v>
      </c>
      <c r="AH1106" s="48">
        <f t="shared" si="219"/>
        <v>-2.9143354396410359E-16</v>
      </c>
    </row>
    <row r="1107" spans="4:34" ht="13.9" customHeight="1">
      <c r="D1107" s="8"/>
      <c r="E1107" s="9"/>
      <c r="F1107" s="18"/>
      <c r="G1107" s="18"/>
      <c r="H1107" s="18"/>
      <c r="J1107" s="40"/>
      <c r="K1107" s="40"/>
      <c r="L1107" s="40"/>
      <c r="M1107" s="38"/>
      <c r="O1107" s="12">
        <f t="shared" si="209"/>
        <v>91.166666666666671</v>
      </c>
      <c r="P1107" s="13">
        <v>1094</v>
      </c>
      <c r="Q1107" s="21">
        <v>2.5980704795642184E-2</v>
      </c>
      <c r="R1107" s="18">
        <f t="shared" si="210"/>
        <v>2.6442304084256518E-2</v>
      </c>
      <c r="S1107" s="21">
        <v>3.8199071395172091E-2</v>
      </c>
      <c r="T1107" s="18">
        <f t="shared" si="211"/>
        <v>4.2998398475085242E-2</v>
      </c>
      <c r="U1107" s="23">
        <v>3.9527370756191393E-2</v>
      </c>
      <c r="V1107" s="23">
        <f t="shared" si="212"/>
        <v>4.299799102776225E-2</v>
      </c>
      <c r="W1107" s="22">
        <f t="shared" si="215"/>
        <v>3.5144303182212955E-3</v>
      </c>
      <c r="X1107" s="23">
        <v>3.9261263559728032E-2</v>
      </c>
      <c r="Y1107" s="23">
        <f t="shared" si="216"/>
        <v>4.2998091444225617E-2</v>
      </c>
      <c r="Z1107" s="22">
        <f t="shared" si="217"/>
        <v>3.5144384327316924E-3</v>
      </c>
      <c r="AA1107" s="33"/>
      <c r="AB1107" s="50">
        <f t="shared" si="213"/>
        <v>1094</v>
      </c>
      <c r="AC1107" s="48">
        <f t="shared" si="208"/>
        <v>9.6488794805089442E-2</v>
      </c>
      <c r="AE1107" s="48">
        <f t="shared" si="214"/>
        <v>0.99782748636456642</v>
      </c>
      <c r="AF1107" s="48">
        <f t="shared" si="218"/>
        <v>9.6488794805089276E-2</v>
      </c>
      <c r="AH1107" s="48">
        <f t="shared" si="219"/>
        <v>-1.6653345369377348E-16</v>
      </c>
    </row>
    <row r="1108" spans="4:34" ht="13.9" customHeight="1">
      <c r="D1108" s="8"/>
      <c r="E1108" s="9"/>
      <c r="F1108" s="18"/>
      <c r="G1108" s="18"/>
      <c r="H1108" s="18"/>
      <c r="J1108" s="40"/>
      <c r="K1108" s="40"/>
      <c r="L1108" s="40"/>
      <c r="M1108" s="38"/>
      <c r="O1108" s="12">
        <f t="shared" si="209"/>
        <v>91.25</v>
      </c>
      <c r="P1108" s="13">
        <v>1095</v>
      </c>
      <c r="Q1108" s="21">
        <v>2.59811262527887E-2</v>
      </c>
      <c r="R1108" s="18">
        <f t="shared" si="210"/>
        <v>2.6442533983115135E-2</v>
      </c>
      <c r="S1108" s="21">
        <v>3.8203444251980967E-2</v>
      </c>
      <c r="T1108" s="18">
        <f t="shared" si="211"/>
        <v>4.2998416054785382E-2</v>
      </c>
      <c r="U1108" s="23">
        <v>3.9530534998027944E-2</v>
      </c>
      <c r="V1108" s="23">
        <f t="shared" si="212"/>
        <v>4.2998011877367848E-2</v>
      </c>
      <c r="W1108" s="22">
        <f t="shared" si="215"/>
        <v>3.5144320074183E-3</v>
      </c>
      <c r="X1108" s="23">
        <v>3.9264670072861829E-2</v>
      </c>
      <c r="Y1108" s="23">
        <f t="shared" si="216"/>
        <v>4.2998111509972903E-2</v>
      </c>
      <c r="Z1108" s="22">
        <f t="shared" si="217"/>
        <v>3.5144400586775149E-3</v>
      </c>
      <c r="AA1108" s="33"/>
      <c r="AB1108" s="50">
        <f t="shared" si="213"/>
        <v>1095</v>
      </c>
      <c r="AC1108" s="48">
        <f t="shared" si="208"/>
        <v>9.6279169770640896E-2</v>
      </c>
      <c r="AE1108" s="48">
        <f t="shared" si="214"/>
        <v>0.99782746758448237</v>
      </c>
      <c r="AF1108" s="48">
        <f t="shared" si="218"/>
        <v>9.6279169770640993E-2</v>
      </c>
      <c r="AH1108" s="48">
        <f t="shared" si="219"/>
        <v>0</v>
      </c>
    </row>
    <row r="1109" spans="4:34" ht="13.9" customHeight="1">
      <c r="D1109" s="8"/>
      <c r="E1109" s="9"/>
      <c r="F1109" s="18"/>
      <c r="G1109" s="18"/>
      <c r="H1109" s="18"/>
      <c r="J1109" s="40"/>
      <c r="K1109" s="40"/>
      <c r="L1109" s="40"/>
      <c r="M1109" s="38"/>
      <c r="O1109" s="12">
        <f t="shared" si="209"/>
        <v>91.333333333333329</v>
      </c>
      <c r="P1109" s="13">
        <v>1096</v>
      </c>
      <c r="Q1109" s="21">
        <v>2.5981547150693007E-2</v>
      </c>
      <c r="R1109" s="18">
        <f t="shared" si="210"/>
        <v>2.644276197327633E-2</v>
      </c>
      <c r="S1109" s="21">
        <v>3.8207809163458339E-2</v>
      </c>
      <c r="T1109" s="18">
        <f t="shared" si="211"/>
        <v>4.2998433441795658E-2</v>
      </c>
      <c r="U1109" s="23">
        <v>3.9533693494266053E-2</v>
      </c>
      <c r="V1109" s="23">
        <f t="shared" si="212"/>
        <v>4.299803250991352E-2</v>
      </c>
      <c r="W1109" s="22">
        <f t="shared" si="215"/>
        <v>3.5144336791121944E-3</v>
      </c>
      <c r="X1109" s="23">
        <v>3.9268070399108845E-2</v>
      </c>
      <c r="Y1109" s="23">
        <f t="shared" si="216"/>
        <v>4.2998131364823333E-2</v>
      </c>
      <c r="Z1109" s="22">
        <f t="shared" si="217"/>
        <v>3.514441667522572E-3</v>
      </c>
      <c r="AA1109" s="33"/>
      <c r="AB1109" s="50">
        <f t="shared" si="213"/>
        <v>1096</v>
      </c>
      <c r="AC1109" s="48">
        <f t="shared" si="208"/>
        <v>9.6069998360257453E-2</v>
      </c>
      <c r="AE1109" s="48">
        <f t="shared" si="214"/>
        <v>0.99782744896033371</v>
      </c>
      <c r="AF1109" s="48">
        <f t="shared" si="218"/>
        <v>9.6069998360257577E-2</v>
      </c>
      <c r="AH1109" s="48">
        <f t="shared" si="219"/>
        <v>1.2490009027033011E-16</v>
      </c>
    </row>
    <row r="1110" spans="4:34" ht="13.9" customHeight="1">
      <c r="D1110" s="8"/>
      <c r="E1110" s="9"/>
      <c r="F1110" s="18"/>
      <c r="G1110" s="18"/>
      <c r="H1110" s="18"/>
      <c r="J1110" s="40"/>
      <c r="K1110" s="40"/>
      <c r="L1110" s="40"/>
      <c r="M1110" s="38"/>
      <c r="O1110" s="12">
        <f t="shared" si="209"/>
        <v>91.416666666666671</v>
      </c>
      <c r="P1110" s="13">
        <v>1097</v>
      </c>
      <c r="Q1110" s="21">
        <v>2.5981967489145052E-2</v>
      </c>
      <c r="R1110" s="18">
        <f t="shared" si="210"/>
        <v>2.6442988069647066E-2</v>
      </c>
      <c r="S1110" s="21">
        <v>3.8212166151107674E-2</v>
      </c>
      <c r="T1110" s="18">
        <f t="shared" si="211"/>
        <v>4.2998450637642849E-2</v>
      </c>
      <c r="U1110" s="23">
        <v>3.9536846260395331E-2</v>
      </c>
      <c r="V1110" s="23">
        <f t="shared" si="212"/>
        <v>4.2998052929080322E-2</v>
      </c>
      <c r="W1110" s="22">
        <f t="shared" si="215"/>
        <v>3.5144353334024547E-3</v>
      </c>
      <c r="X1110" s="23">
        <v>3.9271464555166835E-2</v>
      </c>
      <c r="Y1110" s="23">
        <f t="shared" si="216"/>
        <v>4.2998151010942065E-2</v>
      </c>
      <c r="Z1110" s="22">
        <f t="shared" si="217"/>
        <v>3.5144432594580444E-3</v>
      </c>
      <c r="AA1110" s="33"/>
      <c r="AB1110" s="50">
        <f t="shared" si="213"/>
        <v>1097</v>
      </c>
      <c r="AC1110" s="48">
        <f t="shared" si="208"/>
        <v>9.5861279611072769E-2</v>
      </c>
      <c r="AE1110" s="48">
        <f t="shared" si="214"/>
        <v>0.99782743049081346</v>
      </c>
      <c r="AF1110" s="48">
        <f t="shared" si="218"/>
        <v>9.5861279611072478E-2</v>
      </c>
      <c r="AH1110" s="48">
        <f t="shared" si="219"/>
        <v>-2.9143354396410359E-16</v>
      </c>
    </row>
    <row r="1111" spans="4:34" ht="13.9" customHeight="1">
      <c r="D1111" s="8"/>
      <c r="E1111" s="9"/>
      <c r="F1111" s="18"/>
      <c r="G1111" s="18"/>
      <c r="H1111" s="18"/>
      <c r="J1111" s="40"/>
      <c r="K1111" s="40"/>
      <c r="L1111" s="40"/>
      <c r="M1111" s="38"/>
      <c r="O1111" s="12">
        <f t="shared" si="209"/>
        <v>91.5</v>
      </c>
      <c r="P1111" s="13">
        <v>1098</v>
      </c>
      <c r="Q1111" s="21">
        <v>2.5982387267949214E-2</v>
      </c>
      <c r="R1111" s="18">
        <f t="shared" si="210"/>
        <v>2.6443212289493978E-2</v>
      </c>
      <c r="S1111" s="21">
        <v>3.821651523635583E-2</v>
      </c>
      <c r="T1111" s="18">
        <f t="shared" si="211"/>
        <v>4.2998467645161798E-2</v>
      </c>
      <c r="U1111" s="23">
        <v>3.9539993311851873E-2</v>
      </c>
      <c r="V1111" s="23">
        <f t="shared" si="212"/>
        <v>4.2998073135875003E-2</v>
      </c>
      <c r="W1111" s="22">
        <f t="shared" si="215"/>
        <v>3.5144369705841783E-3</v>
      </c>
      <c r="X1111" s="23">
        <v>3.9274852557674711E-2</v>
      </c>
      <c r="Y1111" s="23">
        <f t="shared" si="216"/>
        <v>4.2998170450228468E-2</v>
      </c>
      <c r="Z1111" s="22">
        <f t="shared" si="217"/>
        <v>3.5144448346577928E-3</v>
      </c>
      <c r="AA1111" s="33"/>
      <c r="AB1111" s="50">
        <f t="shared" si="213"/>
        <v>1098</v>
      </c>
      <c r="AC1111" s="48">
        <f t="shared" si="208"/>
        <v>9.5653012562073675E-2</v>
      </c>
      <c r="AE1111" s="48">
        <f t="shared" si="214"/>
        <v>0.99782741217471405</v>
      </c>
      <c r="AF1111" s="48">
        <f t="shared" si="218"/>
        <v>9.5653012562073134E-2</v>
      </c>
      <c r="AH1111" s="48">
        <f t="shared" si="219"/>
        <v>-5.4123372450476381E-16</v>
      </c>
    </row>
    <row r="1112" spans="4:34" ht="13.9" customHeight="1">
      <c r="D1112" s="8"/>
      <c r="E1112" s="9"/>
      <c r="F1112" s="18"/>
      <c r="G1112" s="18"/>
      <c r="H1112" s="18"/>
      <c r="J1112" s="40"/>
      <c r="K1112" s="40"/>
      <c r="L1112" s="40"/>
      <c r="M1112" s="38"/>
      <c r="O1112" s="12">
        <f t="shared" si="209"/>
        <v>91.583333333333329</v>
      </c>
      <c r="P1112" s="13">
        <v>1099</v>
      </c>
      <c r="Q1112" s="21">
        <v>2.5982806486926302E-2</v>
      </c>
      <c r="R1112" s="18">
        <f t="shared" si="210"/>
        <v>2.6443434647597019E-2</v>
      </c>
      <c r="S1112" s="21">
        <v>3.8220856440554396E-2</v>
      </c>
      <c r="T1112" s="18">
        <f t="shared" si="211"/>
        <v>4.299848446561505E-2</v>
      </c>
      <c r="U1112" s="23">
        <v>3.9543134664017154E-2</v>
      </c>
      <c r="V1112" s="23">
        <f t="shared" si="212"/>
        <v>4.2998093132855297E-2</v>
      </c>
      <c r="W1112" s="22">
        <f t="shared" si="215"/>
        <v>3.5144385907384112E-3</v>
      </c>
      <c r="X1112" s="23">
        <v>3.9278234423212766E-2</v>
      </c>
      <c r="Y1112" s="23">
        <f t="shared" si="216"/>
        <v>4.2998189685698573E-2</v>
      </c>
      <c r="Z1112" s="22">
        <f t="shared" si="217"/>
        <v>3.5144463932739178E-3</v>
      </c>
      <c r="AA1112" s="33"/>
      <c r="AB1112" s="50">
        <f t="shared" si="213"/>
        <v>1099</v>
      </c>
      <c r="AC1112" s="48">
        <f t="shared" si="208"/>
        <v>9.5445196254080031E-2</v>
      </c>
      <c r="AE1112" s="48">
        <f t="shared" si="214"/>
        <v>0.99782739401063625</v>
      </c>
      <c r="AF1112" s="48">
        <f t="shared" si="218"/>
        <v>9.5445196254080086E-2</v>
      </c>
      <c r="AH1112" s="48">
        <f t="shared" si="219"/>
        <v>0</v>
      </c>
    </row>
    <row r="1113" spans="4:34" ht="13.9" customHeight="1">
      <c r="D1113" s="8"/>
      <c r="E1113" s="9"/>
      <c r="F1113" s="18"/>
      <c r="G1113" s="18"/>
      <c r="H1113" s="18"/>
      <c r="J1113" s="40"/>
      <c r="K1113" s="40"/>
      <c r="L1113" s="40"/>
      <c r="M1113" s="38"/>
      <c r="O1113" s="12">
        <f t="shared" si="209"/>
        <v>91.666666666666671</v>
      </c>
      <c r="P1113" s="13">
        <v>1100</v>
      </c>
      <c r="Q1113" s="21">
        <v>2.5983225145910893E-2</v>
      </c>
      <c r="R1113" s="18">
        <f t="shared" si="210"/>
        <v>2.6443655159415158E-2</v>
      </c>
      <c r="S1113" s="21">
        <v>3.8225189784978575E-2</v>
      </c>
      <c r="T1113" s="18">
        <f t="shared" si="211"/>
        <v>4.2998501101620068E-2</v>
      </c>
      <c r="U1113" s="23">
        <v>3.9546270332218914E-2</v>
      </c>
      <c r="V1113" s="23">
        <f t="shared" si="212"/>
        <v>4.2998112922467024E-2</v>
      </c>
      <c r="W1113" s="22">
        <f t="shared" si="215"/>
        <v>3.5144401940696568E-3</v>
      </c>
      <c r="X1113" s="23">
        <v>3.928161016830356E-2</v>
      </c>
      <c r="Y1113" s="23">
        <f t="shared" si="216"/>
        <v>4.2998208718486364E-2</v>
      </c>
      <c r="Z1113" s="22">
        <f t="shared" si="217"/>
        <v>3.5144479355482261E-3</v>
      </c>
      <c r="AA1113" s="33"/>
      <c r="AB1113" s="50">
        <f t="shared" si="213"/>
        <v>1100</v>
      </c>
      <c r="AC1113" s="48">
        <f t="shared" si="208"/>
        <v>9.5237829729764314E-2</v>
      </c>
      <c r="AE1113" s="48">
        <f t="shared" si="214"/>
        <v>0.9978273759973828</v>
      </c>
      <c r="AF1113" s="48">
        <f t="shared" si="218"/>
        <v>9.5237829729763968E-2</v>
      </c>
      <c r="AH1113" s="48">
        <f t="shared" si="219"/>
        <v>-3.4694469519536142E-16</v>
      </c>
    </row>
    <row r="1114" spans="4:34" ht="13.9" customHeight="1">
      <c r="D1114" s="8"/>
      <c r="E1114" s="9"/>
      <c r="F1114" s="18"/>
      <c r="G1114" s="18"/>
      <c r="H1114" s="18"/>
      <c r="J1114" s="40"/>
      <c r="K1114" s="40"/>
      <c r="L1114" s="40"/>
      <c r="M1114" s="38"/>
      <c r="O1114" s="12">
        <f t="shared" si="209"/>
        <v>91.75</v>
      </c>
      <c r="P1114" s="13">
        <v>1101</v>
      </c>
      <c r="Q1114" s="21">
        <v>2.5983643244752663E-2</v>
      </c>
      <c r="R1114" s="18">
        <f t="shared" si="210"/>
        <v>2.6443873840459986E-2</v>
      </c>
      <c r="S1114" s="21">
        <v>3.8229515290828964E-2</v>
      </c>
      <c r="T1114" s="18">
        <f t="shared" si="211"/>
        <v>4.299851755486106E-2</v>
      </c>
      <c r="U1114" s="23">
        <v>3.9549400331731377E-2</v>
      </c>
      <c r="V1114" s="23">
        <f t="shared" si="212"/>
        <v>4.2998132506947506E-2</v>
      </c>
      <c r="W1114" s="22">
        <f t="shared" si="215"/>
        <v>3.5144417807744244E-3</v>
      </c>
      <c r="X1114" s="23">
        <v>3.9284979809411036E-2</v>
      </c>
      <c r="Y1114" s="23">
        <f t="shared" si="216"/>
        <v>4.2998227551164891E-2</v>
      </c>
      <c r="Z1114" s="22">
        <f t="shared" si="217"/>
        <v>3.5144494615717559E-3</v>
      </c>
      <c r="AA1114" s="33"/>
      <c r="AB1114" s="50">
        <f t="shared" si="213"/>
        <v>1101</v>
      </c>
      <c r="AC1114" s="48">
        <f t="shared" si="208"/>
        <v>9.5030912033637421E-2</v>
      </c>
      <c r="AE1114" s="48">
        <f t="shared" si="214"/>
        <v>0.99782735813370116</v>
      </c>
      <c r="AF1114" s="48">
        <f t="shared" si="218"/>
        <v>9.5030912033637643E-2</v>
      </c>
      <c r="AH1114" s="48">
        <f t="shared" si="219"/>
        <v>2.2204460492503131E-16</v>
      </c>
    </row>
    <row r="1115" spans="4:34" ht="13.9" customHeight="1">
      <c r="D1115" s="8"/>
      <c r="E1115" s="9"/>
      <c r="F1115" s="18"/>
      <c r="G1115" s="18"/>
      <c r="H1115" s="18"/>
      <c r="J1115" s="40"/>
      <c r="K1115" s="40"/>
      <c r="L1115" s="40"/>
      <c r="M1115" s="38"/>
      <c r="O1115" s="12">
        <f t="shared" si="209"/>
        <v>91.833333333333329</v>
      </c>
      <c r="P1115" s="13">
        <v>1102</v>
      </c>
      <c r="Q1115" s="21">
        <v>2.5984060783315499E-2</v>
      </c>
      <c r="R1115" s="18">
        <f t="shared" si="210"/>
        <v>2.6444090705702417E-2</v>
      </c>
      <c r="S1115" s="21">
        <v>3.8233832979230664E-2</v>
      </c>
      <c r="T1115" s="18">
        <f t="shared" si="211"/>
        <v>4.2998533827695251E-2</v>
      </c>
      <c r="U1115" s="23">
        <v>3.955252467777548E-2</v>
      </c>
      <c r="V1115" s="23">
        <f t="shared" si="212"/>
        <v>4.2998151887751801E-2</v>
      </c>
      <c r="W1115" s="22">
        <f t="shared" si="215"/>
        <v>3.514443351032126E-3</v>
      </c>
      <c r="X1115" s="23">
        <v>3.9288343362941847E-2</v>
      </c>
      <c r="Y1115" s="23">
        <f t="shared" si="216"/>
        <v>4.2998246186084055E-2</v>
      </c>
      <c r="Z1115" s="22">
        <f t="shared" si="217"/>
        <v>3.5144509715507866E-3</v>
      </c>
      <c r="AA1115" s="33"/>
      <c r="AB1115" s="50">
        <f t="shared" si="213"/>
        <v>1102</v>
      </c>
      <c r="AC1115" s="48">
        <f t="shared" si="208"/>
        <v>9.4824442212053064E-2</v>
      </c>
      <c r="AE1115" s="48">
        <f t="shared" si="214"/>
        <v>0.99782734041833487</v>
      </c>
      <c r="AF1115" s="48">
        <f t="shared" si="218"/>
        <v>9.4824442212053384E-2</v>
      </c>
      <c r="AH1115" s="48">
        <f t="shared" si="219"/>
        <v>3.1918911957973251E-16</v>
      </c>
    </row>
    <row r="1116" spans="4:34" ht="13.9" customHeight="1">
      <c r="D1116" s="8"/>
      <c r="E1116" s="9"/>
      <c r="F1116" s="18"/>
      <c r="G1116" s="18"/>
      <c r="H1116" s="18"/>
      <c r="J1116" s="40"/>
      <c r="K1116" s="40"/>
      <c r="L1116" s="40"/>
      <c r="M1116" s="38"/>
      <c r="O1116" s="12">
        <f t="shared" si="209"/>
        <v>91.916666666666671</v>
      </c>
      <c r="P1116" s="13">
        <v>1103</v>
      </c>
      <c r="Q1116" s="21">
        <v>2.5984477761477498E-2</v>
      </c>
      <c r="R1116" s="18">
        <f t="shared" si="210"/>
        <v>2.6444305770451981E-2</v>
      </c>
      <c r="S1116" s="21">
        <v>3.8238142871234837E-2</v>
      </c>
      <c r="T1116" s="18">
        <f t="shared" si="211"/>
        <v>4.2998549921715368E-2</v>
      </c>
      <c r="U1116" s="23">
        <v>3.9555643385518646E-2</v>
      </c>
      <c r="V1116" s="23">
        <f t="shared" si="212"/>
        <v>4.2998171067841318E-2</v>
      </c>
      <c r="W1116" s="22">
        <f t="shared" si="215"/>
        <v>3.5144449049591131E-3</v>
      </c>
      <c r="X1116" s="23">
        <v>3.9291700845245137E-2</v>
      </c>
      <c r="Y1116" s="23">
        <f t="shared" si="216"/>
        <v>4.2998264625064175E-2</v>
      </c>
      <c r="Z1116" s="22">
        <f t="shared" si="217"/>
        <v>3.514452465673612E-3</v>
      </c>
      <c r="AA1116" s="33"/>
      <c r="AB1116" s="50">
        <f t="shared" si="213"/>
        <v>1103</v>
      </c>
      <c r="AC1116" s="48">
        <f t="shared" si="208"/>
        <v>9.4618419313204555E-2</v>
      </c>
      <c r="AE1116" s="48">
        <f t="shared" si="214"/>
        <v>0.99782732285007103</v>
      </c>
      <c r="AF1116" s="48">
        <f t="shared" si="218"/>
        <v>9.4618419313204499E-2</v>
      </c>
      <c r="AH1116" s="48">
        <f t="shared" si="219"/>
        <v>0</v>
      </c>
    </row>
    <row r="1117" spans="4:34" ht="13.9" customHeight="1">
      <c r="D1117" s="8"/>
      <c r="E1117" s="9"/>
      <c r="F1117" s="18"/>
      <c r="G1117" s="18"/>
      <c r="H1117" s="18"/>
      <c r="J1117" s="40"/>
      <c r="K1117" s="40"/>
      <c r="L1117" s="40"/>
      <c r="M1117" s="38"/>
      <c r="O1117" s="12">
        <f t="shared" si="209"/>
        <v>92</v>
      </c>
      <c r="P1117" s="13">
        <v>1104</v>
      </c>
      <c r="Q1117" s="21">
        <v>2.598489417913119E-2</v>
      </c>
      <c r="R1117" s="18">
        <f t="shared" si="210"/>
        <v>2.6444519049892978E-2</v>
      </c>
      <c r="S1117" s="21">
        <v>3.8242444987817592E-2</v>
      </c>
      <c r="T1117" s="18">
        <f t="shared" si="211"/>
        <v>4.299856583912387E-2</v>
      </c>
      <c r="U1117" s="23">
        <v>3.9558756470075673E-2</v>
      </c>
      <c r="V1117" s="23">
        <f t="shared" si="212"/>
        <v>4.2998190048214591E-2</v>
      </c>
      <c r="W1117" s="22">
        <f t="shared" si="215"/>
        <v>3.5144464427931954E-3</v>
      </c>
      <c r="X1117" s="23">
        <v>3.9295052272612763E-2</v>
      </c>
      <c r="Y1117" s="23">
        <f t="shared" si="216"/>
        <v>4.2998282869806559E-2</v>
      </c>
      <c r="Z1117" s="22">
        <f t="shared" si="217"/>
        <v>3.5144539440863376E-3</v>
      </c>
      <c r="AA1117" s="33"/>
      <c r="AB1117" s="50">
        <f t="shared" si="213"/>
        <v>1104</v>
      </c>
      <c r="AC1117" s="48">
        <f t="shared" si="208"/>
        <v>9.4412842387120083E-2</v>
      </c>
      <c r="AE1117" s="48">
        <f t="shared" si="214"/>
        <v>0.99782730542766895</v>
      </c>
      <c r="AF1117" s="48">
        <f t="shared" si="218"/>
        <v>9.4412842387120152E-2</v>
      </c>
      <c r="AH1117" s="48">
        <f t="shared" si="219"/>
        <v>0</v>
      </c>
    </row>
    <row r="1118" spans="4:34" ht="13.9" customHeight="1">
      <c r="D1118" s="8"/>
      <c r="E1118" s="9"/>
      <c r="F1118" s="18"/>
      <c r="G1118" s="18"/>
      <c r="H1118" s="18"/>
      <c r="J1118" s="40"/>
      <c r="K1118" s="40"/>
      <c r="L1118" s="40"/>
      <c r="M1118" s="38"/>
      <c r="O1118" s="12">
        <f t="shared" si="209"/>
        <v>92.083333333333329</v>
      </c>
      <c r="P1118" s="13">
        <v>1105</v>
      </c>
      <c r="Q1118" s="21">
        <v>2.5985310036183096E-2</v>
      </c>
      <c r="R1118" s="18">
        <f t="shared" si="210"/>
        <v>2.6444730558231155E-2</v>
      </c>
      <c r="S1118" s="21">
        <v>3.824673934988132E-2</v>
      </c>
      <c r="T1118" s="18">
        <f t="shared" si="211"/>
        <v>4.2998581581662032E-2</v>
      </c>
      <c r="U1118" s="23">
        <v>3.9561863946508069E-2</v>
      </c>
      <c r="V1118" s="23">
        <f t="shared" si="212"/>
        <v>4.2998208832502938E-2</v>
      </c>
      <c r="W1118" s="22">
        <f t="shared" si="215"/>
        <v>3.514447964614309E-3</v>
      </c>
      <c r="X1118" s="23">
        <v>3.9298397661279072E-2</v>
      </c>
      <c r="Y1118" s="23">
        <f t="shared" si="216"/>
        <v>4.2998300923107857E-2</v>
      </c>
      <c r="Z1118" s="22">
        <f t="shared" si="217"/>
        <v>3.5144554069255207E-3</v>
      </c>
      <c r="AA1118" s="33"/>
      <c r="AB1118" s="50">
        <f t="shared" si="213"/>
        <v>1105</v>
      </c>
      <c r="AC1118" s="48">
        <f t="shared" si="208"/>
        <v>9.4207710485663745E-2</v>
      </c>
      <c r="AE1118" s="48">
        <f t="shared" si="214"/>
        <v>0.99782728814989874</v>
      </c>
      <c r="AF1118" s="48">
        <f t="shared" si="218"/>
        <v>9.4207710485663912E-2</v>
      </c>
      <c r="AH1118" s="48">
        <f t="shared" si="219"/>
        <v>1.6653345369377348E-16</v>
      </c>
    </row>
    <row r="1119" spans="4:34" ht="13.9" customHeight="1">
      <c r="D1119" s="8"/>
      <c r="E1119" s="9"/>
      <c r="F1119" s="18"/>
      <c r="G1119" s="18"/>
      <c r="H1119" s="18"/>
      <c r="J1119" s="40"/>
      <c r="K1119" s="40"/>
      <c r="L1119" s="40"/>
      <c r="M1119" s="38"/>
      <c r="O1119" s="12">
        <f t="shared" si="209"/>
        <v>92.166666666666671</v>
      </c>
      <c r="P1119" s="13">
        <v>1106</v>
      </c>
      <c r="Q1119" s="21">
        <v>2.5985725332552834E-2</v>
      </c>
      <c r="R1119" s="18">
        <f t="shared" si="210"/>
        <v>2.6444940310209164E-2</v>
      </c>
      <c r="S1119" s="21">
        <v>3.8251025978254916E-2</v>
      </c>
      <c r="T1119" s="18">
        <f t="shared" si="211"/>
        <v>4.2998597151818085E-2</v>
      </c>
      <c r="U1119" s="23">
        <v>3.9564965829825827E-2</v>
      </c>
      <c r="V1119" s="23">
        <f t="shared" si="212"/>
        <v>4.2998227421209512E-2</v>
      </c>
      <c r="W1119" s="22">
        <f t="shared" si="215"/>
        <v>3.5144494707135543E-3</v>
      </c>
      <c r="X1119" s="23">
        <v>3.9301737027422456E-2</v>
      </c>
      <c r="Y1119" s="23">
        <f t="shared" si="216"/>
        <v>4.2998318786445777E-2</v>
      </c>
      <c r="Z1119" s="22">
        <f t="shared" si="217"/>
        <v>3.5144568544149823E-3</v>
      </c>
      <c r="AA1119" s="33"/>
      <c r="AB1119" s="50">
        <f t="shared" si="213"/>
        <v>1106</v>
      </c>
      <c r="AC1119" s="48">
        <f t="shared" si="208"/>
        <v>9.400302266253871E-2</v>
      </c>
      <c r="AE1119" s="48">
        <f t="shared" si="214"/>
        <v>0.99782727101560953</v>
      </c>
      <c r="AF1119" s="48">
        <f t="shared" si="218"/>
        <v>9.4003022662538641E-2</v>
      </c>
      <c r="AH1119" s="48">
        <f t="shared" si="219"/>
        <v>0</v>
      </c>
    </row>
    <row r="1120" spans="4:34" ht="13.9" customHeight="1">
      <c r="D1120" s="8"/>
      <c r="E1120" s="9"/>
      <c r="F1120" s="18"/>
      <c r="G1120" s="18"/>
      <c r="H1120" s="18"/>
      <c r="J1120" s="40"/>
      <c r="K1120" s="40"/>
      <c r="L1120" s="40"/>
      <c r="M1120" s="38"/>
      <c r="O1120" s="12">
        <f t="shared" si="209"/>
        <v>92.25</v>
      </c>
      <c r="P1120" s="13">
        <v>1107</v>
      </c>
      <c r="Q1120" s="21">
        <v>2.5986140068173791E-2</v>
      </c>
      <c r="R1120" s="18">
        <f t="shared" si="210"/>
        <v>2.6445148321291301E-2</v>
      </c>
      <c r="S1120" s="21">
        <v>3.8255304893693998E-2</v>
      </c>
      <c r="T1120" s="18">
        <f t="shared" si="211"/>
        <v>4.2998612550846138E-2</v>
      </c>
      <c r="U1120" s="23">
        <v>3.9568062134985649E-2</v>
      </c>
      <c r="V1120" s="23">
        <f t="shared" si="212"/>
        <v>4.2998245816899816E-2</v>
      </c>
      <c r="W1120" s="22">
        <f t="shared" si="215"/>
        <v>3.5144509611311214E-3</v>
      </c>
      <c r="X1120" s="23">
        <v>3.9305070387164243E-2</v>
      </c>
      <c r="Y1120" s="23">
        <f t="shared" si="216"/>
        <v>4.2998336462264586E-2</v>
      </c>
      <c r="Z1120" s="22">
        <f t="shared" si="217"/>
        <v>3.5144582866732943E-3</v>
      </c>
      <c r="AA1120" s="33"/>
      <c r="AB1120" s="50">
        <f t="shared" si="213"/>
        <v>1107</v>
      </c>
      <c r="AC1120" s="48">
        <f t="shared" si="208"/>
        <v>9.3798777973280081E-2</v>
      </c>
      <c r="AE1120" s="48">
        <f t="shared" si="214"/>
        <v>0.99782725402360661</v>
      </c>
      <c r="AF1120" s="48">
        <f t="shared" si="218"/>
        <v>9.379877797327979E-2</v>
      </c>
      <c r="AH1120" s="48">
        <f t="shared" si="219"/>
        <v>-2.9143354396410359E-16</v>
      </c>
    </row>
    <row r="1121" spans="4:34" ht="13.9" customHeight="1">
      <c r="D1121" s="8"/>
      <c r="E1121" s="9"/>
      <c r="F1121" s="18"/>
      <c r="G1121" s="18"/>
      <c r="H1121" s="18"/>
      <c r="J1121" s="40"/>
      <c r="K1121" s="40"/>
      <c r="L1121" s="40"/>
      <c r="M1121" s="38"/>
      <c r="O1121" s="12">
        <f t="shared" si="209"/>
        <v>92.333333333333329</v>
      </c>
      <c r="P1121" s="13">
        <v>1108</v>
      </c>
      <c r="Q1121" s="21">
        <v>2.5986554242993565E-2</v>
      </c>
      <c r="R1121" s="18">
        <f t="shared" si="210"/>
        <v>2.6445354605407978E-2</v>
      </c>
      <c r="S1121" s="21">
        <v>3.8259576116880689E-2</v>
      </c>
      <c r="T1121" s="18">
        <f t="shared" si="211"/>
        <v>4.2998627780511445E-2</v>
      </c>
      <c r="U1121" s="23">
        <v>3.9571152876892279E-2</v>
      </c>
      <c r="V1121" s="23">
        <f t="shared" si="212"/>
        <v>4.2998264022268362E-2</v>
      </c>
      <c r="W1121" s="22">
        <f t="shared" si="215"/>
        <v>3.5144524360730678E-3</v>
      </c>
      <c r="X1121" s="23">
        <v>3.9308397756569802E-2</v>
      </c>
      <c r="Y1121" s="23">
        <f t="shared" si="216"/>
        <v>4.2998353951866797E-2</v>
      </c>
      <c r="Z1121" s="22">
        <f t="shared" si="217"/>
        <v>3.514459703896744E-3</v>
      </c>
      <c r="AA1121" s="33"/>
      <c r="AB1121" s="50">
        <f t="shared" si="213"/>
        <v>1108</v>
      </c>
      <c r="AC1121" s="48">
        <f t="shared" si="208"/>
        <v>9.3594975475247089E-2</v>
      </c>
      <c r="AE1121" s="48">
        <f t="shared" si="214"/>
        <v>0.99782723717263744</v>
      </c>
      <c r="AF1121" s="48">
        <f t="shared" si="218"/>
        <v>9.3594975475247408E-2</v>
      </c>
      <c r="AH1121" s="48">
        <f t="shared" si="219"/>
        <v>3.1918911957973251E-16</v>
      </c>
    </row>
    <row r="1122" spans="4:34" ht="13.9" customHeight="1">
      <c r="D1122" s="8"/>
      <c r="E1122" s="9"/>
      <c r="F1122" s="18"/>
      <c r="G1122" s="18"/>
      <c r="H1122" s="18"/>
      <c r="J1122" s="40"/>
      <c r="K1122" s="40"/>
      <c r="L1122" s="40"/>
      <c r="M1122" s="38"/>
      <c r="O1122" s="12">
        <f t="shared" si="209"/>
        <v>92.416666666666671</v>
      </c>
      <c r="P1122" s="13">
        <v>1109</v>
      </c>
      <c r="Q1122" s="21">
        <v>2.5986967856972187E-2</v>
      </c>
      <c r="R1122" s="18">
        <f t="shared" si="210"/>
        <v>2.6445559176228262E-2</v>
      </c>
      <c r="S1122" s="21">
        <v>3.8263839668424504E-2</v>
      </c>
      <c r="T1122" s="18">
        <f t="shared" si="211"/>
        <v>4.2998642843547596E-2</v>
      </c>
      <c r="U1122" s="23">
        <v>3.9574238070399392E-2</v>
      </c>
      <c r="V1122" s="23">
        <f t="shared" si="212"/>
        <v>4.2998282038299251E-2</v>
      </c>
      <c r="W1122" s="22">
        <f t="shared" si="215"/>
        <v>3.5144538957549987E-3</v>
      </c>
      <c r="X1122" s="23">
        <v>3.9311719151647884E-2</v>
      </c>
      <c r="Y1122" s="23">
        <f t="shared" si="216"/>
        <v>4.2998371257500612E-2</v>
      </c>
      <c r="Z1122" s="22">
        <f t="shared" si="217"/>
        <v>3.5144611061896924E-3</v>
      </c>
      <c r="AA1122" s="33"/>
      <c r="AB1122" s="50">
        <f t="shared" si="213"/>
        <v>1109</v>
      </c>
      <c r="AC1122" s="48">
        <f t="shared" si="208"/>
        <v>9.3391614227635283E-2</v>
      </c>
      <c r="AE1122" s="48">
        <f t="shared" si="214"/>
        <v>0.99782722046157346</v>
      </c>
      <c r="AF1122" s="48">
        <f t="shared" si="218"/>
        <v>9.3391614227635256E-2</v>
      </c>
      <c r="AH1122" s="48">
        <f t="shared" si="219"/>
        <v>0</v>
      </c>
    </row>
    <row r="1123" spans="4:34" ht="13.9" customHeight="1">
      <c r="D1123" s="8"/>
      <c r="E1123" s="9"/>
      <c r="F1123" s="18"/>
      <c r="G1123" s="18"/>
      <c r="H1123" s="18"/>
      <c r="J1123" s="40"/>
      <c r="K1123" s="40"/>
      <c r="L1123" s="40"/>
      <c r="M1123" s="38"/>
      <c r="O1123" s="12">
        <f t="shared" si="209"/>
        <v>92.5</v>
      </c>
      <c r="P1123" s="13">
        <v>1110</v>
      </c>
      <c r="Q1123" s="21">
        <v>2.5987380910082569E-2</v>
      </c>
      <c r="R1123" s="18">
        <f t="shared" si="210"/>
        <v>2.6445762049183807E-2</v>
      </c>
      <c r="S1123" s="21">
        <v>3.8268095568862792E-2</v>
      </c>
      <c r="T1123" s="18">
        <f t="shared" si="211"/>
        <v>4.2998657740863422E-2</v>
      </c>
      <c r="U1123" s="23">
        <v>3.9577317730308037E-2</v>
      </c>
      <c r="V1123" s="23">
        <f t="shared" si="212"/>
        <v>4.2998299867415879E-2</v>
      </c>
      <c r="W1123" s="22">
        <f t="shared" si="215"/>
        <v>3.514455340256184E-3</v>
      </c>
      <c r="X1123" s="23">
        <v>3.9315034588351727E-2</v>
      </c>
      <c r="Y1123" s="23">
        <f t="shared" si="216"/>
        <v>4.2998388381810804E-2</v>
      </c>
      <c r="Z1123" s="22">
        <f t="shared" si="217"/>
        <v>3.5144624937319957E-3</v>
      </c>
      <c r="AA1123" s="33"/>
      <c r="AB1123" s="50">
        <f t="shared" si="213"/>
        <v>1110</v>
      </c>
      <c r="AC1123" s="48">
        <f t="shared" si="208"/>
        <v>9.3188693291469768E-2</v>
      </c>
      <c r="AE1123" s="48">
        <f t="shared" si="214"/>
        <v>0.99782720388930712</v>
      </c>
      <c r="AF1123" s="48">
        <f t="shared" si="218"/>
        <v>9.3188693291470115E-2</v>
      </c>
      <c r="AH1123" s="48">
        <f t="shared" si="219"/>
        <v>3.4694469519536142E-16</v>
      </c>
    </row>
    <row r="1124" spans="4:34" ht="13.9" customHeight="1">
      <c r="D1124" s="8"/>
      <c r="E1124" s="9"/>
      <c r="F1124" s="18"/>
      <c r="G1124" s="18"/>
      <c r="H1124" s="18"/>
      <c r="J1124" s="40"/>
      <c r="K1124" s="40"/>
      <c r="L1124" s="40"/>
      <c r="M1124" s="38"/>
      <c r="O1124" s="12">
        <f t="shared" si="209"/>
        <v>92.583333333333329</v>
      </c>
      <c r="P1124" s="13">
        <v>1111</v>
      </c>
      <c r="Q1124" s="21">
        <v>2.5987793402311166E-2</v>
      </c>
      <c r="R1124" s="18">
        <f t="shared" si="210"/>
        <v>2.6445963237262227E-2</v>
      </c>
      <c r="S1124" s="21">
        <v>3.8272343838660516E-2</v>
      </c>
      <c r="T1124" s="18">
        <f t="shared" si="211"/>
        <v>4.2998672474885646E-2</v>
      </c>
      <c r="U1124" s="23">
        <v>3.9580391871368414E-2</v>
      </c>
      <c r="V1124" s="23">
        <f t="shared" si="212"/>
        <v>4.2998317511728112E-2</v>
      </c>
      <c r="W1124" s="22">
        <f t="shared" si="215"/>
        <v>3.5144567697709128E-3</v>
      </c>
      <c r="X1124" s="23">
        <v>3.9318344082579504E-2</v>
      </c>
      <c r="Y1124" s="23">
        <f t="shared" si="216"/>
        <v>4.2998405325505029E-2</v>
      </c>
      <c r="Z1124" s="22">
        <f t="shared" si="217"/>
        <v>3.5144638667361505E-3</v>
      </c>
      <c r="AA1124" s="33"/>
      <c r="AB1124" s="50">
        <f t="shared" si="213"/>
        <v>1111</v>
      </c>
      <c r="AC1124" s="48">
        <f t="shared" si="208"/>
        <v>9.2986211729596299E-2</v>
      </c>
      <c r="AE1124" s="48">
        <f t="shared" si="214"/>
        <v>0.99782718745458809</v>
      </c>
      <c r="AF1124" s="48">
        <f t="shared" si="218"/>
        <v>9.2986211729595869E-2</v>
      </c>
      <c r="AH1124" s="48">
        <f t="shared" si="219"/>
        <v>-4.3021142204224816E-16</v>
      </c>
    </row>
    <row r="1125" spans="4:34" ht="13.9" customHeight="1">
      <c r="D1125" s="8"/>
      <c r="E1125" s="9"/>
      <c r="F1125" s="18"/>
      <c r="G1125" s="18"/>
      <c r="H1125" s="18"/>
      <c r="J1125" s="40"/>
      <c r="K1125" s="40"/>
      <c r="L1125" s="40"/>
      <c r="M1125" s="38"/>
      <c r="O1125" s="12">
        <f t="shared" si="209"/>
        <v>92.666666666666671</v>
      </c>
      <c r="P1125" s="13">
        <v>1112</v>
      </c>
      <c r="Q1125" s="21">
        <v>2.5988205333656644E-2</v>
      </c>
      <c r="R1125" s="18">
        <f t="shared" si="210"/>
        <v>2.6446162755795699E-2</v>
      </c>
      <c r="S1125" s="21">
        <v>3.8276584498210919E-2</v>
      </c>
      <c r="T1125" s="18">
        <f t="shared" si="211"/>
        <v>4.2998687046906348E-2</v>
      </c>
      <c r="U1125" s="23">
        <v>3.9583460508279211E-2</v>
      </c>
      <c r="V1125" s="23">
        <f t="shared" si="212"/>
        <v>4.2998334972344621E-2</v>
      </c>
      <c r="W1125" s="22">
        <f t="shared" si="215"/>
        <v>3.5144581844681611E-3</v>
      </c>
      <c r="X1125" s="23">
        <v>3.9321647650172986E-2</v>
      </c>
      <c r="Y1125" s="23">
        <f t="shared" si="216"/>
        <v>4.2998422091113708E-2</v>
      </c>
      <c r="Z1125" s="22">
        <f t="shared" si="217"/>
        <v>3.5144652252587782E-3</v>
      </c>
      <c r="AA1125" s="33"/>
      <c r="AB1125" s="50">
        <f t="shared" si="213"/>
        <v>1112</v>
      </c>
      <c r="AC1125" s="48">
        <f t="shared" si="208"/>
        <v>9.2784168606689532E-2</v>
      </c>
      <c r="AE1125" s="48">
        <f t="shared" si="214"/>
        <v>0.9978271711563641</v>
      </c>
      <c r="AF1125" s="48">
        <f t="shared" si="218"/>
        <v>9.2784168606689366E-2</v>
      </c>
      <c r="AH1125" s="48">
        <f t="shared" si="219"/>
        <v>-1.6653345369377348E-16</v>
      </c>
    </row>
    <row r="1126" spans="4:34" ht="13.9" customHeight="1">
      <c r="D1126" s="8"/>
      <c r="E1126" s="9"/>
      <c r="F1126" s="18"/>
      <c r="G1126" s="18"/>
      <c r="H1126" s="18"/>
      <c r="J1126" s="40"/>
      <c r="K1126" s="40"/>
      <c r="L1126" s="40"/>
      <c r="M1126" s="38"/>
      <c r="O1126" s="12">
        <f t="shared" si="209"/>
        <v>92.75</v>
      </c>
      <c r="P1126" s="13">
        <v>1113</v>
      </c>
      <c r="Q1126" s="21">
        <v>2.5988616704130996E-2</v>
      </c>
      <c r="R1126" s="18">
        <f t="shared" si="210"/>
        <v>2.6446360617314202E-2</v>
      </c>
      <c r="S1126" s="21">
        <v>3.8280817567835523E-2</v>
      </c>
      <c r="T1126" s="18">
        <f t="shared" si="211"/>
        <v>4.2998701458927258E-2</v>
      </c>
      <c r="U1126" s="23">
        <v>3.9586523655688044E-2</v>
      </c>
      <c r="V1126" s="23">
        <f t="shared" si="212"/>
        <v>4.2998352252421324E-2</v>
      </c>
      <c r="W1126" s="22">
        <f t="shared" si="215"/>
        <v>3.5144595844369686E-3</v>
      </c>
      <c r="X1126" s="23">
        <v>3.9324945306919323E-2</v>
      </c>
      <c r="Y1126" s="23">
        <f t="shared" si="216"/>
        <v>4.2998438680683204E-2</v>
      </c>
      <c r="Z1126" s="22">
        <f t="shared" si="217"/>
        <v>3.5144665695026056E-3</v>
      </c>
      <c r="AA1126" s="33"/>
      <c r="AB1126" s="50">
        <f t="shared" si="213"/>
        <v>1113</v>
      </c>
      <c r="AC1126" s="48">
        <f t="shared" si="208"/>
        <v>9.2582562989240627E-2</v>
      </c>
      <c r="AE1126" s="48">
        <f t="shared" si="214"/>
        <v>0.99782715499339336</v>
      </c>
      <c r="AF1126" s="48">
        <f t="shared" si="218"/>
        <v>9.2582562989240169E-2</v>
      </c>
      <c r="AH1126" s="48">
        <f t="shared" si="219"/>
        <v>-4.5796699765787707E-16</v>
      </c>
    </row>
    <row r="1127" spans="4:34" ht="13.9" customHeight="1">
      <c r="D1127" s="8"/>
      <c r="E1127" s="9"/>
      <c r="F1127" s="18"/>
      <c r="G1127" s="18"/>
      <c r="H1127" s="18"/>
      <c r="J1127" s="40"/>
      <c r="K1127" s="40"/>
      <c r="L1127" s="40"/>
      <c r="M1127" s="38"/>
      <c r="O1127" s="12">
        <f t="shared" si="209"/>
        <v>92.833333333333329</v>
      </c>
      <c r="P1127" s="13">
        <v>1114</v>
      </c>
      <c r="Q1127" s="21">
        <v>2.5989027513757756E-2</v>
      </c>
      <c r="R1127" s="18">
        <f t="shared" si="210"/>
        <v>2.6446556835957979E-2</v>
      </c>
      <c r="S1127" s="21">
        <v>3.8285043067784796E-2</v>
      </c>
      <c r="T1127" s="18">
        <f t="shared" si="211"/>
        <v>4.2998715713151947E-2</v>
      </c>
      <c r="U1127" s="23">
        <v>3.9589581328192125E-2</v>
      </c>
      <c r="V1127" s="23">
        <f t="shared" si="212"/>
        <v>4.2998369352477361E-2</v>
      </c>
      <c r="W1127" s="22">
        <f t="shared" si="215"/>
        <v>3.5144609699302443E-3</v>
      </c>
      <c r="X1127" s="23">
        <v>3.9328237068551042E-2</v>
      </c>
      <c r="Y1127" s="23">
        <f t="shared" si="216"/>
        <v>4.2998455095670129E-2</v>
      </c>
      <c r="Z1127" s="22">
        <f t="shared" si="217"/>
        <v>3.5144678996319456E-3</v>
      </c>
      <c r="AA1127" s="33"/>
      <c r="AB1127" s="50">
        <f t="shared" si="213"/>
        <v>1114</v>
      </c>
      <c r="AC1127" s="48">
        <f t="shared" si="208"/>
        <v>9.2381393945568949E-2</v>
      </c>
      <c r="AE1127" s="48">
        <f t="shared" si="214"/>
        <v>0.99782713896466058</v>
      </c>
      <c r="AF1127" s="48">
        <f t="shared" si="218"/>
        <v>9.238139394556899E-2</v>
      </c>
      <c r="AH1127" s="48">
        <f t="shared" si="219"/>
        <v>0</v>
      </c>
    </row>
    <row r="1128" spans="4:34" ht="13.9" customHeight="1">
      <c r="D1128" s="8"/>
      <c r="E1128" s="9"/>
      <c r="F1128" s="18"/>
      <c r="G1128" s="18"/>
      <c r="H1128" s="18"/>
      <c r="J1128" s="40"/>
      <c r="K1128" s="40"/>
      <c r="L1128" s="40"/>
      <c r="M1128" s="38"/>
      <c r="O1128" s="12">
        <f t="shared" si="209"/>
        <v>92.916666666666671</v>
      </c>
      <c r="P1128" s="13">
        <v>1115</v>
      </c>
      <c r="Q1128" s="21">
        <v>2.5989437762572676E-2</v>
      </c>
      <c r="R1128" s="18">
        <f t="shared" si="210"/>
        <v>2.6446751425702519E-2</v>
      </c>
      <c r="S1128" s="21">
        <v>3.8289261018238596E-2</v>
      </c>
      <c r="T1128" s="18">
        <f t="shared" si="211"/>
        <v>4.299872981082542E-2</v>
      </c>
      <c r="U1128" s="23">
        <v>3.9592633540337374E-2</v>
      </c>
      <c r="V1128" s="23">
        <f t="shared" si="212"/>
        <v>4.2998386275594491E-2</v>
      </c>
      <c r="W1128" s="22">
        <f t="shared" si="215"/>
        <v>3.5144623409897324E-3</v>
      </c>
      <c r="X1128" s="23">
        <v>3.9331522950745379E-2</v>
      </c>
      <c r="Y1128" s="23">
        <f t="shared" si="216"/>
        <v>4.2998471338168587E-2</v>
      </c>
      <c r="Z1128" s="22">
        <f t="shared" si="217"/>
        <v>3.5144692157633717E-3</v>
      </c>
      <c r="AA1128" s="33"/>
      <c r="AB1128" s="50">
        <f t="shared" si="213"/>
        <v>1115</v>
      </c>
      <c r="AC1128" s="48">
        <f t="shared" si="208"/>
        <v>9.2180660545813378E-2</v>
      </c>
      <c r="AE1128" s="48">
        <f t="shared" si="214"/>
        <v>0.99782712306902022</v>
      </c>
      <c r="AF1128" s="48">
        <f t="shared" si="218"/>
        <v>9.2180660545812906E-2</v>
      </c>
      <c r="AH1128" s="48">
        <f t="shared" si="219"/>
        <v>-4.7184478546569153E-16</v>
      </c>
    </row>
    <row r="1129" spans="4:34" ht="13.9" customHeight="1">
      <c r="D1129" s="8"/>
      <c r="E1129" s="9"/>
      <c r="F1129" s="18"/>
      <c r="G1129" s="18"/>
      <c r="H1129" s="18"/>
      <c r="J1129" s="40"/>
      <c r="K1129" s="40"/>
      <c r="L1129" s="40"/>
      <c r="M1129" s="38"/>
      <c r="O1129" s="12">
        <f t="shared" si="209"/>
        <v>93</v>
      </c>
      <c r="P1129" s="13">
        <v>1116</v>
      </c>
      <c r="Q1129" s="21">
        <v>2.5989847450624382E-2</v>
      </c>
      <c r="R1129" s="18">
        <f t="shared" si="210"/>
        <v>2.6446944400159822E-2</v>
      </c>
      <c r="S1129" s="21">
        <v>3.8293471439305726E-2</v>
      </c>
      <c r="T1129" s="18">
        <f t="shared" si="211"/>
        <v>4.2998743753289492E-2</v>
      </c>
      <c r="U1129" s="23">
        <v>3.9595680306620196E-2</v>
      </c>
      <c r="V1129" s="23">
        <f t="shared" si="212"/>
        <v>4.299840302298219E-2</v>
      </c>
      <c r="W1129" s="22">
        <f t="shared" si="215"/>
        <v>3.5144636978625687E-3</v>
      </c>
      <c r="X1129" s="23">
        <v>3.9334802969125615E-2</v>
      </c>
      <c r="Y1129" s="23">
        <f t="shared" si="216"/>
        <v>4.2998487409907638E-2</v>
      </c>
      <c r="Z1129" s="22">
        <f t="shared" si="217"/>
        <v>3.5144705180649716E-3</v>
      </c>
      <c r="AA1129" s="33"/>
      <c r="AB1129" s="50">
        <f t="shared" si="213"/>
        <v>1116</v>
      </c>
      <c r="AC1129" s="48">
        <f t="shared" si="208"/>
        <v>9.1980361861923932E-2</v>
      </c>
      <c r="AE1129" s="48">
        <f t="shared" si="214"/>
        <v>0.99782710730533986</v>
      </c>
      <c r="AF1129" s="48">
        <f t="shared" si="218"/>
        <v>9.1980361861923959E-2</v>
      </c>
      <c r="AH1129" s="48">
        <f t="shared" si="219"/>
        <v>0</v>
      </c>
    </row>
    <row r="1130" spans="4:34" ht="13.9" customHeight="1">
      <c r="D1130" s="8"/>
      <c r="E1130" s="9"/>
      <c r="F1130" s="18"/>
      <c r="G1130" s="18"/>
      <c r="H1130" s="18"/>
      <c r="J1130" s="40"/>
      <c r="K1130" s="40"/>
      <c r="L1130" s="40"/>
      <c r="M1130" s="38"/>
      <c r="O1130" s="12">
        <f t="shared" si="209"/>
        <v>93.083333333333329</v>
      </c>
      <c r="P1130" s="13">
        <v>1117</v>
      </c>
      <c r="Q1130" s="21">
        <v>2.5990256577973048E-2</v>
      </c>
      <c r="R1130" s="18">
        <f t="shared" si="210"/>
        <v>2.6447135772243557E-2</v>
      </c>
      <c r="S1130" s="21">
        <v>3.8297674351024602E-2</v>
      </c>
      <c r="T1130" s="18">
        <f t="shared" si="211"/>
        <v>4.2998757543122101E-2</v>
      </c>
      <c r="U1130" s="23">
        <v>3.9598721641486145E-2</v>
      </c>
      <c r="V1130" s="23">
        <f t="shared" si="212"/>
        <v>4.299841959652273E-2</v>
      </c>
      <c r="W1130" s="22">
        <f t="shared" si="215"/>
        <v>3.5144650406455646E-3</v>
      </c>
      <c r="X1130" s="23">
        <v>3.933807713926063E-2</v>
      </c>
      <c r="Y1130" s="23">
        <f t="shared" si="216"/>
        <v>4.2998503312571712E-2</v>
      </c>
      <c r="Z1130" s="22">
        <f t="shared" si="217"/>
        <v>3.5144718066750791E-3</v>
      </c>
      <c r="AA1130" s="33"/>
      <c r="AB1130" s="50">
        <f t="shared" si="213"/>
        <v>1117</v>
      </c>
      <c r="AC1130" s="48">
        <f t="shared" si="208"/>
        <v>9.1780496967668865E-2</v>
      </c>
      <c r="AE1130" s="48">
        <f t="shared" si="214"/>
        <v>0.99782709167251682</v>
      </c>
      <c r="AF1130" s="48">
        <f t="shared" si="218"/>
        <v>9.1780496967669267E-2</v>
      </c>
      <c r="AH1130" s="48">
        <f t="shared" si="219"/>
        <v>4.0245584642661925E-16</v>
      </c>
    </row>
    <row r="1131" spans="4:34" ht="13.9" customHeight="1">
      <c r="D1131" s="8"/>
      <c r="E1131" s="9"/>
      <c r="F1131" s="18"/>
      <c r="G1131" s="18"/>
      <c r="H1131" s="18"/>
      <c r="J1131" s="40"/>
      <c r="K1131" s="40"/>
      <c r="L1131" s="40"/>
      <c r="M1131" s="38"/>
      <c r="O1131" s="12">
        <f t="shared" si="209"/>
        <v>93.166666666666671</v>
      </c>
      <c r="P1131" s="13">
        <v>1118</v>
      </c>
      <c r="Q1131" s="21">
        <v>2.5990665144690395E-2</v>
      </c>
      <c r="R1131" s="18">
        <f t="shared" si="210"/>
        <v>2.6447325555738033E-2</v>
      </c>
      <c r="S1131" s="21">
        <v>3.8301869773363917E-2</v>
      </c>
      <c r="T1131" s="18">
        <f t="shared" si="211"/>
        <v>4.299877118145945E-2</v>
      </c>
      <c r="U1131" s="23">
        <v>3.9601757559331041E-2</v>
      </c>
      <c r="V1131" s="23">
        <f t="shared" si="212"/>
        <v>4.2998435998125251E-2</v>
      </c>
      <c r="W1131" s="22">
        <f t="shared" si="215"/>
        <v>3.5144663694897105E-3</v>
      </c>
      <c r="X1131" s="23">
        <v>3.9341345476665124E-2</v>
      </c>
      <c r="Y1131" s="23">
        <f t="shared" si="216"/>
        <v>4.2998519048272454E-2</v>
      </c>
      <c r="Z1131" s="22">
        <f t="shared" si="217"/>
        <v>3.5144730817291414E-3</v>
      </c>
      <c r="AA1131" s="33"/>
      <c r="AB1131" s="50">
        <f t="shared" si="213"/>
        <v>1118</v>
      </c>
      <c r="AC1131" s="48">
        <f t="shared" si="208"/>
        <v>9.1581064938632994E-2</v>
      </c>
      <c r="AE1131" s="48">
        <f t="shared" si="214"/>
        <v>0.99782707616950483</v>
      </c>
      <c r="AF1131" s="48">
        <f t="shared" si="218"/>
        <v>9.1581064938633536E-2</v>
      </c>
      <c r="AH1131" s="48">
        <f t="shared" si="219"/>
        <v>5.4123372450476381E-16</v>
      </c>
    </row>
    <row r="1132" spans="4:34" ht="13.9" customHeight="1">
      <c r="D1132" s="8"/>
      <c r="E1132" s="9"/>
      <c r="F1132" s="18"/>
      <c r="G1132" s="18"/>
      <c r="H1132" s="18"/>
      <c r="J1132" s="40"/>
      <c r="K1132" s="40"/>
      <c r="L1132" s="40"/>
      <c r="M1132" s="38"/>
      <c r="O1132" s="12">
        <f t="shared" si="209"/>
        <v>93.25</v>
      </c>
      <c r="P1132" s="13">
        <v>1119</v>
      </c>
      <c r="Q1132" s="21">
        <v>2.5991073150860133E-2</v>
      </c>
      <c r="R1132" s="18">
        <f t="shared" si="210"/>
        <v>2.6447513763362407E-2</v>
      </c>
      <c r="S1132" s="21">
        <v>3.8306057726222642E-2</v>
      </c>
      <c r="T1132" s="18">
        <f t="shared" si="211"/>
        <v>4.2998784670031931E-2</v>
      </c>
      <c r="U1132" s="23">
        <v>3.9604788074500963E-2</v>
      </c>
      <c r="V1132" s="23">
        <f t="shared" si="212"/>
        <v>4.299845222936538E-2</v>
      </c>
      <c r="W1132" s="22">
        <f t="shared" si="215"/>
        <v>3.514467684547995E-3</v>
      </c>
      <c r="X1132" s="23">
        <v>3.9344607996800285E-2</v>
      </c>
      <c r="Y1132" s="23">
        <f t="shared" si="216"/>
        <v>4.2998534618034379E-2</v>
      </c>
      <c r="Z1132" s="22">
        <f t="shared" si="217"/>
        <v>3.5144743433963566E-3</v>
      </c>
      <c r="AA1132" s="33"/>
      <c r="AB1132" s="50">
        <f t="shared" si="213"/>
        <v>1119</v>
      </c>
      <c r="AC1132" s="48">
        <f t="shared" si="208"/>
        <v>9.1382064852209705E-2</v>
      </c>
      <c r="AE1132" s="48">
        <f t="shared" si="214"/>
        <v>0.99782706079518724</v>
      </c>
      <c r="AF1132" s="48">
        <f t="shared" si="218"/>
        <v>9.1382064852209871E-2</v>
      </c>
      <c r="AH1132" s="48">
        <f t="shared" si="219"/>
        <v>1.6653345369377348E-16</v>
      </c>
    </row>
    <row r="1133" spans="4:34" ht="13.9" customHeight="1">
      <c r="D1133" s="8"/>
      <c r="E1133" s="9"/>
      <c r="F1133" s="18"/>
      <c r="G1133" s="18"/>
      <c r="H1133" s="18"/>
      <c r="J1133" s="40"/>
      <c r="K1133" s="40"/>
      <c r="L1133" s="40"/>
      <c r="M1133" s="38"/>
      <c r="O1133" s="12">
        <f t="shared" si="209"/>
        <v>93.333333333333329</v>
      </c>
      <c r="P1133" s="13">
        <v>1120</v>
      </c>
      <c r="Q1133" s="21">
        <v>2.5991480596577077E-2</v>
      </c>
      <c r="R1133" s="18">
        <f t="shared" si="210"/>
        <v>2.6447700408417152E-2</v>
      </c>
      <c r="S1133" s="21">
        <v>3.8310238229430027E-2</v>
      </c>
      <c r="T1133" s="18">
        <f t="shared" si="211"/>
        <v>4.2998798010882577E-2</v>
      </c>
      <c r="U1133" s="23">
        <v>3.9607813201292252E-2</v>
      </c>
      <c r="V1133" s="23">
        <f t="shared" si="212"/>
        <v>4.2998468292241077E-2</v>
      </c>
      <c r="W1133" s="22">
        <f t="shared" si="215"/>
        <v>3.5144689859469835E-3</v>
      </c>
      <c r="X1133" s="23">
        <v>3.9347864715073344E-2</v>
      </c>
      <c r="Y1133" s="23">
        <f t="shared" si="216"/>
        <v>4.2998550024698545E-2</v>
      </c>
      <c r="Z1133" s="22">
        <f t="shared" si="217"/>
        <v>3.514475591758659E-3</v>
      </c>
      <c r="AA1133" s="33"/>
      <c r="AB1133" s="50">
        <f t="shared" si="213"/>
        <v>1120</v>
      </c>
      <c r="AC1133" s="48">
        <f t="shared" si="208"/>
        <v>9.1183495787605665E-2</v>
      </c>
      <c r="AE1133" s="48">
        <f t="shared" si="214"/>
        <v>0.99782704554853363</v>
      </c>
      <c r="AF1133" s="48">
        <f t="shared" si="218"/>
        <v>9.1183495787605068E-2</v>
      </c>
      <c r="AH1133" s="48">
        <f t="shared" si="219"/>
        <v>-5.9674487573602164E-16</v>
      </c>
    </row>
    <row r="1134" spans="4:34" ht="13.9" customHeight="1">
      <c r="D1134" s="8"/>
      <c r="E1134" s="9"/>
      <c r="F1134" s="18"/>
      <c r="G1134" s="18"/>
      <c r="H1134" s="18"/>
      <c r="J1134" s="40"/>
      <c r="K1134" s="40"/>
      <c r="L1134" s="40"/>
      <c r="M1134" s="38"/>
      <c r="O1134" s="12">
        <f t="shared" si="209"/>
        <v>93.416666666666671</v>
      </c>
      <c r="P1134" s="13">
        <v>1121</v>
      </c>
      <c r="Q1134" s="21">
        <v>2.5991887481947806E-2</v>
      </c>
      <c r="R1134" s="18">
        <f t="shared" si="210"/>
        <v>2.644788550453292E-2</v>
      </c>
      <c r="S1134" s="21">
        <v>3.8314411302746709E-2</v>
      </c>
      <c r="T1134" s="18">
        <f t="shared" si="211"/>
        <v>4.2998811204806309E-2</v>
      </c>
      <c r="U1134" s="23">
        <v>3.961083295395218E-2</v>
      </c>
      <c r="V1134" s="23">
        <f t="shared" si="212"/>
        <v>4.2998484188209396E-2</v>
      </c>
      <c r="W1134" s="22">
        <f t="shared" si="215"/>
        <v>3.5144702738465483E-3</v>
      </c>
      <c r="X1134" s="23">
        <v>3.9351115646838908E-2</v>
      </c>
      <c r="Y1134" s="23">
        <f t="shared" si="216"/>
        <v>4.2998565269040556E-2</v>
      </c>
      <c r="Z1134" s="22">
        <f t="shared" si="217"/>
        <v>3.5144768270440885E-3</v>
      </c>
      <c r="AA1134" s="33"/>
      <c r="AB1134" s="50">
        <f t="shared" si="213"/>
        <v>1121</v>
      </c>
      <c r="AC1134" s="48">
        <f t="shared" si="208"/>
        <v>9.0985356825832087E-2</v>
      </c>
      <c r="AE1134" s="48">
        <f t="shared" si="214"/>
        <v>0.99782703042846643</v>
      </c>
      <c r="AF1134" s="48">
        <f t="shared" si="218"/>
        <v>9.0985356825832545E-2</v>
      </c>
      <c r="AH1134" s="48">
        <f t="shared" si="219"/>
        <v>4.5796699765787707E-16</v>
      </c>
    </row>
    <row r="1135" spans="4:34" ht="13.9" customHeight="1">
      <c r="D1135" s="8"/>
      <c r="E1135" s="9"/>
      <c r="F1135" s="18"/>
      <c r="G1135" s="18"/>
      <c r="H1135" s="18"/>
      <c r="J1135" s="40"/>
      <c r="K1135" s="40"/>
      <c r="L1135" s="40"/>
      <c r="M1135" s="38"/>
      <c r="O1135" s="12">
        <f t="shared" si="209"/>
        <v>93.5</v>
      </c>
      <c r="P1135" s="13">
        <v>1122</v>
      </c>
      <c r="Q1135" s="21">
        <v>2.5992293807090006E-2</v>
      </c>
      <c r="R1135" s="18">
        <f t="shared" si="210"/>
        <v>2.6448069063209401E-2</v>
      </c>
      <c r="S1135" s="21">
        <v>3.8318576965863826E-2</v>
      </c>
      <c r="T1135" s="18">
        <f t="shared" si="211"/>
        <v>4.2998824254345536E-2</v>
      </c>
      <c r="U1135" s="23">
        <v>3.9613847346678277E-2</v>
      </c>
      <c r="V1135" s="23">
        <f t="shared" si="212"/>
        <v>4.2998499919732147E-2</v>
      </c>
      <c r="W1135" s="22">
        <f t="shared" si="215"/>
        <v>3.5144715483637068E-3</v>
      </c>
      <c r="X1135" s="23">
        <v>3.9354360807397848E-2</v>
      </c>
      <c r="Y1135" s="23">
        <f t="shared" si="216"/>
        <v>4.2998580353217131E-2</v>
      </c>
      <c r="Z1135" s="22">
        <f t="shared" si="217"/>
        <v>3.5144780493148176E-3</v>
      </c>
      <c r="AA1135" s="33"/>
      <c r="AB1135" s="50">
        <f t="shared" si="213"/>
        <v>1122</v>
      </c>
      <c r="AC1135" s="48">
        <f t="shared" si="208"/>
        <v>9.0787647049707279E-2</v>
      </c>
      <c r="AE1135" s="48">
        <f t="shared" si="214"/>
        <v>0.9978270154338813</v>
      </c>
      <c r="AF1135" s="48">
        <f t="shared" si="218"/>
        <v>9.078764704970721E-2</v>
      </c>
      <c r="AH1135" s="48">
        <f t="shared" si="219"/>
        <v>0</v>
      </c>
    </row>
    <row r="1136" spans="4:34" ht="13.9" customHeight="1">
      <c r="D1136" s="8"/>
      <c r="E1136" s="9"/>
      <c r="F1136" s="18"/>
      <c r="G1136" s="18"/>
      <c r="H1136" s="18"/>
      <c r="J1136" s="40"/>
      <c r="K1136" s="40"/>
      <c r="L1136" s="40"/>
      <c r="M1136" s="38"/>
      <c r="O1136" s="12">
        <f t="shared" si="209"/>
        <v>93.583333333333329</v>
      </c>
      <c r="P1136" s="13">
        <v>1123</v>
      </c>
      <c r="Q1136" s="21">
        <v>2.5992699572131794E-2</v>
      </c>
      <c r="R1136" s="18">
        <f t="shared" si="210"/>
        <v>2.6448251098450282E-2</v>
      </c>
      <c r="S1136" s="21">
        <v>3.8322735238404571E-2</v>
      </c>
      <c r="T1136" s="18">
        <f t="shared" si="211"/>
        <v>4.2998837160185488E-2</v>
      </c>
      <c r="U1136" s="23">
        <v>3.9616856393620115E-2</v>
      </c>
      <c r="V1136" s="23">
        <f t="shared" si="212"/>
        <v>4.2998515487518318E-2</v>
      </c>
      <c r="W1136" s="22">
        <f t="shared" si="215"/>
        <v>3.5144728096958566E-3</v>
      </c>
      <c r="X1136" s="23">
        <v>3.9357600211998189E-2</v>
      </c>
      <c r="Y1136" s="23">
        <f t="shared" si="216"/>
        <v>4.2998595278785912E-2</v>
      </c>
      <c r="Z1136" s="22">
        <f t="shared" si="217"/>
        <v>3.5144792587435969E-3</v>
      </c>
      <c r="AA1136" s="33"/>
      <c r="AB1136" s="50">
        <f t="shared" si="213"/>
        <v>1123</v>
      </c>
      <c r="AC1136" s="48">
        <f t="shared" si="208"/>
        <v>9.0590365543858881E-2</v>
      </c>
      <c r="AE1136" s="48">
        <f t="shared" si="214"/>
        <v>0.99782700056384654</v>
      </c>
      <c r="AF1136" s="48">
        <f t="shared" si="218"/>
        <v>9.0590365543858492E-2</v>
      </c>
      <c r="AH1136" s="48">
        <f t="shared" si="219"/>
        <v>-3.8857805861880479E-16</v>
      </c>
    </row>
    <row r="1137" spans="4:34" ht="13.9" customHeight="1">
      <c r="D1137" s="8"/>
      <c r="E1137" s="9"/>
      <c r="F1137" s="18"/>
      <c r="G1137" s="18"/>
      <c r="H1137" s="18"/>
      <c r="J1137" s="40"/>
      <c r="K1137" s="40"/>
      <c r="L1137" s="40"/>
      <c r="M1137" s="38"/>
      <c r="O1137" s="12">
        <f t="shared" si="209"/>
        <v>93.666666666666671</v>
      </c>
      <c r="P1137" s="13">
        <v>1124</v>
      </c>
      <c r="Q1137" s="21">
        <v>2.5993104777213061E-2</v>
      </c>
      <c r="R1137" s="18">
        <f t="shared" si="210"/>
        <v>2.6448431621981738E-2</v>
      </c>
      <c r="S1137" s="21">
        <v>3.8326886139923078E-2</v>
      </c>
      <c r="T1137" s="18">
        <f t="shared" si="211"/>
        <v>4.2998849924618554E-2</v>
      </c>
      <c r="U1137" s="23">
        <v>3.9619860108877525E-2</v>
      </c>
      <c r="V1137" s="23">
        <f t="shared" si="212"/>
        <v>4.2998530893734399E-2</v>
      </c>
      <c r="W1137" s="22">
        <f t="shared" si="215"/>
        <v>3.5144740578998412E-3</v>
      </c>
      <c r="X1137" s="23">
        <v>3.9360833875835555E-2</v>
      </c>
      <c r="Y1137" s="23">
        <f t="shared" si="216"/>
        <v>4.2998610047279451E-2</v>
      </c>
      <c r="Z1137" s="22">
        <f t="shared" si="217"/>
        <v>3.5144804554552156E-3</v>
      </c>
      <c r="AA1137" s="33"/>
      <c r="AB1137" s="50">
        <f t="shared" si="213"/>
        <v>1124</v>
      </c>
      <c r="AC1137" s="48">
        <f t="shared" si="208"/>
        <v>9.039351139470958E-2</v>
      </c>
      <c r="AE1137" s="48">
        <f t="shared" si="214"/>
        <v>0.99782698581722773</v>
      </c>
      <c r="AF1137" s="48">
        <f t="shared" si="218"/>
        <v>9.0393511394709164E-2</v>
      </c>
      <c r="AH1137" s="48">
        <f t="shared" si="219"/>
        <v>-4.163336342344337E-16</v>
      </c>
    </row>
    <row r="1138" spans="4:34" ht="13.9" customHeight="1">
      <c r="D1138" s="8"/>
      <c r="E1138" s="9"/>
      <c r="F1138" s="18"/>
      <c r="G1138" s="18"/>
      <c r="H1138" s="18"/>
      <c r="J1138" s="40"/>
      <c r="K1138" s="40"/>
      <c r="L1138" s="40"/>
      <c r="M1138" s="38"/>
      <c r="O1138" s="12">
        <f t="shared" si="209"/>
        <v>93.75</v>
      </c>
      <c r="P1138" s="13">
        <v>1125</v>
      </c>
      <c r="Q1138" s="21">
        <v>2.5993509422483685E-2</v>
      </c>
      <c r="R1138" s="18">
        <f t="shared" si="210"/>
        <v>2.6448610647147763E-2</v>
      </c>
      <c r="S1138" s="21">
        <v>3.8331029689906426E-2</v>
      </c>
      <c r="T1138" s="18">
        <f t="shared" si="211"/>
        <v>4.2998862549080918E-2</v>
      </c>
      <c r="U1138" s="23">
        <v>3.9622858506502157E-2</v>
      </c>
      <c r="V1138" s="23">
        <f t="shared" si="212"/>
        <v>4.2998546140222915E-2</v>
      </c>
      <c r="W1138" s="22">
        <f t="shared" si="215"/>
        <v>3.5144752931495216E-3</v>
      </c>
      <c r="X1138" s="23">
        <v>3.9364061814052942E-2</v>
      </c>
      <c r="Y1138" s="23">
        <f t="shared" si="216"/>
        <v>4.299862466072657E-2</v>
      </c>
      <c r="Z1138" s="22">
        <f t="shared" si="217"/>
        <v>3.5144816395729084E-3</v>
      </c>
      <c r="AA1138" s="33"/>
      <c r="AB1138" s="50">
        <f t="shared" si="213"/>
        <v>1125</v>
      </c>
      <c r="AC1138" s="48">
        <f t="shared" si="208"/>
        <v>9.0197083690489163E-2</v>
      </c>
      <c r="AE1138" s="48">
        <f t="shared" si="214"/>
        <v>0.99782697119307495</v>
      </c>
      <c r="AF1138" s="48">
        <f t="shared" si="218"/>
        <v>9.0197083690489357E-2</v>
      </c>
      <c r="AH1138" s="48">
        <f t="shared" si="219"/>
        <v>1.9428902930940239E-16</v>
      </c>
    </row>
    <row r="1139" spans="4:34" ht="13.9" customHeight="1">
      <c r="D1139" s="8"/>
      <c r="E1139" s="9"/>
      <c r="F1139" s="18"/>
      <c r="G1139" s="18"/>
      <c r="H1139" s="18"/>
      <c r="J1139" s="40"/>
      <c r="K1139" s="40"/>
      <c r="L1139" s="40"/>
      <c r="M1139" s="38"/>
      <c r="O1139" s="12">
        <f t="shared" si="209"/>
        <v>93.833333333333329</v>
      </c>
      <c r="P1139" s="13">
        <v>1126</v>
      </c>
      <c r="Q1139" s="21">
        <v>2.5993913508104649E-2</v>
      </c>
      <c r="R1139" s="18">
        <f t="shared" si="210"/>
        <v>2.6448788186162364E-2</v>
      </c>
      <c r="S1139" s="21">
        <v>3.8335165907773527E-2</v>
      </c>
      <c r="T1139" s="18">
        <f t="shared" si="211"/>
        <v>4.299887503473343E-2</v>
      </c>
      <c r="U1139" s="23">
        <v>3.9625851600497475E-2</v>
      </c>
      <c r="V1139" s="23">
        <f t="shared" si="212"/>
        <v>4.2998561228599685E-2</v>
      </c>
      <c r="W1139" s="22">
        <f t="shared" si="215"/>
        <v>3.5144765155921132E-3</v>
      </c>
      <c r="X1139" s="23">
        <v>3.9367284041741168E-2</v>
      </c>
      <c r="Y1139" s="23">
        <f t="shared" si="216"/>
        <v>4.2998639120474857E-2</v>
      </c>
      <c r="Z1139" s="22">
        <f t="shared" si="217"/>
        <v>3.5144828112592119E-3</v>
      </c>
      <c r="AA1139" s="33"/>
      <c r="AB1139" s="50">
        <f t="shared" si="213"/>
        <v>1126</v>
      </c>
      <c r="AC1139" s="48">
        <f t="shared" si="208"/>
        <v>9.0001081521221604E-2</v>
      </c>
      <c r="AE1139" s="48">
        <f t="shared" si="214"/>
        <v>0.99782695669030685</v>
      </c>
      <c r="AF1139" s="48">
        <f t="shared" si="218"/>
        <v>9.000108152122191E-2</v>
      </c>
      <c r="AH1139" s="48">
        <f t="shared" si="219"/>
        <v>3.0531133177191805E-16</v>
      </c>
    </row>
    <row r="1140" spans="4:34" ht="13.9" customHeight="1">
      <c r="D1140" s="8"/>
      <c r="E1140" s="9"/>
      <c r="F1140" s="18"/>
      <c r="G1140" s="18"/>
      <c r="H1140" s="18"/>
      <c r="J1140" s="40"/>
      <c r="K1140" s="40"/>
      <c r="L1140" s="40"/>
      <c r="M1140" s="38"/>
      <c r="O1140" s="12">
        <f t="shared" si="209"/>
        <v>93.916666666666671</v>
      </c>
      <c r="P1140" s="13">
        <v>1127</v>
      </c>
      <c r="Q1140" s="21">
        <v>2.5994317034247372E-2</v>
      </c>
      <c r="R1140" s="18">
        <f t="shared" si="210"/>
        <v>2.6448964250754159E-2</v>
      </c>
      <c r="S1140" s="21">
        <v>3.833929481287579E-2</v>
      </c>
      <c r="T1140" s="18">
        <f t="shared" si="211"/>
        <v>4.2998887383345119E-2</v>
      </c>
      <c r="U1140" s="23">
        <v>3.9628839404818761E-2</v>
      </c>
      <c r="V1140" s="23">
        <f t="shared" si="212"/>
        <v>4.2998576160117707E-2</v>
      </c>
      <c r="W1140" s="22">
        <f t="shared" si="215"/>
        <v>3.5144777253577342E-3</v>
      </c>
      <c r="X1140" s="23">
        <v>3.9370500573938871E-2</v>
      </c>
      <c r="Y1140" s="23">
        <f t="shared" si="216"/>
        <v>4.2998653427824607E-2</v>
      </c>
      <c r="Z1140" s="22">
        <f t="shared" si="217"/>
        <v>3.5144839706220399E-3</v>
      </c>
      <c r="AA1140" s="33"/>
      <c r="AB1140" s="50">
        <f t="shared" si="213"/>
        <v>1127</v>
      </c>
      <c r="AC1140" s="48">
        <f t="shared" si="208"/>
        <v>8.980550397872783E-2</v>
      </c>
      <c r="AE1140" s="48">
        <f t="shared" si="214"/>
        <v>0.99782694230793401</v>
      </c>
      <c r="AF1140" s="48">
        <f t="shared" si="218"/>
        <v>8.9805503978727955E-2</v>
      </c>
      <c r="AH1140" s="48">
        <f t="shared" si="219"/>
        <v>1.2490009027033011E-16</v>
      </c>
    </row>
    <row r="1141" spans="4:34" ht="13.9" customHeight="1">
      <c r="D1141" s="8"/>
      <c r="E1141" s="9"/>
      <c r="F1141" s="18"/>
      <c r="G1141" s="18"/>
      <c r="H1141" s="18"/>
      <c r="J1141" s="40"/>
      <c r="K1141" s="40"/>
      <c r="L1141" s="40"/>
      <c r="M1141" s="38"/>
      <c r="O1141" s="12">
        <f t="shared" si="209"/>
        <v>94</v>
      </c>
      <c r="P1141" s="13">
        <v>1128</v>
      </c>
      <c r="Q1141" s="21">
        <v>2.5994720001093041E-2</v>
      </c>
      <c r="R1141" s="18">
        <f t="shared" si="210"/>
        <v>2.6449138854345522E-2</v>
      </c>
      <c r="S1141" s="21">
        <v>3.8343416424497567E-2</v>
      </c>
      <c r="T1141" s="18">
        <f t="shared" si="211"/>
        <v>4.2998899596451645E-2</v>
      </c>
      <c r="U1141" s="23">
        <v>3.963182193337289E-2</v>
      </c>
      <c r="V1141" s="23">
        <f t="shared" si="212"/>
        <v>4.299859093683267E-2</v>
      </c>
      <c r="W1141" s="22">
        <f t="shared" si="215"/>
        <v>3.5144789225465267E-3</v>
      </c>
      <c r="X1141" s="23">
        <v>3.9373711425632951E-2</v>
      </c>
      <c r="Y1141" s="23">
        <f t="shared" si="216"/>
        <v>4.2998667585413264E-2</v>
      </c>
      <c r="Z1141" s="22">
        <f t="shared" si="217"/>
        <v>3.5144851177659753E-3</v>
      </c>
      <c r="AA1141" s="33"/>
      <c r="AB1141" s="50">
        <f t="shared" si="213"/>
        <v>1128</v>
      </c>
      <c r="AC1141" s="48">
        <f t="shared" si="208"/>
        <v>8.9610350156627688E-2</v>
      </c>
      <c r="AE1141" s="48">
        <f t="shared" si="214"/>
        <v>0.9978269280450065</v>
      </c>
      <c r="AF1141" s="48">
        <f t="shared" si="218"/>
        <v>8.961035015662773E-2</v>
      </c>
      <c r="AH1141" s="48">
        <f t="shared" si="219"/>
        <v>0</v>
      </c>
    </row>
    <row r="1142" spans="4:34" ht="13.9" customHeight="1">
      <c r="D1142" s="8"/>
      <c r="E1142" s="9"/>
      <c r="F1142" s="18"/>
      <c r="G1142" s="18"/>
      <c r="H1142" s="18"/>
      <c r="J1142" s="40"/>
      <c r="K1142" s="40"/>
      <c r="L1142" s="40"/>
      <c r="M1142" s="38"/>
      <c r="O1142" s="12">
        <f t="shared" si="209"/>
        <v>94.083333333333329</v>
      </c>
      <c r="P1142" s="13">
        <v>1129</v>
      </c>
      <c r="Q1142" s="21">
        <v>2.599512240883417E-2</v>
      </c>
      <c r="R1142" s="18">
        <f t="shared" si="210"/>
        <v>2.6449312007689851E-2</v>
      </c>
      <c r="S1142" s="21">
        <v>3.8347530761856596E-2</v>
      </c>
      <c r="T1142" s="18">
        <f t="shared" si="211"/>
        <v>4.2998911675544704E-2</v>
      </c>
      <c r="U1142" s="23">
        <v>3.9634799200019666E-2</v>
      </c>
      <c r="V1142" s="23">
        <f t="shared" si="212"/>
        <v>4.2998605560023995E-2</v>
      </c>
      <c r="W1142" s="22">
        <f t="shared" si="215"/>
        <v>3.5144801073234699E-3</v>
      </c>
      <c r="X1142" s="23">
        <v>3.9376916611759016E-2</v>
      </c>
      <c r="Y1142" s="23">
        <f t="shared" si="216"/>
        <v>4.2998681593655608E-2</v>
      </c>
      <c r="Z1142" s="22">
        <f t="shared" si="217"/>
        <v>3.5144862529019605E-3</v>
      </c>
      <c r="AA1142" s="33"/>
      <c r="AB1142" s="50">
        <f t="shared" si="213"/>
        <v>1129</v>
      </c>
      <c r="AC1142" s="48">
        <f t="shared" si="208"/>
        <v>8.9415619150325532E-2</v>
      </c>
      <c r="AE1142" s="48">
        <f t="shared" si="214"/>
        <v>0.99782691390043643</v>
      </c>
      <c r="AF1142" s="48">
        <f t="shared" si="218"/>
        <v>8.9415619150325337E-2</v>
      </c>
      <c r="AH1142" s="48">
        <f t="shared" si="219"/>
        <v>-1.9428902930940239E-16</v>
      </c>
    </row>
    <row r="1143" spans="4:34" ht="13.9" customHeight="1">
      <c r="D1143" s="8"/>
      <c r="E1143" s="9"/>
      <c r="F1143" s="18"/>
      <c r="G1143" s="18"/>
      <c r="H1143" s="18"/>
      <c r="J1143" s="40"/>
      <c r="K1143" s="40"/>
      <c r="L1143" s="40"/>
      <c r="M1143" s="38"/>
      <c r="O1143" s="12">
        <f t="shared" si="209"/>
        <v>94.166666666666671</v>
      </c>
      <c r="P1143" s="13">
        <v>1130</v>
      </c>
      <c r="Q1143" s="21">
        <v>2.5995524257671931E-2</v>
      </c>
      <c r="R1143" s="18">
        <f t="shared" si="210"/>
        <v>2.644948372435918E-2</v>
      </c>
      <c r="S1143" s="21">
        <v>3.8351637844103781E-2</v>
      </c>
      <c r="T1143" s="18">
        <f t="shared" si="211"/>
        <v>4.2998923621795138E-2</v>
      </c>
      <c r="U1143" s="23">
        <v>3.9637771218570705E-2</v>
      </c>
      <c r="V1143" s="23">
        <f t="shared" si="212"/>
        <v>4.2998620031761803E-2</v>
      </c>
      <c r="W1143" s="22">
        <f t="shared" si="215"/>
        <v>3.5144812797909264E-3</v>
      </c>
      <c r="X1143" s="23">
        <v>3.9380116147200939E-2</v>
      </c>
      <c r="Y1143" s="23">
        <f t="shared" si="216"/>
        <v>4.2998695454837144E-2</v>
      </c>
      <c r="Z1143" s="22">
        <f t="shared" si="217"/>
        <v>3.5144873760637463E-3</v>
      </c>
      <c r="AA1143" s="33"/>
      <c r="AB1143" s="50">
        <f t="shared" si="213"/>
        <v>1130</v>
      </c>
      <c r="AC1143" s="48">
        <f t="shared" si="208"/>
        <v>8.9221310057025618E-2</v>
      </c>
      <c r="AE1143" s="48">
        <f t="shared" si="214"/>
        <v>0.99782689987335327</v>
      </c>
      <c r="AF1143" s="48">
        <f t="shared" si="218"/>
        <v>8.9221310057025563E-2</v>
      </c>
      <c r="AH1143" s="48">
        <f t="shared" si="219"/>
        <v>0</v>
      </c>
    </row>
    <row r="1144" spans="4:34" ht="13.9" customHeight="1">
      <c r="D1144" s="8"/>
      <c r="E1144" s="9"/>
      <c r="F1144" s="18"/>
      <c r="G1144" s="18"/>
      <c r="H1144" s="18"/>
      <c r="J1144" s="40"/>
      <c r="K1144" s="40"/>
      <c r="L1144" s="40"/>
      <c r="M1144" s="38"/>
      <c r="O1144" s="12">
        <f t="shared" si="209"/>
        <v>94.25</v>
      </c>
      <c r="P1144" s="13">
        <v>1131</v>
      </c>
      <c r="Q1144" s="21">
        <v>2.5995925547818821E-2</v>
      </c>
      <c r="R1144" s="18">
        <f t="shared" si="210"/>
        <v>2.6449654014362167E-2</v>
      </c>
      <c r="S1144" s="21">
        <v>3.8355737690323854E-2</v>
      </c>
      <c r="T1144" s="18">
        <f t="shared" si="211"/>
        <v>4.2998935437120522E-2</v>
      </c>
      <c r="U1144" s="23">
        <v>3.9640738002790776E-2</v>
      </c>
      <c r="V1144" s="23">
        <f t="shared" si="212"/>
        <v>4.2998634353080378E-2</v>
      </c>
      <c r="W1144" s="22">
        <f t="shared" si="215"/>
        <v>3.5144824401152075E-3</v>
      </c>
      <c r="X1144" s="23">
        <v>3.938331004679152E-2</v>
      </c>
      <c r="Y1144" s="23">
        <f t="shared" si="216"/>
        <v>4.2998709170543048E-2</v>
      </c>
      <c r="Z1144" s="22">
        <f t="shared" si="217"/>
        <v>3.5144884874342974E-3</v>
      </c>
      <c r="AA1144" s="33"/>
      <c r="AB1144" s="50">
        <f t="shared" si="213"/>
        <v>1131</v>
      </c>
      <c r="AC1144" s="48">
        <f t="shared" si="208"/>
        <v>8.9027421975710758E-2</v>
      </c>
      <c r="AE1144" s="48">
        <f t="shared" si="214"/>
        <v>0.9978268859626569</v>
      </c>
      <c r="AF1144" s="48">
        <f t="shared" si="218"/>
        <v>8.9027421975710494E-2</v>
      </c>
      <c r="AH1144" s="48">
        <f t="shared" si="219"/>
        <v>-2.6367796834847468E-16</v>
      </c>
    </row>
    <row r="1145" spans="4:34" ht="13.9" customHeight="1">
      <c r="D1145" s="8"/>
      <c r="E1145" s="9"/>
      <c r="F1145" s="18"/>
      <c r="G1145" s="18"/>
      <c r="H1145" s="18"/>
      <c r="J1145" s="40"/>
      <c r="K1145" s="40"/>
      <c r="L1145" s="40"/>
      <c r="M1145" s="38"/>
      <c r="O1145" s="12">
        <f t="shared" si="209"/>
        <v>94.333333333333329</v>
      </c>
      <c r="P1145" s="13">
        <v>1132</v>
      </c>
      <c r="Q1145" s="21">
        <v>2.5996326279495552E-2</v>
      </c>
      <c r="R1145" s="18">
        <f t="shared" si="210"/>
        <v>2.6449822891706498E-2</v>
      </c>
      <c r="S1145" s="21">
        <v>3.8359830319535382E-2</v>
      </c>
      <c r="T1145" s="18">
        <f t="shared" si="211"/>
        <v>4.2998947122907527E-2</v>
      </c>
      <c r="U1145" s="23">
        <v>3.9643699566397128E-2</v>
      </c>
      <c r="V1145" s="23">
        <f t="shared" si="212"/>
        <v>4.2998648526013872E-2</v>
      </c>
      <c r="W1145" s="22">
        <f t="shared" si="215"/>
        <v>3.5144835883789138E-3</v>
      </c>
      <c r="X1145" s="23">
        <v>3.9386498325312713E-2</v>
      </c>
      <c r="Y1145" s="23">
        <f t="shared" si="216"/>
        <v>4.2998722741549589E-2</v>
      </c>
      <c r="Z1145" s="22">
        <f t="shared" si="217"/>
        <v>3.5144895871408455E-3</v>
      </c>
      <c r="AA1145" s="33"/>
      <c r="AB1145" s="50">
        <f t="shared" si="213"/>
        <v>1132</v>
      </c>
      <c r="AC1145" s="48">
        <f t="shared" si="208"/>
        <v>8.8833954007162694E-2</v>
      </c>
      <c r="AE1145" s="48">
        <f t="shared" si="214"/>
        <v>0.99782687216753663</v>
      </c>
      <c r="AF1145" s="48">
        <f t="shared" si="218"/>
        <v>8.883395400716261E-2</v>
      </c>
      <c r="AH1145" s="48">
        <f t="shared" si="219"/>
        <v>0</v>
      </c>
    </row>
    <row r="1146" spans="4:34" ht="13.9" customHeight="1">
      <c r="D1146" s="8"/>
      <c r="E1146" s="9"/>
      <c r="F1146" s="18"/>
      <c r="G1146" s="18"/>
      <c r="H1146" s="18"/>
      <c r="J1146" s="40"/>
      <c r="K1146" s="40"/>
      <c r="L1146" s="40"/>
      <c r="M1146" s="38"/>
      <c r="O1146" s="12">
        <f t="shared" si="209"/>
        <v>94.416666666666671</v>
      </c>
      <c r="P1146" s="13">
        <v>1133</v>
      </c>
      <c r="Q1146" s="21">
        <v>2.599672645293416E-2</v>
      </c>
      <c r="R1146" s="18">
        <f t="shared" si="210"/>
        <v>2.6449990366395726E-2</v>
      </c>
      <c r="S1146" s="21">
        <v>3.8363915750691646E-2</v>
      </c>
      <c r="T1146" s="18">
        <f t="shared" si="211"/>
        <v>4.2998958680094956E-2</v>
      </c>
      <c r="U1146" s="23">
        <v>3.9646655923060159E-2</v>
      </c>
      <c r="V1146" s="23">
        <f t="shared" si="212"/>
        <v>4.2998662551327671E-2</v>
      </c>
      <c r="W1146" s="22">
        <f t="shared" si="215"/>
        <v>3.5144847247454702E-3</v>
      </c>
      <c r="X1146" s="23">
        <v>3.9389680997495402E-2</v>
      </c>
      <c r="Y1146" s="23">
        <f t="shared" si="216"/>
        <v>4.2998736169739704E-2</v>
      </c>
      <c r="Z1146" s="22">
        <f t="shared" si="217"/>
        <v>3.5144906752455629E-3</v>
      </c>
      <c r="AA1146" s="33"/>
      <c r="AB1146" s="50">
        <f t="shared" si="213"/>
        <v>1133</v>
      </c>
      <c r="AC1146" s="48">
        <f t="shared" si="208"/>
        <v>8.8640905253933686E-2</v>
      </c>
      <c r="AE1146" s="48">
        <f t="shared" si="214"/>
        <v>0.99782685848685782</v>
      </c>
      <c r="AF1146" s="48">
        <f t="shared" si="218"/>
        <v>8.8640905253933075E-2</v>
      </c>
      <c r="AH1146" s="48">
        <f t="shared" si="219"/>
        <v>-6.106226635438361E-16</v>
      </c>
    </row>
    <row r="1147" spans="4:34" ht="13.9" customHeight="1">
      <c r="D1147" s="8"/>
      <c r="E1147" s="9"/>
      <c r="F1147" s="18"/>
      <c r="G1147" s="18"/>
      <c r="H1147" s="18"/>
      <c r="J1147" s="40"/>
      <c r="K1147" s="40"/>
      <c r="L1147" s="40"/>
      <c r="M1147" s="38"/>
      <c r="O1147" s="12">
        <f t="shared" si="209"/>
        <v>94.5</v>
      </c>
      <c r="P1147" s="13">
        <v>1134</v>
      </c>
      <c r="Q1147" s="21">
        <v>2.599712606837512E-2</v>
      </c>
      <c r="R1147" s="18">
        <f t="shared" si="210"/>
        <v>2.6450156451225171E-2</v>
      </c>
      <c r="S1147" s="21">
        <v>3.8367994002679984E-2</v>
      </c>
      <c r="T1147" s="18">
        <f t="shared" si="211"/>
        <v>4.299897011078424E-2</v>
      </c>
      <c r="U1147" s="23">
        <v>3.9649607086403194E-2</v>
      </c>
      <c r="V1147" s="23">
        <f t="shared" si="212"/>
        <v>4.2998676431635241E-2</v>
      </c>
      <c r="W1147" s="22">
        <f t="shared" si="215"/>
        <v>3.514485849275939E-3</v>
      </c>
      <c r="X1147" s="23">
        <v>3.9392858078020065E-2</v>
      </c>
      <c r="Y1147" s="23">
        <f t="shared" si="216"/>
        <v>4.2998749457500818E-2</v>
      </c>
      <c r="Z1147" s="22">
        <f t="shared" si="217"/>
        <v>3.5144917518994401E-3</v>
      </c>
      <c r="AA1147" s="33"/>
      <c r="AB1147" s="50">
        <f t="shared" si="213"/>
        <v>1134</v>
      </c>
      <c r="AC1147" s="48">
        <f t="shared" si="208"/>
        <v>8.8448274820367614E-2</v>
      </c>
      <c r="AE1147" s="48">
        <f t="shared" si="214"/>
        <v>0.99782684491980977</v>
      </c>
      <c r="AF1147" s="48">
        <f t="shared" si="218"/>
        <v>8.8448274820367837E-2</v>
      </c>
      <c r="AH1147" s="48">
        <f t="shared" si="219"/>
        <v>2.2204460492503131E-16</v>
      </c>
    </row>
    <row r="1148" spans="4:34" ht="13.9" customHeight="1">
      <c r="D1148" s="8"/>
      <c r="E1148" s="9"/>
      <c r="F1148" s="18"/>
      <c r="G1148" s="18"/>
      <c r="H1148" s="18"/>
      <c r="J1148" s="40"/>
      <c r="K1148" s="40"/>
      <c r="L1148" s="40"/>
      <c r="M1148" s="38"/>
      <c r="O1148" s="12">
        <f t="shared" si="209"/>
        <v>94.583333333333329</v>
      </c>
      <c r="P1148" s="13">
        <v>1135</v>
      </c>
      <c r="Q1148" s="21">
        <v>2.5997525126068677E-2</v>
      </c>
      <c r="R1148" s="18">
        <f t="shared" si="210"/>
        <v>2.6450321156976653E-2</v>
      </c>
      <c r="S1148" s="21">
        <v>3.8372065094322894E-2</v>
      </c>
      <c r="T1148" s="18">
        <f t="shared" si="211"/>
        <v>4.2998981415713677E-2</v>
      </c>
      <c r="U1148" s="23">
        <v>3.9652553070003593E-2</v>
      </c>
      <c r="V1148" s="23">
        <f t="shared" si="212"/>
        <v>4.2998690167676656E-2</v>
      </c>
      <c r="W1148" s="22">
        <f t="shared" si="215"/>
        <v>3.5144869621799302E-3</v>
      </c>
      <c r="X1148" s="23">
        <v>3.9396029581517222E-2</v>
      </c>
      <c r="Y1148" s="23">
        <f t="shared" si="216"/>
        <v>4.2998762605141128E-2</v>
      </c>
      <c r="Z1148" s="22">
        <f t="shared" si="217"/>
        <v>3.5144928172938794E-3</v>
      </c>
      <c r="AA1148" s="33"/>
      <c r="AB1148" s="50">
        <f t="shared" si="213"/>
        <v>1135</v>
      </c>
      <c r="AC1148" s="48">
        <f t="shared" si="208"/>
        <v>8.8256061812585176E-2</v>
      </c>
      <c r="AE1148" s="48">
        <f t="shared" si="214"/>
        <v>0.99782683146535622</v>
      </c>
      <c r="AF1148" s="48">
        <f t="shared" si="218"/>
        <v>8.8256061812584691E-2</v>
      </c>
      <c r="AH1148" s="48">
        <f t="shared" si="219"/>
        <v>-4.8572257327350599E-16</v>
      </c>
    </row>
    <row r="1149" spans="4:34" ht="13.9" customHeight="1">
      <c r="D1149" s="8"/>
      <c r="E1149" s="9"/>
      <c r="F1149" s="18"/>
      <c r="G1149" s="18"/>
      <c r="H1149" s="18"/>
      <c r="J1149" s="40"/>
      <c r="K1149" s="40"/>
      <c r="L1149" s="40"/>
      <c r="M1149" s="38"/>
      <c r="O1149" s="12">
        <f t="shared" si="209"/>
        <v>94.666666666666671</v>
      </c>
      <c r="P1149" s="13">
        <v>1136</v>
      </c>
      <c r="Q1149" s="21">
        <v>2.59979236262744E-2</v>
      </c>
      <c r="R1149" s="18">
        <f t="shared" si="210"/>
        <v>2.6450484495237792E-2</v>
      </c>
      <c r="S1149" s="21">
        <v>3.8376129044377594E-2</v>
      </c>
      <c r="T1149" s="18">
        <f t="shared" si="211"/>
        <v>4.2998992596583241E-2</v>
      </c>
      <c r="U1149" s="23">
        <v>3.9655493887391868E-2</v>
      </c>
      <c r="V1149" s="23">
        <f t="shared" si="212"/>
        <v>4.299870376118009E-2</v>
      </c>
      <c r="W1149" s="22">
        <f t="shared" si="215"/>
        <v>3.5144880635169518E-3</v>
      </c>
      <c r="X1149" s="23">
        <v>3.9399195522566988E-2</v>
      </c>
      <c r="Y1149" s="23">
        <f t="shared" si="216"/>
        <v>4.2998775614514262E-2</v>
      </c>
      <c r="Z1149" s="22">
        <f t="shared" si="217"/>
        <v>3.5144938714535279E-3</v>
      </c>
      <c r="AA1149" s="33"/>
      <c r="AB1149" s="50">
        <f t="shared" si="213"/>
        <v>1136</v>
      </c>
      <c r="AC1149" s="48">
        <f t="shared" si="208"/>
        <v>8.8064265338484785E-2</v>
      </c>
      <c r="AE1149" s="48">
        <f t="shared" si="214"/>
        <v>0.99782681812262308</v>
      </c>
      <c r="AF1149" s="48">
        <f t="shared" si="218"/>
        <v>8.8064265338484923E-2</v>
      </c>
      <c r="AH1149" s="48">
        <f t="shared" si="219"/>
        <v>1.3877787807814457E-16</v>
      </c>
    </row>
    <row r="1150" spans="4:34" ht="13.9" customHeight="1">
      <c r="D1150" s="8"/>
      <c r="E1150" s="9"/>
      <c r="F1150" s="18"/>
      <c r="G1150" s="18"/>
      <c r="H1150" s="18"/>
      <c r="J1150" s="40"/>
      <c r="K1150" s="40"/>
      <c r="L1150" s="40"/>
      <c r="M1150" s="38"/>
      <c r="O1150" s="12">
        <f t="shared" si="209"/>
        <v>94.75</v>
      </c>
      <c r="P1150" s="13">
        <v>1137</v>
      </c>
      <c r="Q1150" s="21">
        <v>2.5998321569260519E-2</v>
      </c>
      <c r="R1150" s="18">
        <f t="shared" si="210"/>
        <v>2.6450646477733875E-2</v>
      </c>
      <c r="S1150" s="21">
        <v>3.8380185871536909E-2</v>
      </c>
      <c r="T1150" s="18">
        <f t="shared" si="211"/>
        <v>4.2999003654708101E-2</v>
      </c>
      <c r="U1150" s="23">
        <v>3.9658429552052121E-2</v>
      </c>
      <c r="V1150" s="23">
        <f t="shared" si="212"/>
        <v>4.2998717213787119E-2</v>
      </c>
      <c r="W1150" s="22">
        <f t="shared" si="215"/>
        <v>3.5144891534255596E-3</v>
      </c>
      <c r="X1150" s="23">
        <v>3.9402355915699294E-2</v>
      </c>
      <c r="Y1150" s="23">
        <f t="shared" si="216"/>
        <v>4.2998788487065953E-2</v>
      </c>
      <c r="Z1150" s="22">
        <f t="shared" si="217"/>
        <v>3.5144949145271553E-3</v>
      </c>
      <c r="AA1150" s="33"/>
      <c r="AB1150" s="50">
        <f t="shared" si="213"/>
        <v>1137</v>
      </c>
      <c r="AC1150" s="48">
        <f t="shared" si="208"/>
        <v>8.7872884507744928E-2</v>
      </c>
      <c r="AE1150" s="48">
        <f t="shared" si="214"/>
        <v>0.9978268048906721</v>
      </c>
      <c r="AF1150" s="48">
        <f t="shared" si="218"/>
        <v>8.7872884507744775E-2</v>
      </c>
      <c r="AH1150" s="48">
        <f t="shared" si="219"/>
        <v>-1.5265566588595902E-16</v>
      </c>
    </row>
    <row r="1151" spans="4:34" ht="13.9" customHeight="1">
      <c r="D1151" s="8"/>
      <c r="E1151" s="9"/>
      <c r="F1151" s="18"/>
      <c r="G1151" s="18"/>
      <c r="H1151" s="18"/>
      <c r="J1151" s="40"/>
      <c r="K1151" s="40"/>
      <c r="L1151" s="40"/>
      <c r="M1151" s="38"/>
      <c r="O1151" s="12">
        <f t="shared" si="209"/>
        <v>94.833333333333329</v>
      </c>
      <c r="P1151" s="13">
        <v>1138</v>
      </c>
      <c r="Q1151" s="21">
        <v>2.5998718955305034E-2</v>
      </c>
      <c r="R1151" s="18">
        <f t="shared" si="210"/>
        <v>2.6450807115649955E-2</v>
      </c>
      <c r="S1151" s="21">
        <v>3.8384235594429272E-2</v>
      </c>
      <c r="T1151" s="18">
        <f t="shared" si="211"/>
        <v>4.299901459165123E-2</v>
      </c>
      <c r="U1151" s="23">
        <v>3.9661360077423158E-2</v>
      </c>
      <c r="V1151" s="23">
        <f t="shared" si="212"/>
        <v>4.2998730526366158E-2</v>
      </c>
      <c r="W1151" s="22">
        <f t="shared" si="215"/>
        <v>3.514490232036982E-3</v>
      </c>
      <c r="X1151" s="23">
        <v>3.9405510775394559E-2</v>
      </c>
      <c r="Y1151" s="23">
        <f t="shared" si="216"/>
        <v>4.2998801224351402E-2</v>
      </c>
      <c r="Z1151" s="22">
        <f t="shared" si="217"/>
        <v>3.5144959466306691E-3</v>
      </c>
      <c r="AA1151" s="33"/>
      <c r="AB1151" s="50">
        <f t="shared" si="213"/>
        <v>1138</v>
      </c>
      <c r="AC1151" s="48">
        <f t="shared" si="208"/>
        <v>8.7681918431811626E-2</v>
      </c>
      <c r="AE1151" s="48">
        <f t="shared" si="214"/>
        <v>0.99782679176855349</v>
      </c>
      <c r="AF1151" s="48">
        <f t="shared" si="218"/>
        <v>8.7681918431811598E-2</v>
      </c>
      <c r="AH1151" s="48">
        <f t="shared" si="219"/>
        <v>0</v>
      </c>
    </row>
    <row r="1152" spans="4:34" ht="13.9" customHeight="1">
      <c r="D1152" s="8"/>
      <c r="E1152" s="9"/>
      <c r="F1152" s="18"/>
      <c r="G1152" s="18"/>
      <c r="H1152" s="18"/>
      <c r="J1152" s="40"/>
      <c r="K1152" s="40"/>
      <c r="L1152" s="40"/>
      <c r="M1152" s="38"/>
      <c r="O1152" s="12">
        <f t="shared" si="209"/>
        <v>94.916666666666671</v>
      </c>
      <c r="P1152" s="13">
        <v>1139</v>
      </c>
      <c r="Q1152" s="21">
        <v>2.5999115784694604E-2</v>
      </c>
      <c r="R1152" s="18">
        <f t="shared" si="210"/>
        <v>2.6450966419862221E-2</v>
      </c>
      <c r="S1152" s="21">
        <v>3.8388278231619166E-2</v>
      </c>
      <c r="T1152" s="18">
        <f t="shared" si="211"/>
        <v>4.2999025408324121E-2</v>
      </c>
      <c r="U1152" s="23">
        <v>3.9664285476896932E-2</v>
      </c>
      <c r="V1152" s="23">
        <f t="shared" si="212"/>
        <v>4.2998743700871422E-2</v>
      </c>
      <c r="W1152" s="22">
        <f t="shared" si="215"/>
        <v>3.5144912994213851E-3</v>
      </c>
      <c r="X1152" s="23">
        <v>3.9408660116083905E-2</v>
      </c>
      <c r="Y1152" s="23">
        <f t="shared" si="216"/>
        <v>4.2998813827755278E-2</v>
      </c>
      <c r="Z1152" s="22">
        <f t="shared" si="217"/>
        <v>3.5144969678886362E-3</v>
      </c>
      <c r="AA1152" s="33"/>
      <c r="AB1152" s="50">
        <f t="shared" si="213"/>
        <v>1139</v>
      </c>
      <c r="AC1152" s="48">
        <f t="shared" si="208"/>
        <v>8.7491366223904563E-2</v>
      </c>
      <c r="AE1152" s="48">
        <f t="shared" si="214"/>
        <v>0.99782677875536063</v>
      </c>
      <c r="AF1152" s="48">
        <f t="shared" si="218"/>
        <v>8.7491366223904854E-2</v>
      </c>
      <c r="AH1152" s="48">
        <f t="shared" si="219"/>
        <v>2.9143354396410359E-16</v>
      </c>
    </row>
    <row r="1153" spans="4:34" ht="13.9" customHeight="1">
      <c r="D1153" s="8"/>
      <c r="E1153" s="9"/>
      <c r="F1153" s="18"/>
      <c r="G1153" s="18"/>
      <c r="H1153" s="18"/>
      <c r="J1153" s="40"/>
      <c r="K1153" s="40"/>
      <c r="L1153" s="40"/>
      <c r="M1153" s="38"/>
      <c r="O1153" s="12">
        <f t="shared" si="209"/>
        <v>95</v>
      </c>
      <c r="P1153" s="13">
        <v>1140</v>
      </c>
      <c r="Q1153" s="21">
        <v>2.5999512057724328E-2</v>
      </c>
      <c r="R1153" s="18">
        <f t="shared" si="210"/>
        <v>2.6451124401307924E-2</v>
      </c>
      <c r="S1153" s="21">
        <v>3.8392313801606903E-2</v>
      </c>
      <c r="T1153" s="18">
        <f t="shared" si="211"/>
        <v>4.2999036106244226E-2</v>
      </c>
      <c r="U1153" s="23">
        <v>3.9667205763820546E-2</v>
      </c>
      <c r="V1153" s="23">
        <f t="shared" si="212"/>
        <v>4.2998756738832133E-2</v>
      </c>
      <c r="W1153" s="22">
        <f t="shared" si="215"/>
        <v>3.5144923557350882E-3</v>
      </c>
      <c r="X1153" s="23">
        <v>3.9411803952148938E-2</v>
      </c>
      <c r="Y1153" s="23">
        <f t="shared" si="216"/>
        <v>4.2998826298445758E-2</v>
      </c>
      <c r="Z1153" s="22">
        <f t="shared" si="217"/>
        <v>3.5144979784123009E-3</v>
      </c>
      <c r="AA1153" s="33"/>
      <c r="AB1153" s="50">
        <f t="shared" si="213"/>
        <v>1140</v>
      </c>
      <c r="AC1153" s="48">
        <f t="shared" si="208"/>
        <v>8.7301226999015477E-2</v>
      </c>
      <c r="AE1153" s="48">
        <f t="shared" si="214"/>
        <v>0.99782676585021235</v>
      </c>
      <c r="AF1153" s="48">
        <f t="shared" si="218"/>
        <v>8.7301226999015491E-2</v>
      </c>
      <c r="AH1153" s="48">
        <f t="shared" si="219"/>
        <v>0</v>
      </c>
    </row>
    <row r="1154" spans="4:34" ht="13.9" customHeight="1">
      <c r="D1154" s="8"/>
      <c r="E1154" s="9"/>
      <c r="F1154" s="18"/>
      <c r="G1154" s="18"/>
      <c r="H1154" s="18"/>
      <c r="J1154" s="40"/>
      <c r="K1154" s="40"/>
      <c r="L1154" s="40"/>
      <c r="M1154" s="38"/>
      <c r="O1154" s="12">
        <f t="shared" si="209"/>
        <v>95.083333333333329</v>
      </c>
      <c r="P1154" s="13">
        <v>1141</v>
      </c>
      <c r="Q1154" s="21">
        <v>2.5999907774698183E-2</v>
      </c>
      <c r="R1154" s="18">
        <f t="shared" si="210"/>
        <v>2.6451281071564026E-2</v>
      </c>
      <c r="S1154" s="21">
        <v>3.8396342322829513E-2</v>
      </c>
      <c r="T1154" s="18">
        <f t="shared" si="211"/>
        <v>4.2999046687031584E-2</v>
      </c>
      <c r="U1154" s="23">
        <v>3.9670120951495358E-2</v>
      </c>
      <c r="V1154" s="23">
        <f t="shared" si="212"/>
        <v>4.2998769641554357E-2</v>
      </c>
      <c r="W1154" s="22">
        <f t="shared" si="215"/>
        <v>3.5144934011008822E-3</v>
      </c>
      <c r="X1154" s="23">
        <v>3.9414942297922195E-2</v>
      </c>
      <c r="Y1154" s="23">
        <f t="shared" si="216"/>
        <v>4.299883863836973E-2</v>
      </c>
      <c r="Z1154" s="22">
        <f t="shared" si="217"/>
        <v>3.5144989782951441E-3</v>
      </c>
      <c r="AA1154" s="33"/>
      <c r="AB1154" s="50">
        <f t="shared" si="213"/>
        <v>1141</v>
      </c>
      <c r="AC1154" s="48">
        <f t="shared" si="208"/>
        <v>8.7111499873902667E-2</v>
      </c>
      <c r="AE1154" s="48">
        <f t="shared" si="214"/>
        <v>0.99782675305222313</v>
      </c>
      <c r="AF1154" s="48">
        <f t="shared" si="218"/>
        <v>8.7111499873902709E-2</v>
      </c>
      <c r="AH1154" s="48">
        <f t="shared" si="219"/>
        <v>0</v>
      </c>
    </row>
    <row r="1155" spans="4:34" ht="13.9" customHeight="1">
      <c r="D1155" s="8"/>
      <c r="E1155" s="9"/>
      <c r="F1155" s="18"/>
      <c r="G1155" s="18"/>
      <c r="H1155" s="18"/>
      <c r="J1155" s="40"/>
      <c r="K1155" s="40"/>
      <c r="L1155" s="40"/>
      <c r="M1155" s="38"/>
      <c r="O1155" s="12">
        <f t="shared" si="209"/>
        <v>95.166666666666671</v>
      </c>
      <c r="P1155" s="13">
        <v>1142</v>
      </c>
      <c r="Q1155" s="21">
        <v>2.600030293592881E-2</v>
      </c>
      <c r="R1155" s="18">
        <f t="shared" si="210"/>
        <v>2.6451436441432774E-2</v>
      </c>
      <c r="S1155" s="21">
        <v>3.8400363813660743E-2</v>
      </c>
      <c r="T1155" s="18">
        <f t="shared" si="211"/>
        <v>4.2999057151268838E-2</v>
      </c>
      <c r="U1155" s="23">
        <v>3.9673031053177654E-2</v>
      </c>
      <c r="V1155" s="23">
        <f t="shared" si="212"/>
        <v>4.2998782410437864E-2</v>
      </c>
      <c r="W1155" s="22">
        <f t="shared" si="215"/>
        <v>3.5144944356235719E-3</v>
      </c>
      <c r="X1155" s="23">
        <v>3.9418075167687361E-2</v>
      </c>
      <c r="Y1155" s="23">
        <f t="shared" si="216"/>
        <v>4.2998850848520398E-2</v>
      </c>
      <c r="Z1155" s="22">
        <f t="shared" si="217"/>
        <v>3.5144999676932631E-3</v>
      </c>
      <c r="AA1155" s="33"/>
      <c r="AB1155" s="50">
        <f t="shared" si="213"/>
        <v>1142</v>
      </c>
      <c r="AC1155" s="48">
        <f t="shared" si="208"/>
        <v>8.6922183967086702E-2</v>
      </c>
      <c r="AE1155" s="48">
        <f t="shared" si="214"/>
        <v>0.99782674036045471</v>
      </c>
      <c r="AF1155" s="48">
        <f t="shared" si="218"/>
        <v>8.6922183967086508E-2</v>
      </c>
      <c r="AH1155" s="48">
        <f t="shared" si="219"/>
        <v>-1.9428902930940239E-16</v>
      </c>
    </row>
    <row r="1156" spans="4:34" ht="13.9" customHeight="1">
      <c r="D1156" s="8"/>
      <c r="E1156" s="9"/>
      <c r="F1156" s="18"/>
      <c r="G1156" s="18"/>
      <c r="H1156" s="18"/>
      <c r="J1156" s="40"/>
      <c r="K1156" s="40"/>
      <c r="L1156" s="40"/>
      <c r="M1156" s="38"/>
      <c r="O1156" s="12">
        <f t="shared" si="209"/>
        <v>95.25</v>
      </c>
      <c r="P1156" s="13">
        <v>1143</v>
      </c>
      <c r="Q1156" s="21">
        <v>2.6000697541737505E-2</v>
      </c>
      <c r="R1156" s="18">
        <f t="shared" si="210"/>
        <v>2.6451590521197499E-2</v>
      </c>
      <c r="S1156" s="21">
        <v>3.8404378292410835E-2</v>
      </c>
      <c r="T1156" s="18">
        <f t="shared" si="211"/>
        <v>4.2999067500804955E-2</v>
      </c>
      <c r="U1156" s="23">
        <v>3.9675936082078422E-2</v>
      </c>
      <c r="V1156" s="23">
        <f t="shared" si="212"/>
        <v>4.2998795046385707E-2</v>
      </c>
      <c r="W1156" s="22">
        <f t="shared" si="215"/>
        <v>3.5144954594150679E-3</v>
      </c>
      <c r="X1156" s="23">
        <v>3.9421202575679493E-2</v>
      </c>
      <c r="Y1156" s="23">
        <f t="shared" si="216"/>
        <v>4.2998862930154758E-2</v>
      </c>
      <c r="Z1156" s="22">
        <f t="shared" si="217"/>
        <v>3.5145009466861499E-3</v>
      </c>
      <c r="AA1156" s="33"/>
      <c r="AB1156" s="50">
        <f t="shared" si="213"/>
        <v>1143</v>
      </c>
      <c r="AC1156" s="48">
        <f t="shared" si="208"/>
        <v>8.6733278398850616E-2</v>
      </c>
      <c r="AE1156" s="48">
        <f t="shared" si="214"/>
        <v>0.99782672777403192</v>
      </c>
      <c r="AF1156" s="48">
        <f t="shared" si="218"/>
        <v>8.6733278398850353E-2</v>
      </c>
      <c r="AH1156" s="48">
        <f t="shared" si="219"/>
        <v>-2.6367796834847468E-16</v>
      </c>
    </row>
    <row r="1157" spans="4:34" ht="13.9" customHeight="1">
      <c r="D1157" s="8"/>
      <c r="E1157" s="9"/>
      <c r="F1157" s="18"/>
      <c r="G1157" s="18"/>
      <c r="H1157" s="18"/>
      <c r="J1157" s="40"/>
      <c r="K1157" s="40"/>
      <c r="L1157" s="40"/>
      <c r="M1157" s="38"/>
      <c r="O1157" s="12">
        <f t="shared" si="209"/>
        <v>95.333333333333329</v>
      </c>
      <c r="P1157" s="13">
        <v>1144</v>
      </c>
      <c r="Q1157" s="21">
        <v>2.600109159245334E-2</v>
      </c>
      <c r="R1157" s="18">
        <f t="shared" si="210"/>
        <v>2.6451743321538101E-2</v>
      </c>
      <c r="S1157" s="21">
        <v>3.8408385777327858E-2</v>
      </c>
      <c r="T1157" s="18">
        <f t="shared" si="211"/>
        <v>4.2999077736803004E-2</v>
      </c>
      <c r="U1157" s="23">
        <v>3.9678836051363575E-2</v>
      </c>
      <c r="V1157" s="23">
        <f t="shared" si="212"/>
        <v>4.2998807551272389E-2</v>
      </c>
      <c r="W1157" s="22">
        <f t="shared" si="215"/>
        <v>3.5144964725479788E-3</v>
      </c>
      <c r="X1157" s="23">
        <v>3.942432453608502E-2</v>
      </c>
      <c r="Y1157" s="23">
        <f t="shared" si="216"/>
        <v>4.2998874884585758E-2</v>
      </c>
      <c r="Z1157" s="22">
        <f t="shared" si="217"/>
        <v>3.5145019153750567E-3</v>
      </c>
      <c r="AA1157" s="33"/>
      <c r="AB1157" s="50">
        <f t="shared" si="213"/>
        <v>1144</v>
      </c>
      <c r="AC1157" s="48">
        <f t="shared" si="208"/>
        <v>8.6544782291241809E-2</v>
      </c>
      <c r="AE1157" s="48">
        <f t="shared" si="214"/>
        <v>0.99782671529212186</v>
      </c>
      <c r="AF1157" s="48">
        <f t="shared" si="218"/>
        <v>8.654478229124199E-2</v>
      </c>
      <c r="AH1157" s="48">
        <f t="shared" si="219"/>
        <v>1.8041124150158794E-16</v>
      </c>
    </row>
    <row r="1158" spans="4:34" ht="13.9" customHeight="1">
      <c r="D1158" s="8"/>
      <c r="E1158" s="9"/>
      <c r="F1158" s="18"/>
      <c r="G1158" s="18"/>
      <c r="H1158" s="18"/>
      <c r="J1158" s="40"/>
      <c r="K1158" s="40"/>
      <c r="L1158" s="40"/>
      <c r="M1158" s="38"/>
      <c r="O1158" s="12">
        <f t="shared" si="209"/>
        <v>95.416666666666671</v>
      </c>
      <c r="P1158" s="13">
        <v>1145</v>
      </c>
      <c r="Q1158" s="21">
        <v>2.6001485088413379E-2</v>
      </c>
      <c r="R1158" s="18">
        <f t="shared" si="210"/>
        <v>2.6451894854115032E-2</v>
      </c>
      <c r="S1158" s="21">
        <v>3.8412386286597044E-2</v>
      </c>
      <c r="T1158" s="18">
        <f t="shared" si="211"/>
        <v>4.299908786032236E-2</v>
      </c>
      <c r="U1158" s="23">
        <v>3.9681730974154394E-2</v>
      </c>
      <c r="V1158" s="23">
        <f t="shared" si="212"/>
        <v>4.2998819926817644E-2</v>
      </c>
      <c r="W1158" s="22">
        <f t="shared" si="215"/>
        <v>3.5144974751726288E-3</v>
      </c>
      <c r="X1158" s="23">
        <v>3.9427441063041746E-2</v>
      </c>
      <c r="Y1158" s="23">
        <f t="shared" si="216"/>
        <v>4.2998886713805362E-2</v>
      </c>
      <c r="Z1158" s="22">
        <f t="shared" si="217"/>
        <v>3.5145028738647888E-3</v>
      </c>
      <c r="AA1158" s="33"/>
      <c r="AB1158" s="50">
        <f t="shared" si="213"/>
        <v>1145</v>
      </c>
      <c r="AC1158" s="48">
        <f t="shared" si="208"/>
        <v>8.6356694768067913E-2</v>
      </c>
      <c r="AE1158" s="48">
        <f t="shared" si="214"/>
        <v>0.99782670291385922</v>
      </c>
      <c r="AF1158" s="48">
        <f t="shared" si="218"/>
        <v>8.6356694768067746E-2</v>
      </c>
      <c r="AH1158" s="48">
        <f t="shared" si="219"/>
        <v>-1.6653345369377348E-16</v>
      </c>
    </row>
    <row r="1159" spans="4:34" ht="13.9" customHeight="1">
      <c r="D1159" s="8"/>
      <c r="E1159" s="9"/>
      <c r="F1159" s="18"/>
      <c r="G1159" s="18"/>
      <c r="H1159" s="18"/>
      <c r="J1159" s="40"/>
      <c r="K1159" s="40"/>
      <c r="L1159" s="40"/>
      <c r="M1159" s="38"/>
      <c r="O1159" s="12">
        <f t="shared" si="209"/>
        <v>95.5</v>
      </c>
      <c r="P1159" s="13">
        <v>1146</v>
      </c>
      <c r="Q1159" s="21">
        <v>2.600187802996401E-2</v>
      </c>
      <c r="R1159" s="18">
        <f t="shared" si="210"/>
        <v>2.6452045128287915E-2</v>
      </c>
      <c r="S1159" s="21">
        <v>3.8416379838341452E-2</v>
      </c>
      <c r="T1159" s="18">
        <f t="shared" si="211"/>
        <v>4.2999097872943759E-2</v>
      </c>
      <c r="U1159" s="23">
        <v>3.9684620863528197E-2</v>
      </c>
      <c r="V1159" s="23">
        <f t="shared" si="212"/>
        <v>4.2998832173680723E-2</v>
      </c>
      <c r="W1159" s="22">
        <f t="shared" si="215"/>
        <v>3.5144984674266855E-3</v>
      </c>
      <c r="X1159" s="23">
        <v>3.9430552170640176E-2</v>
      </c>
      <c r="Y1159" s="23">
        <f t="shared" si="216"/>
        <v>4.2998898418178166E-2</v>
      </c>
      <c r="Z1159" s="22">
        <f t="shared" si="217"/>
        <v>3.5145038223152181E-3</v>
      </c>
      <c r="AA1159" s="33"/>
      <c r="AB1159" s="50">
        <f t="shared" si="213"/>
        <v>1146</v>
      </c>
      <c r="AC1159" s="48">
        <f t="shared" si="208"/>
        <v>8.6169014954882717E-2</v>
      </c>
      <c r="AE1159" s="48">
        <f t="shared" si="214"/>
        <v>0.9978266906382991</v>
      </c>
      <c r="AF1159" s="48">
        <f t="shared" si="218"/>
        <v>8.6169014954882758E-2</v>
      </c>
      <c r="AH1159" s="48">
        <f t="shared" si="219"/>
        <v>0</v>
      </c>
    </row>
    <row r="1160" spans="4:34" ht="13.9" customHeight="1">
      <c r="D1160" s="8"/>
      <c r="E1160" s="9"/>
      <c r="F1160" s="18"/>
      <c r="G1160" s="18"/>
      <c r="H1160" s="18"/>
      <c r="J1160" s="40"/>
      <c r="K1160" s="40"/>
      <c r="L1160" s="40"/>
      <c r="M1160" s="38"/>
      <c r="O1160" s="12">
        <f t="shared" si="209"/>
        <v>95.583333333333329</v>
      </c>
      <c r="P1160" s="13">
        <v>1147</v>
      </c>
      <c r="Q1160" s="21">
        <v>2.6002270417458284E-2</v>
      </c>
      <c r="R1160" s="18">
        <f t="shared" si="210"/>
        <v>2.6452194155004438E-2</v>
      </c>
      <c r="S1160" s="21">
        <v>3.8420366450622412E-2</v>
      </c>
      <c r="T1160" s="18">
        <f t="shared" si="211"/>
        <v>4.2999107775701262E-2</v>
      </c>
      <c r="U1160" s="23">
        <v>3.9687505732517225E-2</v>
      </c>
      <c r="V1160" s="23">
        <f t="shared" si="212"/>
        <v>4.2998844293394178E-2</v>
      </c>
      <c r="W1160" s="22">
        <f t="shared" si="215"/>
        <v>3.5144994493632176E-3</v>
      </c>
      <c r="X1160" s="23">
        <v>3.943365787292219E-2</v>
      </c>
      <c r="Y1160" s="23">
        <f t="shared" si="216"/>
        <v>4.2998909999877544E-2</v>
      </c>
      <c r="Z1160" s="22">
        <f t="shared" si="217"/>
        <v>3.5145047607556545E-3</v>
      </c>
      <c r="AA1160" s="33"/>
      <c r="AB1160" s="50">
        <f t="shared" si="213"/>
        <v>1147</v>
      </c>
      <c r="AC1160" s="48">
        <f t="shared" si="208"/>
        <v>8.5981741979004239E-2</v>
      </c>
      <c r="AE1160" s="48">
        <f t="shared" si="214"/>
        <v>0.99782667846468354</v>
      </c>
      <c r="AF1160" s="48">
        <f t="shared" si="218"/>
        <v>8.5981741979004309E-2</v>
      </c>
      <c r="AH1160" s="48">
        <f t="shared" si="219"/>
        <v>0</v>
      </c>
    </row>
    <row r="1161" spans="4:34" ht="13.9" customHeight="1">
      <c r="D1161" s="8"/>
      <c r="E1161" s="9"/>
      <c r="F1161" s="18"/>
      <c r="G1161" s="18"/>
      <c r="H1161" s="18"/>
      <c r="J1161" s="40"/>
      <c r="K1161" s="40"/>
      <c r="L1161" s="40"/>
      <c r="M1161" s="38"/>
      <c r="O1161" s="12">
        <f t="shared" si="209"/>
        <v>95.666666666666671</v>
      </c>
      <c r="P1161" s="13">
        <v>1148</v>
      </c>
      <c r="Q1161" s="21">
        <v>2.6002662251257691E-2</v>
      </c>
      <c r="R1161" s="18">
        <f t="shared" si="210"/>
        <v>2.6452341944593227E-2</v>
      </c>
      <c r="S1161" s="21">
        <v>3.8424346141439081E-2</v>
      </c>
      <c r="T1161" s="18">
        <f t="shared" si="211"/>
        <v>4.2999117569289647E-2</v>
      </c>
      <c r="U1161" s="23">
        <v>3.9690385594109756E-2</v>
      </c>
      <c r="V1161" s="23">
        <f t="shared" si="212"/>
        <v>4.2998856287339127E-2</v>
      </c>
      <c r="W1161" s="22">
        <f t="shared" si="215"/>
        <v>3.5145004211052377E-3</v>
      </c>
      <c r="X1161" s="23">
        <v>3.943675818388237E-2</v>
      </c>
      <c r="Y1161" s="23">
        <f t="shared" si="216"/>
        <v>4.2998921459285633E-2</v>
      </c>
      <c r="Z1161" s="22">
        <f t="shared" si="217"/>
        <v>3.5145056893601812E-3</v>
      </c>
      <c r="AA1161" s="33"/>
      <c r="AB1161" s="50">
        <f t="shared" si="213"/>
        <v>1148</v>
      </c>
      <c r="AC1161" s="48">
        <f t="shared" si="208"/>
        <v>8.5794874969497684E-2</v>
      </c>
      <c r="AE1161" s="48">
        <f t="shared" si="214"/>
        <v>0.99782666639212558</v>
      </c>
      <c r="AF1161" s="48">
        <f t="shared" si="218"/>
        <v>8.5794874969497753E-2</v>
      </c>
      <c r="AH1161" s="48">
        <f t="shared" si="219"/>
        <v>0</v>
      </c>
    </row>
    <row r="1162" spans="4:34" ht="13.9" customHeight="1">
      <c r="D1162" s="8"/>
      <c r="E1162" s="9"/>
      <c r="F1162" s="18"/>
      <c r="G1162" s="18"/>
      <c r="H1162" s="18"/>
      <c r="J1162" s="40"/>
      <c r="K1162" s="40"/>
      <c r="L1162" s="40"/>
      <c r="M1162" s="38"/>
      <c r="O1162" s="12">
        <f t="shared" si="209"/>
        <v>95.75</v>
      </c>
      <c r="P1162" s="13">
        <v>1149</v>
      </c>
      <c r="Q1162" s="21">
        <v>2.600305353173149E-2</v>
      </c>
      <c r="R1162" s="18">
        <f t="shared" si="210"/>
        <v>2.6452488507302085E-2</v>
      </c>
      <c r="S1162" s="21">
        <v>3.842831892872911E-2</v>
      </c>
      <c r="T1162" s="18">
        <f t="shared" si="211"/>
        <v>4.299912725560695E-2</v>
      </c>
      <c r="U1162" s="23">
        <v>3.9693260461250102E-2</v>
      </c>
      <c r="V1162" s="23">
        <f t="shared" si="212"/>
        <v>4.2998868156808756E-2</v>
      </c>
      <c r="W1162" s="22">
        <f t="shared" si="215"/>
        <v>3.5145013827631022E-3</v>
      </c>
      <c r="X1162" s="23">
        <v>3.9439853117467338E-2</v>
      </c>
      <c r="Y1162" s="23">
        <f t="shared" si="216"/>
        <v>4.2998932798845368E-2</v>
      </c>
      <c r="Z1162" s="22">
        <f t="shared" si="217"/>
        <v>3.5145066081596621E-3</v>
      </c>
      <c r="AA1162" s="33"/>
      <c r="AB1162" s="50">
        <f t="shared" si="213"/>
        <v>1149</v>
      </c>
      <c r="AC1162" s="48">
        <f t="shared" si="208"/>
        <v>8.5608413057177493E-2</v>
      </c>
      <c r="AE1162" s="48">
        <f t="shared" si="214"/>
        <v>0.99782665441978846</v>
      </c>
      <c r="AF1162" s="48">
        <f t="shared" si="218"/>
        <v>8.5608413057177993E-2</v>
      </c>
      <c r="AH1162" s="48">
        <f t="shared" si="219"/>
        <v>4.9960036108132044E-16</v>
      </c>
    </row>
    <row r="1163" spans="4:34" ht="13.9" customHeight="1">
      <c r="D1163" s="8"/>
      <c r="E1163" s="9"/>
      <c r="F1163" s="18"/>
      <c r="G1163" s="18"/>
      <c r="H1163" s="18"/>
      <c r="J1163" s="40"/>
      <c r="K1163" s="40"/>
      <c r="L1163" s="40"/>
      <c r="M1163" s="38"/>
      <c r="O1163" s="12">
        <f t="shared" si="209"/>
        <v>95.833333333333329</v>
      </c>
      <c r="P1163" s="13">
        <v>1150</v>
      </c>
      <c r="Q1163" s="21">
        <v>2.600344425925627E-2</v>
      </c>
      <c r="R1163" s="18">
        <f t="shared" si="210"/>
        <v>2.6452633853740082E-2</v>
      </c>
      <c r="S1163" s="21">
        <v>3.8432284830369312E-2</v>
      </c>
      <c r="T1163" s="18">
        <f t="shared" si="211"/>
        <v>4.2999136835669027E-2</v>
      </c>
      <c r="U1163" s="23">
        <v>3.969613034683861E-2</v>
      </c>
      <c r="V1163" s="23">
        <f t="shared" si="212"/>
        <v>4.2998879902991893E-2</v>
      </c>
      <c r="W1163" s="22">
        <f t="shared" si="215"/>
        <v>3.5145023344409498E-3</v>
      </c>
      <c r="X1163" s="23">
        <v>3.9442942687577087E-2</v>
      </c>
      <c r="Y1163" s="23">
        <f t="shared" si="216"/>
        <v>4.2998944018910024E-2</v>
      </c>
      <c r="Z1163" s="22">
        <f t="shared" si="217"/>
        <v>3.5145075173499407E-3</v>
      </c>
      <c r="AA1163" s="33"/>
      <c r="AB1163" s="50">
        <f t="shared" si="213"/>
        <v>1150</v>
      </c>
      <c r="AC1163" s="48">
        <f t="shared" si="208"/>
        <v>8.542235537460742E-2</v>
      </c>
      <c r="AE1163" s="48">
        <f t="shared" si="214"/>
        <v>0.99782664254684172</v>
      </c>
      <c r="AF1163" s="48">
        <f t="shared" si="218"/>
        <v>8.5422355374607128E-2</v>
      </c>
      <c r="AH1163" s="48">
        <f t="shared" si="219"/>
        <v>-2.9143354396410359E-16</v>
      </c>
    </row>
    <row r="1164" spans="4:34" ht="13.9" customHeight="1">
      <c r="D1164" s="8"/>
      <c r="E1164" s="9"/>
      <c r="F1164" s="18"/>
      <c r="G1164" s="18"/>
      <c r="H1164" s="18"/>
      <c r="J1164" s="40"/>
      <c r="K1164" s="40"/>
      <c r="L1164" s="40"/>
      <c r="M1164" s="38"/>
      <c r="O1164" s="12">
        <f t="shared" si="209"/>
        <v>95.916666666666671</v>
      </c>
      <c r="P1164" s="13">
        <v>1151</v>
      </c>
      <c r="Q1164" s="21">
        <v>2.6003834434217055E-2</v>
      </c>
      <c r="R1164" s="18">
        <f t="shared" si="210"/>
        <v>2.6452777992917786E-2</v>
      </c>
      <c r="S1164" s="21">
        <v>3.8436243864175212E-2</v>
      </c>
      <c r="T1164" s="18">
        <f t="shared" si="211"/>
        <v>4.2999146310580771E-2</v>
      </c>
      <c r="U1164" s="23">
        <v>3.9698995263732328E-2</v>
      </c>
      <c r="V1164" s="23">
        <f t="shared" si="212"/>
        <v>4.2998891527552097E-2</v>
      </c>
      <c r="W1164" s="22">
        <f t="shared" si="215"/>
        <v>3.5145032762335937E-3</v>
      </c>
      <c r="X1164" s="23">
        <v>3.9446026908063869E-2</v>
      </c>
      <c r="Y1164" s="23">
        <f t="shared" si="216"/>
        <v>4.2998955120957527E-2</v>
      </c>
      <c r="Z1164" s="22">
        <f t="shared" si="217"/>
        <v>3.5145084169592167E-3</v>
      </c>
      <c r="AA1164" s="33"/>
      <c r="AB1164" s="50">
        <f t="shared" si="213"/>
        <v>1151</v>
      </c>
      <c r="AC1164" s="48">
        <f t="shared" si="208"/>
        <v>8.5236701056088979E-2</v>
      </c>
      <c r="AE1164" s="48">
        <f t="shared" si="214"/>
        <v>0.99782663077242639</v>
      </c>
      <c r="AF1164" s="48">
        <f t="shared" si="218"/>
        <v>8.5236701056089104E-2</v>
      </c>
      <c r="AH1164" s="48">
        <f t="shared" si="219"/>
        <v>1.2490009027033011E-16</v>
      </c>
    </row>
    <row r="1165" spans="4:34" ht="13.9" customHeight="1">
      <c r="D1165" s="8"/>
      <c r="E1165" s="9"/>
      <c r="F1165" s="18"/>
      <c r="G1165" s="18"/>
      <c r="H1165" s="18"/>
      <c r="J1165" s="40"/>
      <c r="K1165" s="40"/>
      <c r="L1165" s="40"/>
      <c r="M1165" s="38"/>
      <c r="O1165" s="12">
        <f t="shared" si="209"/>
        <v>96</v>
      </c>
      <c r="P1165" s="13">
        <v>1152</v>
      </c>
      <c r="Q1165" s="21">
        <v>2.6004224057004866E-2</v>
      </c>
      <c r="R1165" s="18">
        <f t="shared" si="210"/>
        <v>2.6452920936210322E-2</v>
      </c>
      <c r="S1165" s="21">
        <v>3.8440196047901942E-2</v>
      </c>
      <c r="T1165" s="18">
        <f t="shared" si="211"/>
        <v>4.299915568147461E-2</v>
      </c>
      <c r="U1165" s="23">
        <v>3.9701855224744564E-2</v>
      </c>
      <c r="V1165" s="23">
        <f t="shared" si="212"/>
        <v>4.2998903031298052E-2</v>
      </c>
      <c r="W1165" s="22">
        <f t="shared" si="215"/>
        <v>3.5145042082747047E-3</v>
      </c>
      <c r="X1165" s="23">
        <v>3.9449105792733308E-2</v>
      </c>
      <c r="Y1165" s="23">
        <f t="shared" si="216"/>
        <v>4.2998966106471581E-2</v>
      </c>
      <c r="Z1165" s="22">
        <f t="shared" si="217"/>
        <v>3.5145093071058398E-3</v>
      </c>
      <c r="AA1165" s="33"/>
      <c r="AB1165" s="50">
        <f t="shared" si="213"/>
        <v>1152</v>
      </c>
      <c r="AC1165" s="48">
        <f t="shared" ref="AC1165:AC1213" si="220">1/(1+Q1165)^(P1165/12)</f>
        <v>8.5051449237677781E-2</v>
      </c>
      <c r="AE1165" s="48">
        <f t="shared" si="214"/>
        <v>0.99782661909581183</v>
      </c>
      <c r="AF1165" s="48">
        <f t="shared" si="218"/>
        <v>8.5051449237677809E-2</v>
      </c>
      <c r="AH1165" s="48">
        <f t="shared" si="219"/>
        <v>0</v>
      </c>
    </row>
    <row r="1166" spans="4:34" ht="13.9" customHeight="1">
      <c r="D1166" s="8"/>
      <c r="E1166" s="9"/>
      <c r="F1166" s="18"/>
      <c r="G1166" s="18"/>
      <c r="H1166" s="18"/>
      <c r="J1166" s="40"/>
      <c r="K1166" s="40"/>
      <c r="L1166" s="40"/>
      <c r="M1166" s="38"/>
      <c r="O1166" s="12">
        <f t="shared" ref="O1166:O1214" si="221">P1166/12</f>
        <v>96.083333333333329</v>
      </c>
      <c r="P1166" s="13">
        <v>1153</v>
      </c>
      <c r="Q1166" s="21">
        <v>2.6004613128019383E-2</v>
      </c>
      <c r="R1166" s="18">
        <f t="shared" ref="R1166:R1213" si="222">(1+Q1167)^P1167/(1+Q1166)^P1166-1</f>
        <v>2.6453062692532114E-2</v>
      </c>
      <c r="S1166" s="21">
        <v>3.8444141399244014E-2</v>
      </c>
      <c r="T1166" s="18">
        <f t="shared" ref="T1166:T1213" si="223">(1+S1167)^P1167/(1+S1166)^P1166-1</f>
        <v>4.2999164949207636E-2</v>
      </c>
      <c r="U1166" s="23">
        <v>3.9704710242645325E-2</v>
      </c>
      <c r="V1166" s="23">
        <f t="shared" ref="V1166:V1213" si="224">(1+U1167)^P1167/(1+U1166)^P1166-1</f>
        <v>4.2998914415431244E-2</v>
      </c>
      <c r="W1166" s="22">
        <f t="shared" si="215"/>
        <v>3.5145051306291197E-3</v>
      </c>
      <c r="X1166" s="23">
        <v>3.9452179355344175E-2</v>
      </c>
      <c r="Y1166" s="23">
        <f t="shared" si="216"/>
        <v>4.2998976976208469E-2</v>
      </c>
      <c r="Z1166" s="22">
        <f t="shared" si="217"/>
        <v>3.5145101879092699E-3</v>
      </c>
      <c r="AA1166" s="33"/>
      <c r="AB1166" s="50">
        <f t="shared" ref="AB1166:AB1213" si="225">+P1166</f>
        <v>1153</v>
      </c>
      <c r="AC1166" s="48">
        <f t="shared" si="220"/>
        <v>8.4866599057157821E-2</v>
      </c>
      <c r="AE1166" s="48">
        <f t="shared" ref="AE1166:AE1213" si="226">1/(1+R1165)^(1/12)</f>
        <v>0.99782660751607699</v>
      </c>
      <c r="AF1166" s="48">
        <f t="shared" si="218"/>
        <v>8.4866599057157877E-2</v>
      </c>
      <c r="AH1166" s="48">
        <f t="shared" si="219"/>
        <v>0</v>
      </c>
    </row>
    <row r="1167" spans="4:34" ht="13.9" customHeight="1">
      <c r="D1167" s="8"/>
      <c r="E1167" s="9"/>
      <c r="F1167" s="18"/>
      <c r="G1167" s="18"/>
      <c r="H1167" s="18"/>
      <c r="J1167" s="40"/>
      <c r="K1167" s="40"/>
      <c r="L1167" s="40"/>
      <c r="M1167" s="38"/>
      <c r="O1167" s="12">
        <f t="shared" si="221"/>
        <v>96.166666666666671</v>
      </c>
      <c r="P1167" s="13">
        <v>1154</v>
      </c>
      <c r="Q1167" s="21">
        <v>2.6005001647666726E-2</v>
      </c>
      <c r="R1167" s="18">
        <f t="shared" si="222"/>
        <v>2.6453203272171377E-2</v>
      </c>
      <c r="S1167" s="21">
        <v>3.8448079935835322E-2</v>
      </c>
      <c r="T1167" s="18">
        <f t="shared" si="223"/>
        <v>4.2999174115803562E-2</v>
      </c>
      <c r="U1167" s="23">
        <v>3.970756033016154E-2</v>
      </c>
      <c r="V1167" s="23">
        <f t="shared" si="224"/>
        <v>4.2998925681824396E-2</v>
      </c>
      <c r="W1167" s="22">
        <f t="shared" ref="W1167:W1213" si="227">(1+V1166)^(1/12)-1</f>
        <v>3.5145060433932063E-3</v>
      </c>
      <c r="X1167" s="23">
        <v>3.9455247609608612E-2</v>
      </c>
      <c r="Y1167" s="23">
        <f t="shared" ref="Y1167:Y1213" si="228">(1+X1168)^P1168/(1+X1167)^P1167-1</f>
        <v>4.2998987731633687E-2</v>
      </c>
      <c r="Z1167" s="22">
        <f t="shared" ref="Z1167:Z1213" si="229">(1+Y1166)^(1/12)-1</f>
        <v>3.5145110594296813E-3</v>
      </c>
      <c r="AA1167" s="33"/>
      <c r="AB1167" s="50">
        <f t="shared" si="225"/>
        <v>1154</v>
      </c>
      <c r="AC1167" s="48">
        <f t="shared" si="220"/>
        <v>8.4682149654058639E-2</v>
      </c>
      <c r="AE1167" s="48">
        <f t="shared" si="226"/>
        <v>0.99782659603249968</v>
      </c>
      <c r="AF1167" s="48">
        <f t="shared" ref="AF1167:AF1213" si="230">+AF1166*AE1167</f>
        <v>8.4682149654058791E-2</v>
      </c>
      <c r="AH1167" s="48">
        <f t="shared" ref="AH1167:AH1213" si="231">+AF1167-AC1167</f>
        <v>1.5265566588595902E-16</v>
      </c>
    </row>
    <row r="1168" spans="4:34" ht="13.9" customHeight="1">
      <c r="D1168" s="8"/>
      <c r="E1168" s="9"/>
      <c r="F1168" s="18"/>
      <c r="G1168" s="18"/>
      <c r="H1168" s="18"/>
      <c r="J1168" s="40"/>
      <c r="K1168" s="40"/>
      <c r="L1168" s="40"/>
      <c r="M1168" s="38"/>
      <c r="O1168" s="12">
        <f t="shared" si="221"/>
        <v>96.25</v>
      </c>
      <c r="P1168" s="13">
        <v>1155</v>
      </c>
      <c r="Q1168" s="21">
        <v>2.6005389616360342E-2</v>
      </c>
      <c r="R1168" s="18">
        <f t="shared" si="222"/>
        <v>2.6453342684520154E-2</v>
      </c>
      <c r="S1168" s="21">
        <v>3.8452011675250697E-2</v>
      </c>
      <c r="T1168" s="18">
        <f t="shared" si="223"/>
        <v>4.2999183181257727E-2</v>
      </c>
      <c r="U1168" s="23">
        <v>3.9710405499977508E-2</v>
      </c>
      <c r="V1168" s="23">
        <f t="shared" si="224"/>
        <v>4.2998936831292189E-2</v>
      </c>
      <c r="W1168" s="22">
        <f t="shared" si="227"/>
        <v>3.5145069467170664E-3</v>
      </c>
      <c r="X1168" s="23">
        <v>3.9458310569192578E-2</v>
      </c>
      <c r="Y1168" s="23">
        <f t="shared" si="228"/>
        <v>4.2998998374254027E-2</v>
      </c>
      <c r="Z1168" s="22">
        <f t="shared" si="229"/>
        <v>3.5145119217847576E-3</v>
      </c>
      <c r="AA1168" s="33"/>
      <c r="AB1168" s="50">
        <f t="shared" si="225"/>
        <v>1155</v>
      </c>
      <c r="AC1168" s="48">
        <f t="shared" si="220"/>
        <v>8.4498100169642626E-2</v>
      </c>
      <c r="AE1168" s="48">
        <f t="shared" si="226"/>
        <v>0.99782658464424623</v>
      </c>
      <c r="AF1168" s="48">
        <f t="shared" si="230"/>
        <v>8.4498100169642418E-2</v>
      </c>
      <c r="AH1168" s="48">
        <f t="shared" si="231"/>
        <v>-2.0816681711721685E-16</v>
      </c>
    </row>
    <row r="1169" spans="4:34" ht="13.9" customHeight="1">
      <c r="D1169" s="8"/>
      <c r="E1169" s="9"/>
      <c r="F1169" s="18"/>
      <c r="G1169" s="18"/>
      <c r="H1169" s="18"/>
      <c r="J1169" s="40"/>
      <c r="K1169" s="40"/>
      <c r="L1169" s="40"/>
      <c r="M1169" s="38"/>
      <c r="O1169" s="12">
        <f t="shared" si="221"/>
        <v>96.333333333333329</v>
      </c>
      <c r="P1169" s="13">
        <v>1156</v>
      </c>
      <c r="Q1169" s="21">
        <v>2.6005777034520561E-2</v>
      </c>
      <c r="R1169" s="18">
        <f t="shared" si="222"/>
        <v>2.6453480940233698E-2</v>
      </c>
      <c r="S1169" s="21">
        <v>3.8455936635004351E-2</v>
      </c>
      <c r="T1169" s="18">
        <f t="shared" si="223"/>
        <v>4.2999192147654908E-2</v>
      </c>
      <c r="U1169" s="23">
        <v>3.9713245764734451E-2</v>
      </c>
      <c r="V1169" s="23">
        <f t="shared" si="224"/>
        <v>4.2998947864746562E-2</v>
      </c>
      <c r="W1169" s="22">
        <f t="shared" si="227"/>
        <v>3.5145078406659813E-3</v>
      </c>
      <c r="X1169" s="23">
        <v>3.9461368247715845E-2</v>
      </c>
      <c r="Y1169" s="23">
        <f t="shared" si="228"/>
        <v>4.2999008905111102E-2</v>
      </c>
      <c r="Z1169" s="22">
        <f t="shared" si="229"/>
        <v>3.5145127750950689E-3</v>
      </c>
      <c r="AA1169" s="33"/>
      <c r="AB1169" s="50">
        <f t="shared" si="225"/>
        <v>1156</v>
      </c>
      <c r="AC1169" s="48">
        <f t="shared" si="220"/>
        <v>8.4314449746906495E-2</v>
      </c>
      <c r="AE1169" s="48">
        <f t="shared" si="226"/>
        <v>0.99782657335055558</v>
      </c>
      <c r="AF1169" s="48">
        <f t="shared" si="230"/>
        <v>8.4314449746906286E-2</v>
      </c>
      <c r="AH1169" s="48">
        <f t="shared" si="231"/>
        <v>-2.0816681711721685E-16</v>
      </c>
    </row>
    <row r="1170" spans="4:34" ht="13.9" customHeight="1">
      <c r="D1170" s="8"/>
      <c r="E1170" s="9"/>
      <c r="F1170" s="18"/>
      <c r="G1170" s="18"/>
      <c r="H1170" s="18"/>
      <c r="J1170" s="40"/>
      <c r="K1170" s="40"/>
      <c r="L1170" s="40"/>
      <c r="M1170" s="38"/>
      <c r="O1170" s="12">
        <f t="shared" si="221"/>
        <v>96.416666666666671</v>
      </c>
      <c r="P1170" s="13">
        <v>1157</v>
      </c>
      <c r="Q1170" s="21">
        <v>2.6006163902575263E-2</v>
      </c>
      <c r="R1170" s="18">
        <f t="shared" si="222"/>
        <v>2.6453618047440397E-2</v>
      </c>
      <c r="S1170" s="21">
        <v>3.8459854832551654E-2</v>
      </c>
      <c r="T1170" s="18">
        <f t="shared" si="223"/>
        <v>4.2999201015161859E-2</v>
      </c>
      <c r="U1170" s="23">
        <v>3.9716081137030734E-2</v>
      </c>
      <c r="V1170" s="23">
        <f t="shared" si="224"/>
        <v>4.2998958783738717E-2</v>
      </c>
      <c r="W1170" s="22">
        <f t="shared" si="227"/>
        <v>3.5145087253130036E-3</v>
      </c>
      <c r="X1170" s="23">
        <v>3.9464420658752219E-2</v>
      </c>
      <c r="Y1170" s="23">
        <f t="shared" si="228"/>
        <v>4.2999019324609034E-2</v>
      </c>
      <c r="Z1170" s="22">
        <f t="shared" si="229"/>
        <v>3.5145136194445481E-3</v>
      </c>
      <c r="AA1170" s="33"/>
      <c r="AB1170" s="50">
        <f t="shared" si="225"/>
        <v>1157</v>
      </c>
      <c r="AC1170" s="48">
        <f t="shared" si="220"/>
        <v>8.4131197530572549E-2</v>
      </c>
      <c r="AE1170" s="48">
        <f t="shared" si="226"/>
        <v>0.99782656215056487</v>
      </c>
      <c r="AF1170" s="48">
        <f t="shared" si="230"/>
        <v>8.4131197530572063E-2</v>
      </c>
      <c r="AH1170" s="48">
        <f t="shared" si="231"/>
        <v>-4.8572257327350599E-16</v>
      </c>
    </row>
    <row r="1171" spans="4:34" ht="13.9" customHeight="1">
      <c r="D1171" s="8"/>
      <c r="E1171" s="9"/>
      <c r="F1171" s="18"/>
      <c r="G1171" s="18"/>
      <c r="H1171" s="18"/>
      <c r="J1171" s="40"/>
      <c r="K1171" s="40"/>
      <c r="L1171" s="40"/>
      <c r="M1171" s="38"/>
      <c r="O1171" s="12">
        <f t="shared" si="221"/>
        <v>96.5</v>
      </c>
      <c r="P1171" s="13">
        <v>1158</v>
      </c>
      <c r="Q1171" s="21">
        <v>2.6006550220958102E-2</v>
      </c>
      <c r="R1171" s="18">
        <f t="shared" si="222"/>
        <v>2.6453754016928954E-2</v>
      </c>
      <c r="S1171" s="21">
        <v>3.8463766285288248E-2</v>
      </c>
      <c r="T1171" s="18">
        <f t="shared" si="223"/>
        <v>4.2999209785452353E-2</v>
      </c>
      <c r="U1171" s="23">
        <v>3.971891162942276E-2</v>
      </c>
      <c r="V1171" s="23">
        <f t="shared" si="224"/>
        <v>4.2998969589679525E-2</v>
      </c>
      <c r="W1171" s="22">
        <f t="shared" si="227"/>
        <v>3.5145096007827004E-3</v>
      </c>
      <c r="X1171" s="23">
        <v>3.9467467815829327E-2</v>
      </c>
      <c r="Y1171" s="23">
        <f t="shared" si="228"/>
        <v>4.2999029635339081E-2</v>
      </c>
      <c r="Z1171" s="22">
        <f t="shared" si="229"/>
        <v>3.5145144548653917E-3</v>
      </c>
      <c r="AA1171" s="33"/>
      <c r="AB1171" s="50">
        <f t="shared" si="225"/>
        <v>1158</v>
      </c>
      <c r="AC1171" s="48">
        <f t="shared" si="220"/>
        <v>8.394834266709994E-2</v>
      </c>
      <c r="AE1171" s="48">
        <f t="shared" si="226"/>
        <v>0.9978265510436154</v>
      </c>
      <c r="AF1171" s="48">
        <f t="shared" si="230"/>
        <v>8.3948342667099857E-2</v>
      </c>
      <c r="AH1171" s="48">
        <f t="shared" si="231"/>
        <v>0</v>
      </c>
    </row>
    <row r="1172" spans="4:34" ht="13.9" customHeight="1">
      <c r="D1172" s="8"/>
      <c r="E1172" s="9"/>
      <c r="F1172" s="18"/>
      <c r="G1172" s="18"/>
      <c r="H1172" s="18"/>
      <c r="J1172" s="40"/>
      <c r="K1172" s="40"/>
      <c r="L1172" s="40"/>
      <c r="M1172" s="38"/>
      <c r="O1172" s="12">
        <f t="shared" si="221"/>
        <v>96.583333333333329</v>
      </c>
      <c r="P1172" s="13">
        <v>1159</v>
      </c>
      <c r="Q1172" s="21">
        <v>2.600693599011028E-2</v>
      </c>
      <c r="R1172" s="18">
        <f t="shared" si="222"/>
        <v>2.6453888858076535E-2</v>
      </c>
      <c r="S1172" s="21">
        <v>3.846767101055093E-2</v>
      </c>
      <c r="T1172" s="18">
        <f t="shared" si="223"/>
        <v>4.2999218459632171E-2</v>
      </c>
      <c r="U1172" s="23">
        <v>3.9721737254424738E-2</v>
      </c>
      <c r="V1172" s="23">
        <f t="shared" si="224"/>
        <v>4.2998980283270205E-2</v>
      </c>
      <c r="W1172" s="22">
        <f t="shared" si="227"/>
        <v>3.5145104671878702E-3</v>
      </c>
      <c r="X1172" s="23">
        <v>3.9470509732429937E-2</v>
      </c>
      <c r="Y1172" s="23">
        <f t="shared" si="228"/>
        <v>4.2999039837156028E-2</v>
      </c>
      <c r="Z1172" s="22">
        <f t="shared" si="229"/>
        <v>3.5145152815654335E-3</v>
      </c>
      <c r="AA1172" s="33"/>
      <c r="AB1172" s="50">
        <f t="shared" si="225"/>
        <v>1159</v>
      </c>
      <c r="AC1172" s="48">
        <f t="shared" si="220"/>
        <v>8.3765884304666985E-2</v>
      </c>
      <c r="AE1172" s="48">
        <f t="shared" si="226"/>
        <v>0.99782654002883331</v>
      </c>
      <c r="AF1172" s="48">
        <f t="shared" si="230"/>
        <v>8.3765884304667124E-2</v>
      </c>
      <c r="AH1172" s="48">
        <f t="shared" si="231"/>
        <v>1.3877787807814457E-16</v>
      </c>
    </row>
    <row r="1173" spans="4:34" ht="13.9" customHeight="1">
      <c r="D1173" s="8"/>
      <c r="E1173" s="9"/>
      <c r="F1173" s="18"/>
      <c r="G1173" s="18"/>
      <c r="H1173" s="18"/>
      <c r="J1173" s="40"/>
      <c r="K1173" s="40"/>
      <c r="L1173" s="40"/>
      <c r="M1173" s="38"/>
      <c r="O1173" s="12">
        <f t="shared" si="221"/>
        <v>96.666666666666671</v>
      </c>
      <c r="P1173" s="13">
        <v>1160</v>
      </c>
      <c r="Q1173" s="21">
        <v>2.6007321210479661E-2</v>
      </c>
      <c r="R1173" s="18">
        <f t="shared" si="222"/>
        <v>2.6454022579355696E-2</v>
      </c>
      <c r="S1173" s="21">
        <v>3.8471569025618324E-2</v>
      </c>
      <c r="T1173" s="18">
        <f t="shared" si="223"/>
        <v>4.2999227038737375E-2</v>
      </c>
      <c r="U1173" s="23">
        <v>3.9724558024508472E-2</v>
      </c>
      <c r="V1173" s="23">
        <f t="shared" si="224"/>
        <v>4.2998990865680486E-2</v>
      </c>
      <c r="W1173" s="22">
        <f t="shared" si="227"/>
        <v>3.5145113245851345E-3</v>
      </c>
      <c r="X1173" s="23">
        <v>3.9473546421990635E-2</v>
      </c>
      <c r="Y1173" s="23">
        <f t="shared" si="228"/>
        <v>4.2999049932046507E-2</v>
      </c>
      <c r="Z1173" s="22">
        <f t="shared" si="229"/>
        <v>3.514516099532905E-3</v>
      </c>
      <c r="AA1173" s="33"/>
      <c r="AB1173" s="50">
        <f t="shared" si="225"/>
        <v>1160</v>
      </c>
      <c r="AC1173" s="48">
        <f t="shared" si="220"/>
        <v>8.35838215931754E-2</v>
      </c>
      <c r="AE1173" s="48">
        <f t="shared" si="226"/>
        <v>0.99782652910545877</v>
      </c>
      <c r="AF1173" s="48">
        <f t="shared" si="230"/>
        <v>8.3583821593175428E-2</v>
      </c>
      <c r="AH1173" s="48">
        <f t="shared" si="231"/>
        <v>0</v>
      </c>
    </row>
    <row r="1174" spans="4:34" ht="13.9" customHeight="1">
      <c r="D1174" s="8"/>
      <c r="E1174" s="9"/>
      <c r="F1174" s="18"/>
      <c r="G1174" s="18"/>
      <c r="H1174" s="18"/>
      <c r="J1174" s="40"/>
      <c r="K1174" s="40"/>
      <c r="L1174" s="40"/>
      <c r="M1174" s="38"/>
      <c r="O1174" s="12">
        <f t="shared" si="221"/>
        <v>96.75</v>
      </c>
      <c r="P1174" s="13">
        <v>1161</v>
      </c>
      <c r="Q1174" s="21">
        <v>2.6007705882519883E-2</v>
      </c>
      <c r="R1174" s="18">
        <f t="shared" si="222"/>
        <v>2.645415519039207E-2</v>
      </c>
      <c r="S1174" s="21">
        <v>3.8475460347709989E-2</v>
      </c>
      <c r="T1174" s="18">
        <f t="shared" si="223"/>
        <v>4.2999235523056178E-2</v>
      </c>
      <c r="U1174" s="23">
        <v>3.9727373952103795E-2</v>
      </c>
      <c r="V1174" s="23">
        <f t="shared" si="224"/>
        <v>4.2999001338453358E-2</v>
      </c>
      <c r="W1174" s="22">
        <f t="shared" si="227"/>
        <v>3.5145121730681961E-3</v>
      </c>
      <c r="X1174" s="23">
        <v>3.9476577897903375E-2</v>
      </c>
      <c r="Y1174" s="23">
        <f t="shared" si="228"/>
        <v>4.2999059920196592E-2</v>
      </c>
      <c r="Z1174" s="22">
        <f t="shared" si="229"/>
        <v>3.5145169089272343E-3</v>
      </c>
      <c r="AA1174" s="33"/>
      <c r="AB1174" s="50">
        <f t="shared" si="225"/>
        <v>1161</v>
      </c>
      <c r="AC1174" s="48">
        <f t="shared" si="220"/>
        <v>8.340215368425398E-2</v>
      </c>
      <c r="AE1174" s="48">
        <f t="shared" si="226"/>
        <v>0.99782651827280544</v>
      </c>
      <c r="AF1174" s="48">
        <f t="shared" si="230"/>
        <v>8.3402153684253577E-2</v>
      </c>
      <c r="AH1174" s="48">
        <f t="shared" si="231"/>
        <v>-4.0245584642661925E-16</v>
      </c>
    </row>
    <row r="1175" spans="4:34" ht="13.9" customHeight="1">
      <c r="D1175" s="8"/>
      <c r="E1175" s="9"/>
      <c r="F1175" s="18"/>
      <c r="G1175" s="18"/>
      <c r="H1175" s="18"/>
      <c r="J1175" s="40"/>
      <c r="K1175" s="40"/>
      <c r="L1175" s="40"/>
      <c r="M1175" s="38"/>
      <c r="O1175" s="12">
        <f t="shared" si="221"/>
        <v>96.833333333333329</v>
      </c>
      <c r="P1175" s="13">
        <v>1162</v>
      </c>
      <c r="Q1175" s="21">
        <v>2.6008090006691464E-2</v>
      </c>
      <c r="R1175" s="18">
        <f t="shared" si="222"/>
        <v>2.6454286701250496E-2</v>
      </c>
      <c r="S1175" s="21">
        <v>3.8479344993986864E-2</v>
      </c>
      <c r="T1175" s="18">
        <f t="shared" si="223"/>
        <v>4.2999243915001317E-2</v>
      </c>
      <c r="U1175" s="23">
        <v>3.9730185049599243E-2</v>
      </c>
      <c r="V1175" s="23">
        <f t="shared" si="224"/>
        <v>4.2999011703057866E-2</v>
      </c>
      <c r="W1175" s="22">
        <f t="shared" si="227"/>
        <v>3.5145130127605118E-3</v>
      </c>
      <c r="X1175" s="23">
        <v>3.9479604173514149E-2</v>
      </c>
      <c r="Y1175" s="23">
        <f t="shared" si="228"/>
        <v>4.2999069803955292E-2</v>
      </c>
      <c r="Z1175" s="22">
        <f t="shared" si="229"/>
        <v>3.5145177097630764E-3</v>
      </c>
      <c r="AA1175" s="33"/>
      <c r="AB1175" s="50">
        <f t="shared" si="225"/>
        <v>1162</v>
      </c>
      <c r="AC1175" s="48">
        <f t="shared" si="220"/>
        <v>8.3220879731246672E-2</v>
      </c>
      <c r="AE1175" s="48">
        <f t="shared" si="226"/>
        <v>0.99782650753009339</v>
      </c>
      <c r="AF1175" s="48">
        <f t="shared" si="230"/>
        <v>8.3220879731246852E-2</v>
      </c>
      <c r="AH1175" s="48">
        <f t="shared" si="231"/>
        <v>1.8041124150158794E-16</v>
      </c>
    </row>
    <row r="1176" spans="4:34" ht="13.9" customHeight="1">
      <c r="D1176" s="8"/>
      <c r="E1176" s="9"/>
      <c r="F1176" s="18"/>
      <c r="G1176" s="18"/>
      <c r="H1176" s="18"/>
      <c r="J1176" s="40"/>
      <c r="K1176" s="40"/>
      <c r="L1176" s="40"/>
      <c r="M1176" s="38"/>
      <c r="O1176" s="12">
        <f t="shared" si="221"/>
        <v>96.916666666666671</v>
      </c>
      <c r="P1176" s="13">
        <v>1163</v>
      </c>
      <c r="Q1176" s="21">
        <v>2.6008473583461589E-2</v>
      </c>
      <c r="R1176" s="18">
        <f t="shared" si="222"/>
        <v>2.64544171200225E-2</v>
      </c>
      <c r="S1176" s="21">
        <v>3.8483222981553045E-2</v>
      </c>
      <c r="T1176" s="18">
        <f t="shared" si="223"/>
        <v>4.2999252214268369E-2</v>
      </c>
      <c r="U1176" s="23">
        <v>3.9732991329341827E-2</v>
      </c>
      <c r="V1176" s="23">
        <f t="shared" si="224"/>
        <v>4.2999021959270411E-2</v>
      </c>
      <c r="W1176" s="22">
        <f t="shared" si="227"/>
        <v>3.5145138437802093E-3</v>
      </c>
      <c r="X1176" s="23">
        <v>3.9482625262125426E-2</v>
      </c>
      <c r="Y1176" s="23">
        <f t="shared" si="228"/>
        <v>4.2999079583645683E-2</v>
      </c>
      <c r="Z1176" s="22">
        <f t="shared" si="229"/>
        <v>3.5145185022291692E-3</v>
      </c>
      <c r="AA1176" s="33"/>
      <c r="AB1176" s="50">
        <f t="shared" si="225"/>
        <v>1163</v>
      </c>
      <c r="AC1176" s="48">
        <f t="shared" si="220"/>
        <v>8.3039998889211208E-2</v>
      </c>
      <c r="AE1176" s="48">
        <f t="shared" si="226"/>
        <v>0.99782649687650726</v>
      </c>
      <c r="AF1176" s="48">
        <f t="shared" si="230"/>
        <v>8.3039998889211181E-2</v>
      </c>
      <c r="AH1176" s="48">
        <f t="shared" si="231"/>
        <v>0</v>
      </c>
    </row>
    <row r="1177" spans="4:34" ht="13.9" customHeight="1">
      <c r="D1177" s="8"/>
      <c r="E1177" s="9"/>
      <c r="F1177" s="18"/>
      <c r="G1177" s="18"/>
      <c r="H1177" s="18"/>
      <c r="J1177" s="40"/>
      <c r="K1177" s="40"/>
      <c r="L1177" s="40"/>
      <c r="M1177" s="38"/>
      <c r="O1177" s="12">
        <f t="shared" si="221"/>
        <v>97</v>
      </c>
      <c r="P1177" s="13">
        <v>1164</v>
      </c>
      <c r="Q1177" s="21">
        <v>2.6008856613303211E-2</v>
      </c>
      <c r="R1177" s="18">
        <f t="shared" si="222"/>
        <v>2.6454546456518235E-2</v>
      </c>
      <c r="S1177" s="21">
        <v>3.8487094327453786E-2</v>
      </c>
      <c r="T1177" s="18">
        <f t="shared" si="223"/>
        <v>4.2999260422873053E-2</v>
      </c>
      <c r="U1177" s="23">
        <v>3.9735792803636372E-2</v>
      </c>
      <c r="V1177" s="23">
        <f t="shared" si="224"/>
        <v>4.2999032109489299E-2</v>
      </c>
      <c r="W1177" s="22">
        <f t="shared" si="227"/>
        <v>3.5145146661088589E-3</v>
      </c>
      <c r="X1177" s="23">
        <v>3.9485641176993935E-2</v>
      </c>
      <c r="Y1177" s="23">
        <f t="shared" si="228"/>
        <v>4.2999089260620238E-2</v>
      </c>
      <c r="Z1177" s="22">
        <f t="shared" si="229"/>
        <v>3.5145192863510477E-3</v>
      </c>
      <c r="AA1177" s="33"/>
      <c r="AB1177" s="50">
        <f t="shared" si="225"/>
        <v>1164</v>
      </c>
      <c r="AC1177" s="48">
        <f t="shared" si="220"/>
        <v>8.2859510314923487E-2</v>
      </c>
      <c r="AE1177" s="48">
        <f t="shared" si="226"/>
        <v>0.99782648631139181</v>
      </c>
      <c r="AF1177" s="48">
        <f t="shared" si="230"/>
        <v>8.2859510314923474E-2</v>
      </c>
      <c r="AH1177" s="48">
        <f t="shared" si="231"/>
        <v>0</v>
      </c>
    </row>
    <row r="1178" spans="4:34" ht="13.9" customHeight="1">
      <c r="D1178" s="8"/>
      <c r="E1178" s="9"/>
      <c r="F1178" s="18"/>
      <c r="G1178" s="18"/>
      <c r="H1178" s="18"/>
      <c r="J1178" s="40"/>
      <c r="K1178" s="40"/>
      <c r="L1178" s="40"/>
      <c r="M1178" s="38"/>
      <c r="O1178" s="12">
        <f t="shared" si="221"/>
        <v>97.083333333333329</v>
      </c>
      <c r="P1178" s="13">
        <v>1165</v>
      </c>
      <c r="Q1178" s="21">
        <v>2.6009239096695724E-2</v>
      </c>
      <c r="R1178" s="18">
        <f t="shared" si="222"/>
        <v>2.6454674719126992E-2</v>
      </c>
      <c r="S1178" s="21">
        <v>3.8490959048677498E-2</v>
      </c>
      <c r="T1178" s="18">
        <f t="shared" si="223"/>
        <v>4.2999268540730107E-2</v>
      </c>
      <c r="U1178" s="23">
        <v>3.9738589484747289E-2</v>
      </c>
      <c r="V1178" s="23">
        <f t="shared" si="224"/>
        <v>4.2999042154264977E-2</v>
      </c>
      <c r="W1178" s="22">
        <f t="shared" si="227"/>
        <v>3.5145154799394174E-3</v>
      </c>
      <c r="X1178" s="23">
        <v>3.9488651931332441E-2</v>
      </c>
      <c r="Y1178" s="23">
        <f t="shared" si="228"/>
        <v>4.299909883543096E-2</v>
      </c>
      <c r="Z1178" s="22">
        <f t="shared" si="229"/>
        <v>3.5145200622372919E-3</v>
      </c>
      <c r="AA1178" s="33"/>
      <c r="AB1178" s="50">
        <f t="shared" si="225"/>
        <v>1165</v>
      </c>
      <c r="AC1178" s="48">
        <f t="shared" si="220"/>
        <v>8.2679413166866708E-2</v>
      </c>
      <c r="AE1178" s="48">
        <f t="shared" si="226"/>
        <v>0.99782647583395201</v>
      </c>
      <c r="AF1178" s="48">
        <f t="shared" si="230"/>
        <v>8.2679413166867083E-2</v>
      </c>
      <c r="AH1178" s="48">
        <f t="shared" si="231"/>
        <v>3.7470027081099033E-16</v>
      </c>
    </row>
    <row r="1179" spans="4:34" ht="13.9" customHeight="1">
      <c r="D1179" s="8"/>
      <c r="E1179" s="9"/>
      <c r="F1179" s="18"/>
      <c r="G1179" s="18"/>
      <c r="H1179" s="18"/>
      <c r="J1179" s="40"/>
      <c r="K1179" s="40"/>
      <c r="L1179" s="40"/>
      <c r="M1179" s="38"/>
      <c r="O1179" s="12">
        <f t="shared" si="221"/>
        <v>97.166666666666671</v>
      </c>
      <c r="P1179" s="13">
        <v>1166</v>
      </c>
      <c r="Q1179" s="21">
        <v>2.6009621034124297E-2</v>
      </c>
      <c r="R1179" s="18">
        <f t="shared" si="222"/>
        <v>2.6454801916663273E-2</v>
      </c>
      <c r="S1179" s="21">
        <v>3.8494817162154416E-2</v>
      </c>
      <c r="T1179" s="18">
        <f t="shared" si="223"/>
        <v>4.2999276570215184E-2</v>
      </c>
      <c r="U1179" s="23">
        <v>3.9741381384897467E-2</v>
      </c>
      <c r="V1179" s="23">
        <f t="shared" si="224"/>
        <v>4.2999052094686352E-2</v>
      </c>
      <c r="W1179" s="22">
        <f t="shared" si="227"/>
        <v>3.5145162853154055E-3</v>
      </c>
      <c r="X1179" s="23">
        <v>3.9491657538308633E-2</v>
      </c>
      <c r="Y1179" s="23">
        <f t="shared" si="228"/>
        <v>4.2999108309893064E-2</v>
      </c>
      <c r="Z1179" s="22">
        <f t="shared" si="229"/>
        <v>3.5145208299323105E-3</v>
      </c>
      <c r="AA1179" s="33"/>
      <c r="AB1179" s="50">
        <f t="shared" si="225"/>
        <v>1166</v>
      </c>
      <c r="AC1179" s="48">
        <f t="shared" si="220"/>
        <v>8.2499706605238116E-2</v>
      </c>
      <c r="AE1179" s="48">
        <f t="shared" si="226"/>
        <v>0.99782646544350839</v>
      </c>
      <c r="AF1179" s="48">
        <f t="shared" si="230"/>
        <v>8.2499706605238449E-2</v>
      </c>
      <c r="AH1179" s="48">
        <f t="shared" si="231"/>
        <v>3.3306690738754696E-16</v>
      </c>
    </row>
    <row r="1180" spans="4:34" ht="13.9" customHeight="1">
      <c r="D1180" s="8"/>
      <c r="E1180" s="9"/>
      <c r="F1180" s="18"/>
      <c r="G1180" s="18"/>
      <c r="H1180" s="18"/>
      <c r="J1180" s="40"/>
      <c r="K1180" s="40"/>
      <c r="L1180" s="40"/>
      <c r="M1180" s="38"/>
      <c r="O1180" s="12">
        <f t="shared" si="221"/>
        <v>97.25</v>
      </c>
      <c r="P1180" s="13">
        <v>1167</v>
      </c>
      <c r="Q1180" s="21">
        <v>2.601000242607987E-2</v>
      </c>
      <c r="R1180" s="18">
        <f t="shared" si="222"/>
        <v>2.6454928059219673E-2</v>
      </c>
      <c r="S1180" s="21">
        <v>3.8498668684758819E-2</v>
      </c>
      <c r="T1180" s="18">
        <f t="shared" si="223"/>
        <v>4.2999284511061386E-2</v>
      </c>
      <c r="U1180" s="23">
        <v>3.9744168516269163E-2</v>
      </c>
      <c r="V1180" s="23">
        <f t="shared" si="224"/>
        <v>4.2999061932291971E-2</v>
      </c>
      <c r="W1180" s="22">
        <f t="shared" si="227"/>
        <v>3.5145170823245309E-3</v>
      </c>
      <c r="X1180" s="23">
        <v>3.9494658011047123E-2</v>
      </c>
      <c r="Y1180" s="23">
        <f t="shared" si="228"/>
        <v>4.299911768486453E-2</v>
      </c>
      <c r="Z1180" s="22">
        <f t="shared" si="229"/>
        <v>3.5145215895813209E-3</v>
      </c>
      <c r="AA1180" s="33"/>
      <c r="AB1180" s="50">
        <f t="shared" si="225"/>
        <v>1167</v>
      </c>
      <c r="AC1180" s="48">
        <f t="shared" si="220"/>
        <v>8.2320389791941326E-2</v>
      </c>
      <c r="AE1180" s="48">
        <f t="shared" si="226"/>
        <v>0.99782645513934654</v>
      </c>
      <c r="AF1180" s="48">
        <f t="shared" si="230"/>
        <v>8.2320389791941215E-2</v>
      </c>
      <c r="AH1180" s="48">
        <f t="shared" si="231"/>
        <v>-1.1102230246251565E-16</v>
      </c>
    </row>
    <row r="1181" spans="4:34" ht="13.9" customHeight="1">
      <c r="D1181" s="8"/>
      <c r="E1181" s="9"/>
      <c r="F1181" s="18"/>
      <c r="G1181" s="18"/>
      <c r="H1181" s="18"/>
      <c r="J1181" s="40"/>
      <c r="K1181" s="40"/>
      <c r="L1181" s="40"/>
      <c r="M1181" s="38"/>
      <c r="O1181" s="12">
        <f t="shared" si="221"/>
        <v>97.333333333333329</v>
      </c>
      <c r="P1181" s="13">
        <v>1168</v>
      </c>
      <c r="Q1181" s="21">
        <v>2.6010383273060489E-2</v>
      </c>
      <c r="R1181" s="18">
        <f t="shared" si="222"/>
        <v>2.6455053153921826E-2</v>
      </c>
      <c r="S1181" s="21">
        <v>3.8502513633307478E-2</v>
      </c>
      <c r="T1181" s="18">
        <f t="shared" si="223"/>
        <v>4.2999292364810815E-2</v>
      </c>
      <c r="U1181" s="23">
        <v>3.9746950891003996E-2</v>
      </c>
      <c r="V1181" s="23">
        <f t="shared" si="224"/>
        <v>4.299907166729855E-2</v>
      </c>
      <c r="W1181" s="22">
        <f t="shared" si="227"/>
        <v>3.5145178710900282E-3</v>
      </c>
      <c r="X1181" s="23">
        <v>3.9497653362627894E-2</v>
      </c>
      <c r="Y1181" s="23">
        <f t="shared" si="228"/>
        <v>4.2999126960900691E-2</v>
      </c>
      <c r="Z1181" s="22">
        <f t="shared" si="229"/>
        <v>3.5145223412536009E-3</v>
      </c>
      <c r="AA1181" s="33"/>
      <c r="AB1181" s="50">
        <f t="shared" si="225"/>
        <v>1168</v>
      </c>
      <c r="AC1181" s="48">
        <f t="shared" si="220"/>
        <v>8.2141461890574932E-2</v>
      </c>
      <c r="AE1181" s="48">
        <f t="shared" si="226"/>
        <v>0.9978264449206492</v>
      </c>
      <c r="AF1181" s="48">
        <f t="shared" si="230"/>
        <v>8.2141461890574807E-2</v>
      </c>
      <c r="AH1181" s="48">
        <f t="shared" si="231"/>
        <v>-1.2490009027033011E-16</v>
      </c>
    </row>
    <row r="1182" spans="4:34" ht="13.9" customHeight="1">
      <c r="D1182" s="8"/>
      <c r="E1182" s="9"/>
      <c r="F1182" s="18"/>
      <c r="G1182" s="18"/>
      <c r="H1182" s="18"/>
      <c r="J1182" s="40"/>
      <c r="K1182" s="40"/>
      <c r="L1182" s="40"/>
      <c r="M1182" s="38"/>
      <c r="O1182" s="12">
        <f t="shared" si="221"/>
        <v>97.416666666666671</v>
      </c>
      <c r="P1182" s="13">
        <v>1169</v>
      </c>
      <c r="Q1182" s="21">
        <v>2.6010763575568419E-2</v>
      </c>
      <c r="R1182" s="18">
        <f t="shared" si="222"/>
        <v>2.6455177210531478E-2</v>
      </c>
      <c r="S1182" s="21">
        <v>3.8506352024560542E-2</v>
      </c>
      <c r="T1182" s="18">
        <f t="shared" si="223"/>
        <v>4.2999300132653628E-2</v>
      </c>
      <c r="U1182" s="23">
        <v>3.9749728521202288E-2</v>
      </c>
      <c r="V1182" s="23">
        <f t="shared" si="224"/>
        <v>4.29990813017882E-2</v>
      </c>
      <c r="W1182" s="22">
        <f t="shared" si="227"/>
        <v>3.5145186516294391E-3</v>
      </c>
      <c r="X1182" s="23">
        <v>3.950064360608696E-2</v>
      </c>
      <c r="Y1182" s="23">
        <f t="shared" si="228"/>
        <v>4.2999136139779459E-2</v>
      </c>
      <c r="Z1182" s="22">
        <f t="shared" si="229"/>
        <v>3.5145230849931153E-3</v>
      </c>
      <c r="AA1182" s="33"/>
      <c r="AB1182" s="50">
        <f t="shared" si="225"/>
        <v>1169</v>
      </c>
      <c r="AC1182" s="48">
        <f t="shared" si="220"/>
        <v>8.1962922066451394E-2</v>
      </c>
      <c r="AE1182" s="48">
        <f t="shared" si="226"/>
        <v>0.99782643478683908</v>
      </c>
      <c r="AF1182" s="48">
        <f t="shared" si="230"/>
        <v>8.1962922066451269E-2</v>
      </c>
      <c r="AH1182" s="48">
        <f t="shared" si="231"/>
        <v>-1.2490009027033011E-16</v>
      </c>
    </row>
    <row r="1183" spans="4:34" ht="13.9" customHeight="1">
      <c r="D1183" s="8"/>
      <c r="E1183" s="9"/>
      <c r="F1183" s="18"/>
      <c r="G1183" s="18"/>
      <c r="H1183" s="18"/>
      <c r="J1183" s="40"/>
      <c r="K1183" s="40"/>
      <c r="L1183" s="40"/>
      <c r="M1183" s="38"/>
      <c r="O1183" s="12">
        <f t="shared" si="221"/>
        <v>97.5</v>
      </c>
      <c r="P1183" s="13">
        <v>1170</v>
      </c>
      <c r="Q1183" s="21">
        <v>2.6011143334112585E-2</v>
      </c>
      <c r="R1183" s="18">
        <f t="shared" si="222"/>
        <v>2.6455300236614354E-2</v>
      </c>
      <c r="S1183" s="21">
        <v>3.8510183875222204E-2</v>
      </c>
      <c r="T1183" s="18">
        <f t="shared" si="223"/>
        <v>4.2999307814863164E-2</v>
      </c>
      <c r="U1183" s="23">
        <v>3.9752501418925057E-2</v>
      </c>
      <c r="V1183" s="23">
        <f t="shared" si="224"/>
        <v>4.299909083599518E-2</v>
      </c>
      <c r="W1183" s="22">
        <f t="shared" si="227"/>
        <v>3.514519424109297E-3</v>
      </c>
      <c r="X1183" s="23">
        <v>3.9503628754417486E-2</v>
      </c>
      <c r="Y1183" s="23">
        <f t="shared" si="228"/>
        <v>4.2999145221804591E-2</v>
      </c>
      <c r="Z1183" s="22">
        <f t="shared" si="229"/>
        <v>3.5145238209426388E-3</v>
      </c>
      <c r="AA1183" s="33"/>
      <c r="AB1183" s="50">
        <f t="shared" si="225"/>
        <v>1170</v>
      </c>
      <c r="AC1183" s="48">
        <f t="shared" si="220"/>
        <v>8.178476948657519E-2</v>
      </c>
      <c r="AE1183" s="48">
        <f t="shared" si="226"/>
        <v>0.99782642473712502</v>
      </c>
      <c r="AF1183" s="48">
        <f t="shared" si="230"/>
        <v>8.1784769486574677E-2</v>
      </c>
      <c r="AH1183" s="48">
        <f t="shared" si="231"/>
        <v>-5.134781488891349E-16</v>
      </c>
    </row>
    <row r="1184" spans="4:34" ht="13.9" customHeight="1">
      <c r="D1184" s="8"/>
      <c r="E1184" s="9"/>
      <c r="F1184" s="18"/>
      <c r="G1184" s="18"/>
      <c r="H1184" s="18"/>
      <c r="J1184" s="40"/>
      <c r="K1184" s="40"/>
      <c r="L1184" s="40"/>
      <c r="M1184" s="38"/>
      <c r="O1184" s="12">
        <f t="shared" si="221"/>
        <v>97.583333333333329</v>
      </c>
      <c r="P1184" s="13">
        <v>1171</v>
      </c>
      <c r="Q1184" s="21">
        <v>2.60115225492068E-2</v>
      </c>
      <c r="R1184" s="18">
        <f t="shared" si="222"/>
        <v>2.6455422242608106E-2</v>
      </c>
      <c r="S1184" s="21">
        <v>3.8514009201940258E-2</v>
      </c>
      <c r="T1184" s="18">
        <f t="shared" si="223"/>
        <v>4.2999315413012829E-2</v>
      </c>
      <c r="U1184" s="23">
        <v>3.9755269596192244E-2</v>
      </c>
      <c r="V1184" s="23">
        <f t="shared" si="224"/>
        <v>4.2999100271278179E-2</v>
      </c>
      <c r="W1184" s="22">
        <f t="shared" si="227"/>
        <v>3.5145201885486976E-3</v>
      </c>
      <c r="X1184" s="23">
        <v>3.9506608820568445E-2</v>
      </c>
      <c r="Y1184" s="23">
        <f t="shared" si="228"/>
        <v>4.2999154208716472E-2</v>
      </c>
      <c r="Z1184" s="22">
        <f t="shared" si="229"/>
        <v>3.5145245491268184E-3</v>
      </c>
      <c r="AA1184" s="33"/>
      <c r="AB1184" s="50">
        <f t="shared" si="225"/>
        <v>1171</v>
      </c>
      <c r="AC1184" s="48">
        <f t="shared" si="220"/>
        <v>8.1607003319652899E-2</v>
      </c>
      <c r="AE1184" s="48">
        <f t="shared" si="226"/>
        <v>0.9978264147708944</v>
      </c>
      <c r="AF1184" s="48">
        <f t="shared" si="230"/>
        <v>8.1607003319652857E-2</v>
      </c>
      <c r="AH1184" s="48">
        <f t="shared" si="231"/>
        <v>0</v>
      </c>
    </row>
    <row r="1185" spans="4:34" ht="13.9" customHeight="1">
      <c r="D1185" s="8"/>
      <c r="E1185" s="9"/>
      <c r="F1185" s="18"/>
      <c r="G1185" s="18"/>
      <c r="H1185" s="18"/>
      <c r="J1185" s="40"/>
      <c r="K1185" s="40"/>
      <c r="L1185" s="40"/>
      <c r="M1185" s="38"/>
      <c r="O1185" s="12">
        <f t="shared" si="221"/>
        <v>97.666666666666671</v>
      </c>
      <c r="P1185" s="13">
        <v>1172</v>
      </c>
      <c r="Q1185" s="21">
        <v>2.6011901221371758E-2</v>
      </c>
      <c r="R1185" s="18">
        <f t="shared" si="222"/>
        <v>2.6455543235685663E-2</v>
      </c>
      <c r="S1185" s="21">
        <v>3.8517828021306544E-2</v>
      </c>
      <c r="T1185" s="18">
        <f t="shared" si="223"/>
        <v>4.2999322927708139E-2</v>
      </c>
      <c r="U1185" s="23">
        <v>3.9758033064984044E-2</v>
      </c>
      <c r="V1185" s="23">
        <f t="shared" si="224"/>
        <v>4.2999109608580222E-2</v>
      </c>
      <c r="W1185" s="22">
        <f t="shared" si="227"/>
        <v>3.514520945056443E-3</v>
      </c>
      <c r="X1185" s="23">
        <v>3.9509583817445959E-2</v>
      </c>
      <c r="Y1185" s="23">
        <f t="shared" si="228"/>
        <v>4.299916310078955E-2</v>
      </c>
      <c r="Z1185" s="22">
        <f t="shared" si="229"/>
        <v>3.5145252696848761E-3</v>
      </c>
      <c r="AA1185" s="33"/>
      <c r="AB1185" s="50">
        <f t="shared" si="225"/>
        <v>1172</v>
      </c>
      <c r="AC1185" s="48">
        <f t="shared" si="220"/>
        <v>8.1429622736075055E-2</v>
      </c>
      <c r="AE1185" s="48">
        <f t="shared" si="226"/>
        <v>0.99782640488730168</v>
      </c>
      <c r="AF1185" s="48">
        <f t="shared" si="230"/>
        <v>8.1429622736075305E-2</v>
      </c>
      <c r="AH1185" s="48">
        <f t="shared" si="231"/>
        <v>2.4980018054066022E-16</v>
      </c>
    </row>
    <row r="1186" spans="4:34" ht="13.9" customHeight="1">
      <c r="D1186" s="8"/>
      <c r="E1186" s="9"/>
      <c r="F1186" s="18"/>
      <c r="G1186" s="18"/>
      <c r="H1186" s="18"/>
      <c r="J1186" s="40"/>
      <c r="K1186" s="40"/>
      <c r="L1186" s="40"/>
      <c r="M1186" s="38"/>
      <c r="O1186" s="12">
        <f t="shared" si="221"/>
        <v>97.75</v>
      </c>
      <c r="P1186" s="13">
        <v>1173</v>
      </c>
      <c r="Q1186" s="21">
        <v>2.6012279351132594E-2</v>
      </c>
      <c r="R1186" s="18">
        <f t="shared" si="222"/>
        <v>2.6455663223662107E-2</v>
      </c>
      <c r="S1186" s="21">
        <v>3.8521640349857389E-2</v>
      </c>
      <c r="T1186" s="18">
        <f t="shared" si="223"/>
        <v>4.2999330359613452E-2</v>
      </c>
      <c r="U1186" s="23">
        <v>3.9760791837240461E-2</v>
      </c>
      <c r="V1186" s="23">
        <f t="shared" si="224"/>
        <v>4.2999118849106566E-2</v>
      </c>
      <c r="W1186" s="22">
        <f t="shared" si="227"/>
        <v>3.5145216937082502E-3</v>
      </c>
      <c r="X1186" s="23">
        <v>3.9512553757912849E-2</v>
      </c>
      <c r="Y1186" s="23">
        <f t="shared" si="228"/>
        <v>4.2999171899694044E-2</v>
      </c>
      <c r="Z1186" s="22">
        <f t="shared" si="229"/>
        <v>3.5145259826387942E-3</v>
      </c>
      <c r="AA1186" s="33"/>
      <c r="AB1186" s="50">
        <f t="shared" si="225"/>
        <v>1173</v>
      </c>
      <c r="AC1186" s="48">
        <f t="shared" si="220"/>
        <v>8.1252626907931794E-2</v>
      </c>
      <c r="AE1186" s="48">
        <f t="shared" si="226"/>
        <v>0.99782639508576521</v>
      </c>
      <c r="AF1186" s="48">
        <f t="shared" si="230"/>
        <v>8.1252626907931891E-2</v>
      </c>
      <c r="AH1186" s="48">
        <f t="shared" si="231"/>
        <v>0</v>
      </c>
    </row>
    <row r="1187" spans="4:34" ht="13.9" customHeight="1">
      <c r="D1187" s="8"/>
      <c r="E1187" s="9"/>
      <c r="F1187" s="18"/>
      <c r="G1187" s="18"/>
      <c r="H1187" s="18"/>
      <c r="J1187" s="40"/>
      <c r="K1187" s="40"/>
      <c r="L1187" s="40"/>
      <c r="M1187" s="38"/>
      <c r="O1187" s="12">
        <f t="shared" si="221"/>
        <v>97.833333333333329</v>
      </c>
      <c r="P1187" s="13">
        <v>1174</v>
      </c>
      <c r="Q1187" s="21">
        <v>2.601265693901933E-2</v>
      </c>
      <c r="R1187" s="18">
        <f t="shared" si="222"/>
        <v>2.6455782216055379E-2</v>
      </c>
      <c r="S1187" s="21">
        <v>3.8525446204073388E-2</v>
      </c>
      <c r="T1187" s="18">
        <f t="shared" si="223"/>
        <v>4.2999337710321717E-2</v>
      </c>
      <c r="U1187" s="23">
        <v>3.9763545924862198E-2</v>
      </c>
      <c r="V1187" s="23">
        <f t="shared" si="224"/>
        <v>4.2999127993820441E-2</v>
      </c>
      <c r="W1187" s="22">
        <f t="shared" si="227"/>
        <v>3.5145224346007087E-3</v>
      </c>
      <c r="X1187" s="23">
        <v>3.9515518654789306E-2</v>
      </c>
      <c r="Y1187" s="23">
        <f t="shared" si="228"/>
        <v>4.2999180606006382E-2</v>
      </c>
      <c r="Z1187" s="22">
        <f t="shared" si="229"/>
        <v>3.5145266881226878E-3</v>
      </c>
      <c r="AA1187" s="33"/>
      <c r="AB1187" s="50">
        <f t="shared" si="225"/>
        <v>1174</v>
      </c>
      <c r="AC1187" s="48">
        <f t="shared" si="220"/>
        <v>8.1076015009006061E-2</v>
      </c>
      <c r="AE1187" s="48">
        <f t="shared" si="226"/>
        <v>0.99782638536565271</v>
      </c>
      <c r="AF1187" s="48">
        <f t="shared" si="230"/>
        <v>8.1076015009005645E-2</v>
      </c>
      <c r="AH1187" s="48">
        <f t="shared" si="231"/>
        <v>-4.163336342344337E-16</v>
      </c>
    </row>
    <row r="1188" spans="4:34" ht="13.9" customHeight="1">
      <c r="D1188" s="8"/>
      <c r="E1188" s="9"/>
      <c r="F1188" s="18"/>
      <c r="G1188" s="18"/>
      <c r="H1188" s="18"/>
      <c r="J1188" s="40"/>
      <c r="K1188" s="40"/>
      <c r="L1188" s="40"/>
      <c r="M1188" s="38"/>
      <c r="O1188" s="12">
        <f t="shared" si="221"/>
        <v>97.916666666666671</v>
      </c>
      <c r="P1188" s="13">
        <v>1175</v>
      </c>
      <c r="Q1188" s="21">
        <v>2.6013033985568423E-2</v>
      </c>
      <c r="R1188" s="18">
        <f t="shared" si="222"/>
        <v>2.6455900220559769E-2</v>
      </c>
      <c r="S1188" s="21">
        <v>3.8529245600380513E-2</v>
      </c>
      <c r="T1188" s="18">
        <f t="shared" si="223"/>
        <v>4.2999344980337417E-2</v>
      </c>
      <c r="U1188" s="23">
        <v>3.9766295339710211E-2</v>
      </c>
      <c r="V1188" s="23">
        <f t="shared" si="224"/>
        <v>4.2999137043498115E-2</v>
      </c>
      <c r="W1188" s="22">
        <f t="shared" si="227"/>
        <v>3.51452316781109E-3</v>
      </c>
      <c r="X1188" s="23">
        <v>3.9518478520852662E-2</v>
      </c>
      <c r="Y1188" s="23">
        <f t="shared" si="228"/>
        <v>4.2999189220726208E-2</v>
      </c>
      <c r="Z1188" s="22">
        <f t="shared" si="229"/>
        <v>3.5145273861825199E-3</v>
      </c>
      <c r="AA1188" s="33"/>
      <c r="AB1188" s="50">
        <f t="shared" si="225"/>
        <v>1175</v>
      </c>
      <c r="AC1188" s="48">
        <f t="shared" si="220"/>
        <v>8.0899786214758643E-2</v>
      </c>
      <c r="AE1188" s="48">
        <f t="shared" si="226"/>
        <v>0.99782637572619237</v>
      </c>
      <c r="AF1188" s="48">
        <f t="shared" si="230"/>
        <v>8.0899786214758476E-2</v>
      </c>
      <c r="AH1188" s="48">
        <f t="shared" si="231"/>
        <v>-1.6653345369377348E-16</v>
      </c>
    </row>
    <row r="1189" spans="4:34" ht="13.9" customHeight="1">
      <c r="D1189" s="8"/>
      <c r="E1189" s="9"/>
      <c r="F1189" s="18"/>
      <c r="G1189" s="18"/>
      <c r="H1189" s="18"/>
      <c r="J1189" s="40"/>
      <c r="K1189" s="40"/>
      <c r="L1189" s="40"/>
      <c r="M1189" s="38"/>
      <c r="O1189" s="12">
        <f t="shared" si="221"/>
        <v>98</v>
      </c>
      <c r="P1189" s="13">
        <v>1176</v>
      </c>
      <c r="Q1189" s="21">
        <v>2.6013410491320776E-2</v>
      </c>
      <c r="R1189" s="18">
        <f t="shared" si="222"/>
        <v>2.6456017245975127E-2</v>
      </c>
      <c r="S1189" s="21">
        <v>3.8533038555149224E-2</v>
      </c>
      <c r="T1189" s="18">
        <f t="shared" si="223"/>
        <v>4.299935217027917E-2</v>
      </c>
      <c r="U1189" s="23">
        <v>3.9769040093605712E-2</v>
      </c>
      <c r="V1189" s="23">
        <f t="shared" si="224"/>
        <v>4.299914599923893E-2</v>
      </c>
      <c r="W1189" s="22">
        <f t="shared" si="227"/>
        <v>3.5145238934015666E-3</v>
      </c>
      <c r="X1189" s="23">
        <v>3.95214333688374E-2</v>
      </c>
      <c r="Y1189" s="23">
        <f t="shared" si="228"/>
        <v>4.2999197744618023E-2</v>
      </c>
      <c r="Z1189" s="22">
        <f t="shared" si="229"/>
        <v>3.5145280768986709E-3</v>
      </c>
      <c r="AA1189" s="33"/>
      <c r="AB1189" s="50">
        <f t="shared" si="225"/>
        <v>1176</v>
      </c>
      <c r="AC1189" s="48">
        <f t="shared" si="220"/>
        <v>8.0723939702340305E-2</v>
      </c>
      <c r="AE1189" s="48">
        <f t="shared" si="226"/>
        <v>0.99782636616676146</v>
      </c>
      <c r="AF1189" s="48">
        <f t="shared" si="230"/>
        <v>8.0723939702340305E-2</v>
      </c>
      <c r="AH1189" s="48">
        <f t="shared" si="231"/>
        <v>0</v>
      </c>
    </row>
    <row r="1190" spans="4:34" ht="13.9" customHeight="1">
      <c r="D1190" s="8"/>
      <c r="E1190" s="9"/>
      <c r="F1190" s="18"/>
      <c r="G1190" s="18"/>
      <c r="H1190" s="18"/>
      <c r="J1190" s="40"/>
      <c r="K1190" s="40"/>
      <c r="L1190" s="40"/>
      <c r="M1190" s="38"/>
      <c r="O1190" s="12">
        <f t="shared" si="221"/>
        <v>98.083333333333329</v>
      </c>
      <c r="P1190" s="13">
        <v>1177</v>
      </c>
      <c r="Q1190" s="21">
        <v>2.6013786456823063E-2</v>
      </c>
      <c r="R1190" s="18">
        <f t="shared" si="222"/>
        <v>2.6456133299357587E-2</v>
      </c>
      <c r="S1190" s="21">
        <v>3.8536825084695137E-2</v>
      </c>
      <c r="T1190" s="18">
        <f t="shared" si="223"/>
        <v>4.2999359281305605E-2</v>
      </c>
      <c r="U1190" s="23">
        <v>3.9771780198330831E-2</v>
      </c>
      <c r="V1190" s="23">
        <f t="shared" si="224"/>
        <v>4.2999154861917743E-2</v>
      </c>
      <c r="W1190" s="22">
        <f t="shared" si="227"/>
        <v>3.5145246114605122E-3</v>
      </c>
      <c r="X1190" s="23">
        <v>3.952438321143581E-2</v>
      </c>
      <c r="Y1190" s="23">
        <f t="shared" si="228"/>
        <v>4.2999206179310523E-2</v>
      </c>
      <c r="Z1190" s="22">
        <f t="shared" si="229"/>
        <v>3.5145287603322029E-3</v>
      </c>
      <c r="AA1190" s="33"/>
      <c r="AB1190" s="50">
        <f t="shared" si="225"/>
        <v>1177</v>
      </c>
      <c r="AC1190" s="48">
        <f t="shared" si="220"/>
        <v>8.054847465057921E-2</v>
      </c>
      <c r="AE1190" s="48">
        <f t="shared" si="226"/>
        <v>0.99782635668664654</v>
      </c>
      <c r="AF1190" s="48">
        <f t="shared" si="230"/>
        <v>8.0548474650578766E-2</v>
      </c>
      <c r="AH1190" s="48">
        <f t="shared" si="231"/>
        <v>-4.4408920985006262E-16</v>
      </c>
    </row>
    <row r="1191" spans="4:34" ht="13.9" customHeight="1">
      <c r="D1191" s="8"/>
      <c r="E1191" s="9"/>
      <c r="F1191" s="18"/>
      <c r="G1191" s="18"/>
      <c r="H1191" s="18"/>
      <c r="J1191" s="40"/>
      <c r="K1191" s="40"/>
      <c r="L1191" s="40"/>
      <c r="M1191" s="38"/>
      <c r="O1191" s="12">
        <f t="shared" si="221"/>
        <v>98.166666666666671</v>
      </c>
      <c r="P1191" s="13">
        <v>1178</v>
      </c>
      <c r="Q1191" s="21">
        <v>2.6014161882626174E-2</v>
      </c>
      <c r="R1191" s="18">
        <f t="shared" si="222"/>
        <v>2.6456248389684411E-2</v>
      </c>
      <c r="S1191" s="21">
        <v>3.8540605205279688E-2</v>
      </c>
      <c r="T1191" s="18">
        <f t="shared" si="223"/>
        <v>4.2999366314614429E-2</v>
      </c>
      <c r="U1191" s="23">
        <v>3.9774515665628618E-2</v>
      </c>
      <c r="V1191" s="23">
        <f t="shared" si="224"/>
        <v>4.2999163632843729E-2</v>
      </c>
      <c r="W1191" s="22">
        <f t="shared" si="227"/>
        <v>3.5145253220576489E-3</v>
      </c>
      <c r="X1191" s="23">
        <v>3.9527328061298217E-2</v>
      </c>
      <c r="Y1191" s="23">
        <f t="shared" si="228"/>
        <v>4.2999214525079488E-2</v>
      </c>
      <c r="Z1191" s="22">
        <f t="shared" si="229"/>
        <v>3.5145294366141222E-3</v>
      </c>
      <c r="AA1191" s="33"/>
      <c r="AB1191" s="50">
        <f t="shared" si="225"/>
        <v>1178</v>
      </c>
      <c r="AC1191" s="48">
        <f t="shared" si="220"/>
        <v>8.0373390239987824E-2</v>
      </c>
      <c r="AE1191" s="48">
        <f t="shared" si="226"/>
        <v>0.9978263472852763</v>
      </c>
      <c r="AF1191" s="48">
        <f t="shared" si="230"/>
        <v>8.0373390239987685E-2</v>
      </c>
      <c r="AH1191" s="48">
        <f t="shared" si="231"/>
        <v>-1.3877787807814457E-16</v>
      </c>
    </row>
    <row r="1192" spans="4:34" ht="13.9" customHeight="1">
      <c r="D1192" s="8"/>
      <c r="E1192" s="9"/>
      <c r="F1192" s="18"/>
      <c r="G1192" s="18"/>
      <c r="H1192" s="18"/>
      <c r="J1192" s="40"/>
      <c r="K1192" s="40"/>
      <c r="L1192" s="40"/>
      <c r="M1192" s="38"/>
      <c r="O1192" s="12">
        <f t="shared" si="221"/>
        <v>98.25</v>
      </c>
      <c r="P1192" s="13">
        <v>1179</v>
      </c>
      <c r="Q1192" s="21">
        <v>2.6014536769286556E-2</v>
      </c>
      <c r="R1192" s="18">
        <f t="shared" si="222"/>
        <v>2.6456362524815091E-2</v>
      </c>
      <c r="S1192" s="21">
        <v>3.8544378933109913E-2</v>
      </c>
      <c r="T1192" s="18">
        <f t="shared" si="223"/>
        <v>4.2999373270418362E-2</v>
      </c>
      <c r="U1192" s="23">
        <v>3.9777246507203268E-2</v>
      </c>
      <c r="V1192" s="23">
        <f t="shared" si="224"/>
        <v>4.2999172312828016E-2</v>
      </c>
      <c r="W1192" s="22">
        <f t="shared" si="227"/>
        <v>3.5145260252982258E-3</v>
      </c>
      <c r="X1192" s="23">
        <v>3.9530267931032537E-2</v>
      </c>
      <c r="Y1192" s="23">
        <f t="shared" si="228"/>
        <v>4.2999222783361546E-2</v>
      </c>
      <c r="Z1192" s="22">
        <f t="shared" si="229"/>
        <v>3.5145301057661893E-3</v>
      </c>
      <c r="AA1192" s="33"/>
      <c r="AB1192" s="50">
        <f t="shared" si="225"/>
        <v>1179</v>
      </c>
      <c r="AC1192" s="48">
        <f t="shared" si="220"/>
        <v>8.0198685652751511E-2</v>
      </c>
      <c r="AE1192" s="48">
        <f t="shared" si="226"/>
        <v>0.99782633796192333</v>
      </c>
      <c r="AF1192" s="48">
        <f t="shared" si="230"/>
        <v>8.0198685652751497E-2</v>
      </c>
      <c r="AH1192" s="48">
        <f t="shared" si="231"/>
        <v>0</v>
      </c>
    </row>
    <row r="1193" spans="4:34" ht="13.9" customHeight="1">
      <c r="D1193" s="8"/>
      <c r="E1193" s="9"/>
      <c r="F1193" s="18"/>
      <c r="G1193" s="18"/>
      <c r="H1193" s="18"/>
      <c r="J1193" s="40"/>
      <c r="K1193" s="40"/>
      <c r="L1193" s="40"/>
      <c r="M1193" s="38"/>
      <c r="O1193" s="12">
        <f t="shared" si="221"/>
        <v>98.333333333333329</v>
      </c>
      <c r="P1193" s="13">
        <v>1180</v>
      </c>
      <c r="Q1193" s="21">
        <v>2.6014911117365536E-2</v>
      </c>
      <c r="R1193" s="18">
        <f t="shared" si="222"/>
        <v>2.6456475712578031E-2</v>
      </c>
      <c r="S1193" s="21">
        <v>3.8548146284338669E-2</v>
      </c>
      <c r="T1193" s="18">
        <f t="shared" si="223"/>
        <v>4.299938014991711E-2</v>
      </c>
      <c r="U1193" s="23">
        <v>3.9779972734720115E-2</v>
      </c>
      <c r="V1193" s="23">
        <f t="shared" si="224"/>
        <v>4.2999180902528744E-2</v>
      </c>
      <c r="W1193" s="22">
        <f t="shared" si="227"/>
        <v>3.5145267212470799E-3</v>
      </c>
      <c r="X1193" s="23">
        <v>3.9533202833205161E-2</v>
      </c>
      <c r="Y1193" s="23">
        <f t="shared" si="228"/>
        <v>4.2999230954465562E-2</v>
      </c>
      <c r="Z1193" s="22">
        <f t="shared" si="229"/>
        <v>3.5145307679036453E-3</v>
      </c>
      <c r="AA1193" s="33"/>
      <c r="AB1193" s="50">
        <f t="shared" si="225"/>
        <v>1180</v>
      </c>
      <c r="AC1193" s="48">
        <f t="shared" si="220"/>
        <v>8.0024360072729603E-2</v>
      </c>
      <c r="AE1193" s="48">
        <f t="shared" si="226"/>
        <v>0.99782632871595101</v>
      </c>
      <c r="AF1193" s="48">
        <f t="shared" si="230"/>
        <v>8.0024360072729644E-2</v>
      </c>
      <c r="AH1193" s="48">
        <f t="shared" si="231"/>
        <v>0</v>
      </c>
    </row>
    <row r="1194" spans="4:34" ht="13.9" customHeight="1">
      <c r="D1194" s="8"/>
      <c r="E1194" s="9"/>
      <c r="F1194" s="18"/>
      <c r="G1194" s="18"/>
      <c r="H1194" s="18"/>
      <c r="J1194" s="40"/>
      <c r="K1194" s="40"/>
      <c r="L1194" s="40"/>
      <c r="M1194" s="38"/>
      <c r="O1194" s="12">
        <f t="shared" si="221"/>
        <v>98.416666666666671</v>
      </c>
      <c r="P1194" s="13">
        <v>1181</v>
      </c>
      <c r="Q1194" s="21">
        <v>2.6015284927429105E-2</v>
      </c>
      <c r="R1194" s="18">
        <f t="shared" si="222"/>
        <v>2.6456587960288269E-2</v>
      </c>
      <c r="S1194" s="21">
        <v>3.8551907275064856E-2</v>
      </c>
      <c r="T1194" s="18">
        <f t="shared" si="223"/>
        <v>4.2999386954057028E-2</v>
      </c>
      <c r="U1194" s="23">
        <v>3.9782694359805415E-2</v>
      </c>
      <c r="V1194" s="23">
        <f t="shared" si="224"/>
        <v>4.2999189402948446E-2</v>
      </c>
      <c r="W1194" s="22">
        <f t="shared" si="227"/>
        <v>3.5145274099572799E-3</v>
      </c>
      <c r="X1194" s="23">
        <v>3.9536132780340294E-2</v>
      </c>
      <c r="Y1194" s="23">
        <f t="shared" si="228"/>
        <v>4.2999239039952952E-2</v>
      </c>
      <c r="Z1194" s="22">
        <f t="shared" si="229"/>
        <v>3.5145314230511371E-3</v>
      </c>
      <c r="AA1194" s="33"/>
      <c r="AB1194" s="50">
        <f t="shared" si="225"/>
        <v>1181</v>
      </c>
      <c r="AC1194" s="48">
        <f t="shared" si="220"/>
        <v>7.9850412685453925E-2</v>
      </c>
      <c r="AE1194" s="48">
        <f t="shared" si="226"/>
        <v>0.99782631954672518</v>
      </c>
      <c r="AF1194" s="48">
        <f t="shared" si="230"/>
        <v>7.9850412685453731E-2</v>
      </c>
      <c r="AH1194" s="48">
        <f t="shared" si="231"/>
        <v>-1.9428902930940239E-16</v>
      </c>
    </row>
    <row r="1195" spans="4:34" ht="13.9" customHeight="1">
      <c r="D1195" s="8"/>
      <c r="E1195" s="9"/>
      <c r="F1195" s="18"/>
      <c r="G1195" s="18"/>
      <c r="H1195" s="18"/>
      <c r="J1195" s="40"/>
      <c r="K1195" s="40"/>
      <c r="L1195" s="40"/>
      <c r="M1195" s="38"/>
      <c r="O1195" s="12">
        <f t="shared" si="221"/>
        <v>98.5</v>
      </c>
      <c r="P1195" s="13">
        <v>1182</v>
      </c>
      <c r="Q1195" s="21">
        <v>2.6015658200047698E-2</v>
      </c>
      <c r="R1195" s="18">
        <f t="shared" si="222"/>
        <v>2.645669927692218E-2</v>
      </c>
      <c r="S1195" s="21">
        <v>3.8555661921333861E-2</v>
      </c>
      <c r="T1195" s="18">
        <f t="shared" si="223"/>
        <v>4.2999393683197829E-2</v>
      </c>
      <c r="U1195" s="23">
        <v>3.9785411394047454E-2</v>
      </c>
      <c r="V1195" s="23">
        <f t="shared" si="224"/>
        <v>4.2999197815553947E-2</v>
      </c>
      <c r="W1195" s="22">
        <f t="shared" si="227"/>
        <v>3.5145280915089838E-3</v>
      </c>
      <c r="X1195" s="23">
        <v>3.9539057784921061E-2</v>
      </c>
      <c r="Y1195" s="23">
        <f t="shared" si="228"/>
        <v>4.2999247040286681E-2</v>
      </c>
      <c r="Z1195" s="22">
        <f t="shared" si="229"/>
        <v>3.5145320713341199E-3</v>
      </c>
      <c r="AA1195" s="33"/>
      <c r="AB1195" s="50">
        <f t="shared" si="225"/>
        <v>1182</v>
      </c>
      <c r="AC1195" s="48">
        <f t="shared" si="220"/>
        <v>7.967684267812776E-2</v>
      </c>
      <c r="AE1195" s="48">
        <f t="shared" si="226"/>
        <v>0.997826310453653</v>
      </c>
      <c r="AF1195" s="48">
        <f t="shared" si="230"/>
        <v>7.9676842678127871E-2</v>
      </c>
      <c r="AH1195" s="48">
        <f t="shared" si="231"/>
        <v>1.1102230246251565E-16</v>
      </c>
    </row>
    <row r="1196" spans="4:34" ht="13.9" customHeight="1">
      <c r="D1196" s="8"/>
      <c r="E1196" s="9"/>
      <c r="F1196" s="18"/>
      <c r="G1196" s="18"/>
      <c r="H1196" s="18"/>
      <c r="J1196" s="40"/>
      <c r="K1196" s="40"/>
      <c r="L1196" s="40"/>
      <c r="M1196" s="38"/>
      <c r="O1196" s="12">
        <f t="shared" si="221"/>
        <v>98.583333333333329</v>
      </c>
      <c r="P1196" s="13">
        <v>1183</v>
      </c>
      <c r="Q1196" s="21">
        <v>2.6016030935797074E-2</v>
      </c>
      <c r="R1196" s="18">
        <f t="shared" si="222"/>
        <v>2.6456809668749859E-2</v>
      </c>
      <c r="S1196" s="21">
        <v>3.8559410239137559E-2</v>
      </c>
      <c r="T1196" s="18">
        <f t="shared" si="223"/>
        <v>4.2999400338944227E-2</v>
      </c>
      <c r="U1196" s="23">
        <v>3.9788123848996104E-2</v>
      </c>
      <c r="V1196" s="23">
        <f t="shared" si="224"/>
        <v>4.2999206140237334E-2</v>
      </c>
      <c r="W1196" s="22">
        <f t="shared" si="227"/>
        <v>3.5145287660198754E-3</v>
      </c>
      <c r="X1196" s="23">
        <v>3.9541977859388844E-2</v>
      </c>
      <c r="Y1196" s="23">
        <f t="shared" si="228"/>
        <v>4.2999254956490374E-2</v>
      </c>
      <c r="Z1196" s="22">
        <f t="shared" si="229"/>
        <v>3.5145327127896753E-3</v>
      </c>
      <c r="AA1196" s="33"/>
      <c r="AB1196" s="50">
        <f t="shared" si="225"/>
        <v>1183</v>
      </c>
      <c r="AC1196" s="48">
        <f t="shared" si="220"/>
        <v>7.9503649239615434E-2</v>
      </c>
      <c r="AE1196" s="48">
        <f t="shared" si="226"/>
        <v>0.99782630143600748</v>
      </c>
      <c r="AF1196" s="48">
        <f t="shared" si="230"/>
        <v>7.9503649239614962E-2</v>
      </c>
      <c r="AH1196" s="48">
        <f t="shared" si="231"/>
        <v>-4.7184478546569153E-16</v>
      </c>
    </row>
    <row r="1197" spans="4:34" ht="13.9" customHeight="1">
      <c r="D1197" s="8"/>
      <c r="E1197" s="9"/>
      <c r="F1197" s="18"/>
      <c r="G1197" s="18"/>
      <c r="H1197" s="18"/>
      <c r="J1197" s="40"/>
      <c r="K1197" s="40"/>
      <c r="L1197" s="40"/>
      <c r="M1197" s="38"/>
      <c r="O1197" s="12">
        <f t="shared" si="221"/>
        <v>98.666666666666671</v>
      </c>
      <c r="P1197" s="13">
        <v>1184</v>
      </c>
      <c r="Q1197" s="21">
        <v>2.6016403135256772E-2</v>
      </c>
      <c r="R1197" s="18">
        <f t="shared" si="222"/>
        <v>2.6456919144848268E-2</v>
      </c>
      <c r="S1197" s="21">
        <v>3.8563152244414756E-2</v>
      </c>
      <c r="T1197" s="18">
        <f t="shared" si="223"/>
        <v>4.2999406920871008E-2</v>
      </c>
      <c r="U1197" s="23">
        <v>3.9790831736162602E-2</v>
      </c>
      <c r="V1197" s="23">
        <f t="shared" si="224"/>
        <v>4.2999214379141115E-2</v>
      </c>
      <c r="W1197" s="22">
        <f t="shared" si="227"/>
        <v>3.5145294334812949E-3</v>
      </c>
      <c r="X1197" s="23">
        <v>3.9544893016143945E-2</v>
      </c>
      <c r="Y1197" s="23">
        <f t="shared" si="228"/>
        <v>4.2999262789265247E-2</v>
      </c>
      <c r="Z1197" s="22">
        <f t="shared" si="229"/>
        <v>3.5145333474997376E-3</v>
      </c>
      <c r="AA1197" s="33"/>
      <c r="AB1197" s="50">
        <f t="shared" si="225"/>
        <v>1184</v>
      </c>
      <c r="AC1197" s="48">
        <f t="shared" si="220"/>
        <v>7.9330831560451384E-2</v>
      </c>
      <c r="AE1197" s="48">
        <f t="shared" si="226"/>
        <v>0.9978262924932807</v>
      </c>
      <c r="AF1197" s="48">
        <f t="shared" si="230"/>
        <v>7.9330831560451232E-2</v>
      </c>
      <c r="AH1197" s="48">
        <f t="shared" si="231"/>
        <v>-1.5265566588595902E-16</v>
      </c>
    </row>
    <row r="1198" spans="4:34" ht="13.9" customHeight="1">
      <c r="D1198" s="8"/>
      <c r="E1198" s="9"/>
      <c r="F1198" s="18"/>
      <c r="G1198" s="18"/>
      <c r="H1198" s="18"/>
      <c r="J1198" s="40"/>
      <c r="K1198" s="40"/>
      <c r="L1198" s="40"/>
      <c r="M1198" s="38"/>
      <c r="O1198" s="12">
        <f t="shared" si="221"/>
        <v>98.75</v>
      </c>
      <c r="P1198" s="13">
        <v>1185</v>
      </c>
      <c r="Q1198" s="21">
        <v>2.6016774799011655E-2</v>
      </c>
      <c r="R1198" s="18">
        <f t="shared" si="222"/>
        <v>2.6457027712321279E-2</v>
      </c>
      <c r="S1198" s="21">
        <v>3.8566887953050744E-2</v>
      </c>
      <c r="T1198" s="18">
        <f t="shared" si="223"/>
        <v>4.2999413431416222E-2</v>
      </c>
      <c r="U1198" s="23">
        <v>3.979353506702088E-2</v>
      </c>
      <c r="V1198" s="23">
        <f t="shared" si="224"/>
        <v>4.2999222532374537E-2</v>
      </c>
      <c r="W1198" s="22">
        <f t="shared" si="227"/>
        <v>3.5145300940651047E-3</v>
      </c>
      <c r="X1198" s="23">
        <v>3.9547803267545589E-2</v>
      </c>
      <c r="Y1198" s="23">
        <f t="shared" si="228"/>
        <v>4.2999270540204915E-2</v>
      </c>
      <c r="Z1198" s="22">
        <f t="shared" si="229"/>
        <v>3.5145339755207061E-3</v>
      </c>
      <c r="AA1198" s="33"/>
      <c r="AB1198" s="50">
        <f t="shared" si="225"/>
        <v>1185</v>
      </c>
      <c r="AC1198" s="48">
        <f t="shared" si="220"/>
        <v>7.9158388832825194E-2</v>
      </c>
      <c r="AE1198" s="48">
        <f t="shared" si="226"/>
        <v>0.99782628362473713</v>
      </c>
      <c r="AF1198" s="48">
        <f t="shared" si="230"/>
        <v>7.9158388832825055E-2</v>
      </c>
      <c r="AH1198" s="48">
        <f t="shared" si="231"/>
        <v>-1.3877787807814457E-16</v>
      </c>
    </row>
    <row r="1199" spans="4:34" ht="13.9" customHeight="1">
      <c r="D1199" s="8"/>
      <c r="E1199" s="9"/>
      <c r="F1199" s="18"/>
      <c r="G1199" s="18"/>
      <c r="H1199" s="18"/>
      <c r="J1199" s="40"/>
      <c r="K1199" s="40"/>
      <c r="L1199" s="40"/>
      <c r="M1199" s="38"/>
      <c r="O1199" s="12">
        <f t="shared" si="221"/>
        <v>98.833333333333329</v>
      </c>
      <c r="P1199" s="13">
        <v>1186</v>
      </c>
      <c r="Q1199" s="21">
        <v>2.6017145927650809E-2</v>
      </c>
      <c r="R1199" s="18">
        <f t="shared" si="222"/>
        <v>2.6457135378123553E-2</v>
      </c>
      <c r="S1199" s="21">
        <v>3.8570617380878858E-2</v>
      </c>
      <c r="T1199" s="18">
        <f t="shared" si="223"/>
        <v>4.2999419870289213E-2</v>
      </c>
      <c r="U1199" s="23">
        <v>3.9796233853006457E-2</v>
      </c>
      <c r="V1199" s="23">
        <f t="shared" si="224"/>
        <v>4.2999230600941019E-2</v>
      </c>
      <c r="W1199" s="22">
        <f t="shared" si="227"/>
        <v>3.5145307477797427E-3</v>
      </c>
      <c r="X1199" s="23">
        <v>3.955070862591259E-2</v>
      </c>
      <c r="Y1199" s="23">
        <f t="shared" si="228"/>
        <v>4.2999278209672864E-2</v>
      </c>
      <c r="Z1199" s="22">
        <f t="shared" si="229"/>
        <v>3.5145345969800346E-3</v>
      </c>
      <c r="AA1199" s="33"/>
      <c r="AB1199" s="50">
        <f t="shared" si="225"/>
        <v>1186</v>
      </c>
      <c r="AC1199" s="48">
        <f t="shared" si="220"/>
        <v>7.8986320250586703E-2</v>
      </c>
      <c r="AE1199" s="48">
        <f t="shared" si="226"/>
        <v>0.99782627482980124</v>
      </c>
      <c r="AF1199" s="48">
        <f t="shared" si="230"/>
        <v>7.8986320250586758E-2</v>
      </c>
      <c r="AH1199" s="48">
        <f t="shared" si="231"/>
        <v>0</v>
      </c>
    </row>
    <row r="1200" spans="4:34" ht="13.9" customHeight="1">
      <c r="D1200" s="8"/>
      <c r="E1200" s="9"/>
      <c r="F1200" s="18"/>
      <c r="G1200" s="18"/>
      <c r="H1200" s="18"/>
      <c r="J1200" s="40"/>
      <c r="K1200" s="40"/>
      <c r="L1200" s="40"/>
      <c r="M1200" s="38"/>
      <c r="O1200" s="12">
        <f t="shared" si="221"/>
        <v>98.916666666666671</v>
      </c>
      <c r="P1200" s="13">
        <v>1187</v>
      </c>
      <c r="Q1200" s="21">
        <v>2.6017516521767092E-2</v>
      </c>
      <c r="R1200" s="18">
        <f t="shared" si="222"/>
        <v>2.6457242150471183E-2</v>
      </c>
      <c r="S1200" s="21">
        <v>3.8574340543679364E-2</v>
      </c>
      <c r="T1200" s="18">
        <f t="shared" si="223"/>
        <v>4.299942623777131E-2</v>
      </c>
      <c r="U1200" s="23">
        <v>3.9798928105517328E-2</v>
      </c>
      <c r="V1200" s="23">
        <f t="shared" si="224"/>
        <v>4.2999238585892385E-2</v>
      </c>
      <c r="W1200" s="22">
        <f t="shared" si="227"/>
        <v>3.514531394706033E-3</v>
      </c>
      <c r="X1200" s="23">
        <v>3.9553609103522458E-2</v>
      </c>
      <c r="Y1200" s="23">
        <f t="shared" si="228"/>
        <v>4.2999285797922671E-2</v>
      </c>
      <c r="Z1200" s="22">
        <f t="shared" si="229"/>
        <v>3.5145352119072548E-3</v>
      </c>
      <c r="AA1200" s="33"/>
      <c r="AB1200" s="50">
        <f t="shared" si="225"/>
        <v>1187</v>
      </c>
      <c r="AC1200" s="48">
        <f t="shared" si="220"/>
        <v>7.8814625009246325E-2</v>
      </c>
      <c r="AE1200" s="48">
        <f t="shared" si="226"/>
        <v>0.99782626610790992</v>
      </c>
      <c r="AF1200" s="48">
        <f t="shared" si="230"/>
        <v>7.8814625009246575E-2</v>
      </c>
      <c r="AH1200" s="48">
        <f t="shared" si="231"/>
        <v>2.4980018054066022E-16</v>
      </c>
    </row>
    <row r="1201" spans="4:34" ht="13.9" customHeight="1">
      <c r="D1201" s="8"/>
      <c r="E1201" s="9"/>
      <c r="F1201" s="18"/>
      <c r="G1201" s="18"/>
      <c r="H1201" s="18"/>
      <c r="J1201" s="40"/>
      <c r="K1201" s="40"/>
      <c r="L1201" s="40"/>
      <c r="M1201" s="38"/>
      <c r="O1201" s="12">
        <f t="shared" si="221"/>
        <v>99</v>
      </c>
      <c r="P1201" s="13">
        <v>1188</v>
      </c>
      <c r="Q1201" s="21">
        <v>2.6017886581958249E-2</v>
      </c>
      <c r="R1201" s="18">
        <f t="shared" si="222"/>
        <v>2.6457348036744266E-2</v>
      </c>
      <c r="S1201" s="21">
        <v>3.8578057457179682E-2</v>
      </c>
      <c r="T1201" s="18">
        <f t="shared" si="223"/>
        <v>4.2999432536350524E-2</v>
      </c>
      <c r="U1201" s="23">
        <v>3.9801617835913738E-2</v>
      </c>
      <c r="V1201" s="23">
        <f t="shared" si="224"/>
        <v>4.2999246487709586E-2</v>
      </c>
      <c r="W1201" s="22">
        <f t="shared" si="227"/>
        <v>3.5145320349283526E-3</v>
      </c>
      <c r="X1201" s="23">
        <v>3.9556504712612073E-2</v>
      </c>
      <c r="Y1201" s="23">
        <f t="shared" si="228"/>
        <v>4.2999293306585917E-2</v>
      </c>
      <c r="Z1201" s="22">
        <f t="shared" si="229"/>
        <v>3.5145358203223509E-3</v>
      </c>
      <c r="AA1201" s="33"/>
      <c r="AB1201" s="50">
        <f t="shared" si="225"/>
        <v>1188</v>
      </c>
      <c r="AC1201" s="48">
        <f t="shared" si="220"/>
        <v>7.8643302305963586E-2</v>
      </c>
      <c r="AE1201" s="48">
        <f t="shared" si="226"/>
        <v>0.99782625745839748</v>
      </c>
      <c r="AF1201" s="48">
        <f t="shared" si="230"/>
        <v>7.8643302305963531E-2</v>
      </c>
      <c r="AH1201" s="48">
        <f t="shared" si="231"/>
        <v>0</v>
      </c>
    </row>
    <row r="1202" spans="4:34" ht="13.9" customHeight="1">
      <c r="D1202" s="8"/>
      <c r="E1202" s="9"/>
      <c r="F1202" s="18"/>
      <c r="G1202" s="18"/>
      <c r="H1202" s="18"/>
      <c r="J1202" s="40"/>
      <c r="K1202" s="40"/>
      <c r="L1202" s="40"/>
      <c r="M1202" s="38"/>
      <c r="O1202" s="12">
        <f t="shared" si="221"/>
        <v>99.083333333333329</v>
      </c>
      <c r="P1202" s="13">
        <v>1189</v>
      </c>
      <c r="Q1202" s="21">
        <v>2.6018256108826465E-2</v>
      </c>
      <c r="R1202" s="18">
        <f t="shared" si="222"/>
        <v>2.6457453043717383E-2</v>
      </c>
      <c r="S1202" s="21">
        <v>3.858176813705616E-2</v>
      </c>
      <c r="T1202" s="18">
        <f t="shared" si="223"/>
        <v>4.299943876525214E-2</v>
      </c>
      <c r="U1202" s="23">
        <v>3.9804303055518409E-2</v>
      </c>
      <c r="V1202" s="23">
        <f t="shared" si="224"/>
        <v>4.2999254307712009E-2</v>
      </c>
      <c r="W1202" s="22">
        <f t="shared" si="227"/>
        <v>3.5145326684848932E-3</v>
      </c>
      <c r="X1202" s="23">
        <v>3.9559395465378344E-2</v>
      </c>
      <c r="Y1202" s="23">
        <f t="shared" si="228"/>
        <v>4.299930073647773E-2</v>
      </c>
      <c r="Z1202" s="22">
        <f t="shared" si="229"/>
        <v>3.5145364223563291E-3</v>
      </c>
      <c r="AA1202" s="33"/>
      <c r="AB1202" s="50">
        <f t="shared" si="225"/>
        <v>1189</v>
      </c>
      <c r="AC1202" s="48">
        <f t="shared" si="220"/>
        <v>7.8472351339547566E-2</v>
      </c>
      <c r="AE1202" s="48">
        <f t="shared" si="226"/>
        <v>0.99782624888066584</v>
      </c>
      <c r="AF1202" s="48">
        <f t="shared" si="230"/>
        <v>7.8472351339547802E-2</v>
      </c>
      <c r="AH1202" s="48">
        <f t="shared" si="231"/>
        <v>2.3592239273284576E-16</v>
      </c>
    </row>
    <row r="1203" spans="4:34" ht="13.9" customHeight="1">
      <c r="D1203" s="8"/>
      <c r="E1203" s="9"/>
      <c r="F1203" s="18"/>
      <c r="G1203" s="18"/>
      <c r="H1203" s="18"/>
      <c r="J1203" s="40"/>
      <c r="K1203" s="40"/>
      <c r="L1203" s="40"/>
      <c r="M1203" s="38"/>
      <c r="O1203" s="12">
        <f t="shared" si="221"/>
        <v>99.166666666666671</v>
      </c>
      <c r="P1203" s="13">
        <v>1190</v>
      </c>
      <c r="Q1203" s="21">
        <v>2.6018625102977255E-2</v>
      </c>
      <c r="R1203" s="18">
        <f t="shared" si="222"/>
        <v>2.6457557179132785E-2</v>
      </c>
      <c r="S1203" s="21">
        <v>3.8585472598932524E-2</v>
      </c>
      <c r="T1203" s="18">
        <f t="shared" si="223"/>
        <v>4.2999444925736929E-2</v>
      </c>
      <c r="U1203" s="23">
        <v>3.9806983775617422E-2</v>
      </c>
      <c r="V1203" s="23">
        <f t="shared" si="224"/>
        <v>4.2999262046306663E-2</v>
      </c>
      <c r="W1203" s="22">
        <f t="shared" si="227"/>
        <v>3.51453329548157E-3</v>
      </c>
      <c r="X1203" s="23">
        <v>3.956228137397777E-2</v>
      </c>
      <c r="Y1203" s="23">
        <f t="shared" si="228"/>
        <v>4.2999308088506494E-2</v>
      </c>
      <c r="Z1203" s="22">
        <f t="shared" si="229"/>
        <v>3.5145370180746927E-3</v>
      </c>
      <c r="AA1203" s="33"/>
      <c r="AB1203" s="50">
        <f t="shared" si="225"/>
        <v>1190</v>
      </c>
      <c r="AC1203" s="48">
        <f t="shared" si="220"/>
        <v>7.8301771310461413E-2</v>
      </c>
      <c r="AE1203" s="48">
        <f t="shared" si="226"/>
        <v>0.99782624037416612</v>
      </c>
      <c r="AF1203" s="48">
        <f t="shared" si="230"/>
        <v>7.8301771310461649E-2</v>
      </c>
      <c r="AH1203" s="48">
        <f t="shared" si="231"/>
        <v>2.3592239273284576E-16</v>
      </c>
    </row>
    <row r="1204" spans="4:34" ht="13.9" customHeight="1">
      <c r="D1204" s="8"/>
      <c r="E1204" s="9"/>
      <c r="F1204" s="18"/>
      <c r="G1204" s="18"/>
      <c r="H1204" s="18"/>
      <c r="J1204" s="40"/>
      <c r="K1204" s="40"/>
      <c r="L1204" s="40"/>
      <c r="M1204" s="38"/>
      <c r="O1204" s="12">
        <f t="shared" si="221"/>
        <v>99.25</v>
      </c>
      <c r="P1204" s="13">
        <v>1191</v>
      </c>
      <c r="Q1204" s="21">
        <v>2.6018993565020798E-2</v>
      </c>
      <c r="R1204" s="18">
        <f t="shared" si="222"/>
        <v>2.6457660450473597E-2</v>
      </c>
      <c r="S1204" s="21">
        <v>3.8589170858380761E-2</v>
      </c>
      <c r="T1204" s="18">
        <f t="shared" si="223"/>
        <v>4.2999451018584489E-2</v>
      </c>
      <c r="U1204" s="23">
        <v>3.9809660007458669E-2</v>
      </c>
      <c r="V1204" s="23">
        <f t="shared" si="224"/>
        <v>4.2999269704964149E-2</v>
      </c>
      <c r="W1204" s="22">
        <f t="shared" si="227"/>
        <v>3.5145339159512456E-3</v>
      </c>
      <c r="X1204" s="23">
        <v>3.9565162450527103E-2</v>
      </c>
      <c r="Y1204" s="23">
        <f t="shared" si="228"/>
        <v>4.2999315362644008E-2</v>
      </c>
      <c r="Z1204" s="22">
        <f t="shared" si="229"/>
        <v>3.514537607549828E-3</v>
      </c>
      <c r="AA1204" s="33"/>
      <c r="AB1204" s="50">
        <f t="shared" si="225"/>
        <v>1191</v>
      </c>
      <c r="AC1204" s="48">
        <f t="shared" si="220"/>
        <v>7.8131561420810028E-2</v>
      </c>
      <c r="AE1204" s="48">
        <f t="shared" si="226"/>
        <v>0.99782623193827147</v>
      </c>
      <c r="AF1204" s="48">
        <f t="shared" si="230"/>
        <v>7.8131561420810194E-2</v>
      </c>
      <c r="AH1204" s="48">
        <f t="shared" si="231"/>
        <v>1.6653345369377348E-16</v>
      </c>
    </row>
    <row r="1205" spans="4:34" ht="13.9" customHeight="1">
      <c r="D1205" s="8"/>
      <c r="E1205" s="9"/>
      <c r="F1205" s="18"/>
      <c r="G1205" s="18"/>
      <c r="H1205" s="18"/>
      <c r="J1205" s="40"/>
      <c r="K1205" s="40"/>
      <c r="L1205" s="40"/>
      <c r="M1205" s="38"/>
      <c r="O1205" s="12">
        <f t="shared" si="221"/>
        <v>99.333333333333329</v>
      </c>
      <c r="P1205" s="13">
        <v>1192</v>
      </c>
      <c r="Q1205" s="21">
        <v>2.6019361495571491E-2</v>
      </c>
      <c r="R1205" s="18">
        <f t="shared" si="222"/>
        <v>2.6457762863998369E-2</v>
      </c>
      <c r="S1205" s="21">
        <v>3.8592862930921346E-2</v>
      </c>
      <c r="T1205" s="18">
        <f t="shared" si="223"/>
        <v>4.2999457044899492E-2</v>
      </c>
      <c r="U1205" s="23">
        <v>3.9812331762254294E-2</v>
      </c>
      <c r="V1205" s="23">
        <f t="shared" si="224"/>
        <v>4.2999277283883641E-2</v>
      </c>
      <c r="W1205" s="22">
        <f t="shared" si="227"/>
        <v>3.5145345300116038E-3</v>
      </c>
      <c r="X1205" s="23">
        <v>3.956803870710246E-2</v>
      </c>
      <c r="Y1205" s="23">
        <f t="shared" si="228"/>
        <v>4.2999322560441255E-2</v>
      </c>
      <c r="Z1205" s="22">
        <f t="shared" si="229"/>
        <v>3.5145381907799589E-3</v>
      </c>
      <c r="AA1205" s="33"/>
      <c r="AB1205" s="50">
        <f t="shared" si="225"/>
        <v>1192</v>
      </c>
      <c r="AC1205" s="48">
        <f t="shared" si="220"/>
        <v>7.7961720874339863E-2</v>
      </c>
      <c r="AE1205" s="48">
        <f t="shared" si="226"/>
        <v>0.99782622357237538</v>
      </c>
      <c r="AF1205" s="48">
        <f t="shared" si="230"/>
        <v>7.7961720874340126E-2</v>
      </c>
      <c r="AH1205" s="48">
        <f t="shared" si="231"/>
        <v>2.6367796834847468E-16</v>
      </c>
    </row>
    <row r="1206" spans="4:34" ht="13.9" customHeight="1">
      <c r="D1206" s="8"/>
      <c r="E1206" s="9"/>
      <c r="F1206" s="18"/>
      <c r="G1206" s="18"/>
      <c r="H1206" s="18"/>
      <c r="J1206" s="40"/>
      <c r="K1206" s="40"/>
      <c r="L1206" s="40"/>
      <c r="M1206" s="38"/>
      <c r="O1206" s="12">
        <f t="shared" si="221"/>
        <v>99.416666666666671</v>
      </c>
      <c r="P1206" s="13">
        <v>1193</v>
      </c>
      <c r="Q1206" s="21">
        <v>2.6019728895246841E-2</v>
      </c>
      <c r="R1206" s="18">
        <f t="shared" si="222"/>
        <v>2.6457864428206523E-2</v>
      </c>
      <c r="S1206" s="21">
        <v>3.8596548832023903E-2</v>
      </c>
      <c r="T1206" s="18">
        <f t="shared" si="223"/>
        <v>4.299946300497659E-2</v>
      </c>
      <c r="U1206" s="23">
        <v>3.9814999051178468E-2</v>
      </c>
      <c r="V1206" s="23">
        <f t="shared" si="224"/>
        <v>4.2999284784380531E-2</v>
      </c>
      <c r="W1206" s="22">
        <f t="shared" si="227"/>
        <v>3.5145351376786316E-3</v>
      </c>
      <c r="X1206" s="23">
        <v>3.9570910155740657E-2</v>
      </c>
      <c r="Y1206" s="23">
        <f t="shared" si="228"/>
        <v>4.2999329682966492E-2</v>
      </c>
      <c r="Z1206" s="22">
        <f t="shared" si="229"/>
        <v>3.5145387678892082E-3</v>
      </c>
      <c r="AA1206" s="33"/>
      <c r="AB1206" s="50">
        <f t="shared" si="225"/>
        <v>1193</v>
      </c>
      <c r="AC1206" s="48">
        <f t="shared" si="220"/>
        <v>7.7792248876444148E-2</v>
      </c>
      <c r="AE1206" s="48">
        <f t="shared" si="226"/>
        <v>0.99782621527597071</v>
      </c>
      <c r="AF1206" s="48">
        <f t="shared" si="230"/>
        <v>7.7792248876444453E-2</v>
      </c>
      <c r="AH1206" s="48">
        <f t="shared" si="231"/>
        <v>3.0531133177191805E-16</v>
      </c>
    </row>
    <row r="1207" spans="4:34" ht="13.9" customHeight="1">
      <c r="D1207" s="8"/>
      <c r="E1207" s="9"/>
      <c r="F1207" s="18"/>
      <c r="G1207" s="18"/>
      <c r="H1207" s="18"/>
      <c r="J1207" s="40"/>
      <c r="K1207" s="40"/>
      <c r="L1207" s="40"/>
      <c r="M1207" s="38"/>
      <c r="O1207" s="12">
        <f t="shared" si="221"/>
        <v>99.5</v>
      </c>
      <c r="P1207" s="13">
        <v>1194</v>
      </c>
      <c r="Q1207" s="21">
        <v>2.602009576466946E-2</v>
      </c>
      <c r="R1207" s="18">
        <f t="shared" si="222"/>
        <v>2.6457965149206952E-2</v>
      </c>
      <c r="S1207" s="21">
        <v>3.8600228577106543E-2</v>
      </c>
      <c r="T1207" s="18">
        <f t="shared" si="223"/>
        <v>4.2999468899153515E-2</v>
      </c>
      <c r="U1207" s="23">
        <v>3.9817661885369615E-2</v>
      </c>
      <c r="V1207" s="23">
        <f t="shared" si="224"/>
        <v>4.2999292206880257E-2</v>
      </c>
      <c r="W1207" s="22">
        <f t="shared" si="227"/>
        <v>3.5145357390580223E-3</v>
      </c>
      <c r="X1207" s="23">
        <v>3.9573776808439209E-2</v>
      </c>
      <c r="Y1207" s="23">
        <f t="shared" si="228"/>
        <v>4.2999336730433768E-2</v>
      </c>
      <c r="Z1207" s="22">
        <f t="shared" si="229"/>
        <v>3.514539338963063E-3</v>
      </c>
      <c r="AA1207" s="33"/>
      <c r="AB1207" s="50">
        <f t="shared" si="225"/>
        <v>1194</v>
      </c>
      <c r="AC1207" s="48">
        <f t="shared" si="220"/>
        <v>7.7623144634145019E-2</v>
      </c>
      <c r="AE1207" s="48">
        <f t="shared" si="226"/>
        <v>0.99782620704836955</v>
      </c>
      <c r="AF1207" s="48">
        <f t="shared" si="230"/>
        <v>7.7623144634145352E-2</v>
      </c>
      <c r="AH1207" s="48">
        <f t="shared" si="231"/>
        <v>3.3306690738754696E-16</v>
      </c>
    </row>
    <row r="1208" spans="4:34" ht="13.9" customHeight="1">
      <c r="D1208" s="8"/>
      <c r="E1208" s="9"/>
      <c r="F1208" s="18"/>
      <c r="G1208" s="18"/>
      <c r="H1208" s="18"/>
      <c r="J1208" s="40"/>
      <c r="K1208" s="40"/>
      <c r="L1208" s="40"/>
      <c r="M1208" s="38"/>
      <c r="O1208" s="12">
        <f t="shared" si="221"/>
        <v>99.583333333333329</v>
      </c>
      <c r="P1208" s="13">
        <v>1195</v>
      </c>
      <c r="Q1208" s="21">
        <v>2.6020462104464848E-2</v>
      </c>
      <c r="R1208" s="18">
        <f t="shared" si="222"/>
        <v>2.6458065033338141E-2</v>
      </c>
      <c r="S1208" s="21">
        <v>3.8603902181536309E-2</v>
      </c>
      <c r="T1208" s="18">
        <f t="shared" si="223"/>
        <v>4.2999474729068288E-2</v>
      </c>
      <c r="U1208" s="23">
        <v>3.9820320275928855E-2</v>
      </c>
      <c r="V1208" s="23">
        <f t="shared" si="224"/>
        <v>4.2999299552289427E-2</v>
      </c>
      <c r="W1208" s="22">
        <f t="shared" si="227"/>
        <v>3.5145363341835267E-3</v>
      </c>
      <c r="X1208" s="23">
        <v>3.9576638677155884E-2</v>
      </c>
      <c r="Y1208" s="23">
        <f t="shared" si="228"/>
        <v>4.2999343703429949E-2</v>
      </c>
      <c r="Z1208" s="22">
        <f t="shared" si="229"/>
        <v>3.514539904019065E-3</v>
      </c>
      <c r="AA1208" s="33"/>
      <c r="AB1208" s="50">
        <f t="shared" si="225"/>
        <v>1195</v>
      </c>
      <c r="AC1208" s="48">
        <f t="shared" si="220"/>
        <v>7.7454407356106716E-2</v>
      </c>
      <c r="AE1208" s="48">
        <f t="shared" si="226"/>
        <v>0.99782619888907631</v>
      </c>
      <c r="AF1208" s="48">
        <f t="shared" si="230"/>
        <v>7.7454407356106258E-2</v>
      </c>
      <c r="AH1208" s="48">
        <f t="shared" si="231"/>
        <v>-4.5796699765787707E-16</v>
      </c>
    </row>
    <row r="1209" spans="4:34" ht="13.9" customHeight="1">
      <c r="D1209" s="8"/>
      <c r="E1209" s="9"/>
      <c r="F1209" s="18"/>
      <c r="G1209" s="18"/>
      <c r="H1209" s="18"/>
      <c r="J1209" s="40"/>
      <c r="K1209" s="40"/>
      <c r="L1209" s="40"/>
      <c r="M1209" s="38"/>
      <c r="O1209" s="12">
        <f t="shared" si="221"/>
        <v>99.666666666666671</v>
      </c>
      <c r="P1209" s="13">
        <v>1196</v>
      </c>
      <c r="Q1209" s="21">
        <v>2.6020827915262057E-2</v>
      </c>
      <c r="R1209" s="18">
        <f t="shared" si="222"/>
        <v>2.6458164089286695E-2</v>
      </c>
      <c r="S1209" s="21">
        <v>3.8607569660630059E-2</v>
      </c>
      <c r="T1209" s="18">
        <f t="shared" si="223"/>
        <v>4.2999480495212961E-2</v>
      </c>
      <c r="U1209" s="23">
        <v>3.9822974233921338E-2</v>
      </c>
      <c r="V1209" s="23">
        <f t="shared" si="224"/>
        <v>4.2999306821273953E-2</v>
      </c>
      <c r="W1209" s="22">
        <f t="shared" si="227"/>
        <v>3.5145369231279755E-3</v>
      </c>
      <c r="X1209" s="23">
        <v>3.9579495773808926E-2</v>
      </c>
      <c r="Y1209" s="23">
        <f t="shared" si="228"/>
        <v>4.2999350603726061E-2</v>
      </c>
      <c r="Z1209" s="22">
        <f t="shared" si="229"/>
        <v>3.5145404631040655E-3</v>
      </c>
      <c r="AA1209" s="33"/>
      <c r="AB1209" s="50">
        <f t="shared" si="225"/>
        <v>1196</v>
      </c>
      <c r="AC1209" s="48">
        <f t="shared" si="220"/>
        <v>7.7286036252627796E-2</v>
      </c>
      <c r="AE1209" s="48">
        <f t="shared" si="226"/>
        <v>0.99782619079757762</v>
      </c>
      <c r="AF1209" s="48">
        <f t="shared" si="230"/>
        <v>7.728603625262738E-2</v>
      </c>
      <c r="AH1209" s="48">
        <f t="shared" si="231"/>
        <v>-4.163336342344337E-16</v>
      </c>
    </row>
    <row r="1210" spans="4:34" ht="13.9" customHeight="1">
      <c r="D1210" s="8"/>
      <c r="E1210" s="9"/>
      <c r="F1210" s="18"/>
      <c r="G1210" s="18"/>
      <c r="H1210" s="18"/>
      <c r="J1210" s="40"/>
      <c r="K1210" s="40"/>
      <c r="L1210" s="40"/>
      <c r="M1210" s="38"/>
      <c r="O1210" s="12">
        <f t="shared" si="221"/>
        <v>99.75</v>
      </c>
      <c r="P1210" s="13">
        <v>1197</v>
      </c>
      <c r="Q1210" s="21">
        <v>2.6021193197695025E-2</v>
      </c>
      <c r="R1210" s="18">
        <f t="shared" si="222"/>
        <v>2.645826232272408E-2</v>
      </c>
      <c r="S1210" s="21">
        <v>3.8611231029654025E-2</v>
      </c>
      <c r="T1210" s="18">
        <f t="shared" si="223"/>
        <v>4.2999486197231818E-2</v>
      </c>
      <c r="U1210" s="23">
        <v>3.9825623770375573E-2</v>
      </c>
      <c r="V1210" s="23">
        <f t="shared" si="224"/>
        <v>4.2999314015363943E-2</v>
      </c>
      <c r="W1210" s="22">
        <f t="shared" si="227"/>
        <v>3.5145375059448813E-3</v>
      </c>
      <c r="X1210" s="23">
        <v>3.9582348110277943E-2</v>
      </c>
      <c r="Y1210" s="23">
        <f t="shared" si="228"/>
        <v>4.2999357430888452E-2</v>
      </c>
      <c r="Z1210" s="22">
        <f t="shared" si="229"/>
        <v>3.5145410163601731E-3</v>
      </c>
      <c r="AA1210" s="33"/>
      <c r="AB1210" s="50">
        <f t="shared" si="225"/>
        <v>1197</v>
      </c>
      <c r="AC1210" s="48">
        <f t="shared" si="220"/>
        <v>7.7118030535627852E-2</v>
      </c>
      <c r="AE1210" s="48">
        <f t="shared" si="226"/>
        <v>0.99782618277316992</v>
      </c>
      <c r="AF1210" s="48">
        <f t="shared" si="230"/>
        <v>7.7118030535628004E-2</v>
      </c>
      <c r="AH1210" s="48">
        <f t="shared" si="231"/>
        <v>1.5265566588595902E-16</v>
      </c>
    </row>
    <row r="1211" spans="4:34" ht="13.9" customHeight="1">
      <c r="D1211" s="8"/>
      <c r="E1211" s="9"/>
      <c r="F1211" s="18"/>
      <c r="G1211" s="18"/>
      <c r="H1211" s="18"/>
      <c r="J1211" s="40"/>
      <c r="K1211" s="40"/>
      <c r="L1211" s="40"/>
      <c r="M1211" s="38"/>
      <c r="O1211" s="12">
        <f t="shared" si="221"/>
        <v>99.833333333333329</v>
      </c>
      <c r="P1211" s="13">
        <v>1198</v>
      </c>
      <c r="Q1211" s="21">
        <v>2.6021557952400132E-2</v>
      </c>
      <c r="R1211" s="18">
        <f t="shared" si="222"/>
        <v>2.6458359740717974E-2</v>
      </c>
      <c r="S1211" s="21">
        <v>3.8614886303823592E-2</v>
      </c>
      <c r="T1211" s="18">
        <f t="shared" si="223"/>
        <v>4.2999491837387049E-2</v>
      </c>
      <c r="U1211" s="23">
        <v>3.9828268896284769E-2</v>
      </c>
      <c r="V1211" s="23">
        <f t="shared" si="224"/>
        <v>4.2999321134460144E-2</v>
      </c>
      <c r="W1211" s="22">
        <f t="shared" si="227"/>
        <v>3.5145380827570349E-3</v>
      </c>
      <c r="X1211" s="23">
        <v>3.9585195698403242E-2</v>
      </c>
      <c r="Y1211" s="23">
        <f t="shared" si="228"/>
        <v>4.299936418649164E-2</v>
      </c>
      <c r="Z1211" s="22">
        <f t="shared" si="229"/>
        <v>3.5145415637523048E-3</v>
      </c>
      <c r="AA1211" s="33"/>
      <c r="AB1211" s="50">
        <f t="shared" si="225"/>
        <v>1198</v>
      </c>
      <c r="AC1211" s="48">
        <f t="shared" si="220"/>
        <v>7.6950389418662807E-2</v>
      </c>
      <c r="AE1211" s="48">
        <f t="shared" si="226"/>
        <v>0.99782617481539393</v>
      </c>
      <c r="AF1211" s="48">
        <f t="shared" si="230"/>
        <v>7.6950389418662432E-2</v>
      </c>
      <c r="AH1211" s="48">
        <f t="shared" si="231"/>
        <v>-3.7470027081099033E-16</v>
      </c>
    </row>
    <row r="1212" spans="4:34" ht="13.9" customHeight="1">
      <c r="D1212" s="8"/>
      <c r="E1212" s="9"/>
      <c r="F1212" s="18"/>
      <c r="G1212" s="18"/>
      <c r="H1212" s="18"/>
      <c r="J1212" s="40"/>
      <c r="K1212" s="40"/>
      <c r="L1212" s="40"/>
      <c r="M1212" s="38"/>
      <c r="O1212" s="12">
        <f t="shared" si="221"/>
        <v>99.916666666666671</v>
      </c>
      <c r="P1212" s="13">
        <v>1199</v>
      </c>
      <c r="Q1212" s="21">
        <v>2.6021922180017976E-2</v>
      </c>
      <c r="R1212" s="18">
        <f t="shared" si="222"/>
        <v>2.6458456350058501E-2</v>
      </c>
      <c r="S1212" s="21">
        <v>3.8618535498304851E-2</v>
      </c>
      <c r="T1212" s="18">
        <f t="shared" si="223"/>
        <v>4.2999497415695087E-2</v>
      </c>
      <c r="U1212" s="23">
        <v>3.9830909622605271E-2</v>
      </c>
      <c r="V1212" s="23">
        <f t="shared" si="224"/>
        <v>4.2999328179561314E-2</v>
      </c>
      <c r="W1212" s="22">
        <f t="shared" si="227"/>
        <v>3.5145386535559986E-3</v>
      </c>
      <c r="X1212" s="23">
        <v>3.9588038549986493E-2</v>
      </c>
      <c r="Y1212" s="23">
        <f t="shared" si="228"/>
        <v>4.299937087113892E-2</v>
      </c>
      <c r="Z1212" s="22">
        <f t="shared" si="229"/>
        <v>3.5145421054070258E-3</v>
      </c>
      <c r="AA1212" s="33"/>
      <c r="AB1212" s="50">
        <f t="shared" si="225"/>
        <v>1199</v>
      </c>
      <c r="AC1212" s="48">
        <f t="shared" si="220"/>
        <v>7.6783112116908303E-2</v>
      </c>
      <c r="AE1212" s="48">
        <f t="shared" si="226"/>
        <v>0.99782616692367687</v>
      </c>
      <c r="AF1212" s="48">
        <f t="shared" si="230"/>
        <v>7.6783112116908192E-2</v>
      </c>
      <c r="AH1212" s="48">
        <f t="shared" si="231"/>
        <v>-1.1102230246251565E-16</v>
      </c>
    </row>
    <row r="1213" spans="4:34" ht="13.9" customHeight="1">
      <c r="D1213" s="8"/>
      <c r="E1213" s="9"/>
      <c r="F1213" s="18"/>
      <c r="G1213" s="18"/>
      <c r="H1213" s="18"/>
      <c r="J1213" s="40"/>
      <c r="K1213" s="40"/>
      <c r="L1213" s="40"/>
      <c r="M1213" s="38"/>
      <c r="O1213" s="12">
        <f t="shared" si="221"/>
        <v>100</v>
      </c>
      <c r="P1213" s="13">
        <v>1200</v>
      </c>
      <c r="Q1213" s="21">
        <v>2.6022285881192264E-2</v>
      </c>
      <c r="R1213" s="18">
        <f t="shared" si="222"/>
        <v>2.645855215745363E-2</v>
      </c>
      <c r="S1213" s="21">
        <v>3.8622178628213932E-2</v>
      </c>
      <c r="T1213" s="18">
        <f t="shared" si="223"/>
        <v>4.2999502932354439E-2</v>
      </c>
      <c r="U1213" s="23">
        <v>3.9833545960257899E-2</v>
      </c>
      <c r="V1213" s="23">
        <f t="shared" si="224"/>
        <v>4.299933515185117E-2</v>
      </c>
      <c r="W1213" s="22">
        <f t="shared" si="227"/>
        <v>3.5145392184223745E-3</v>
      </c>
      <c r="X1213" s="23">
        <v>3.9590876676790732E-2</v>
      </c>
      <c r="Y1213" s="23">
        <f t="shared" si="228"/>
        <v>4.2999377485608559E-2</v>
      </c>
      <c r="Z1213" s="22">
        <f t="shared" si="229"/>
        <v>3.51454264137252E-3</v>
      </c>
      <c r="AA1213" s="33"/>
      <c r="AB1213" s="50">
        <f t="shared" si="225"/>
        <v>1200</v>
      </c>
      <c r="AC1213" s="48">
        <f t="shared" si="220"/>
        <v>7.6616197847164821E-2</v>
      </c>
      <c r="AE1213" s="48">
        <f t="shared" si="226"/>
        <v>0.99782615909746852</v>
      </c>
      <c r="AF1213" s="48">
        <f t="shared" si="230"/>
        <v>7.6616197847164794E-2</v>
      </c>
      <c r="AH1213" s="48">
        <f t="shared" si="231"/>
        <v>0</v>
      </c>
    </row>
    <row r="1214" spans="4:34" ht="13.9" customHeight="1">
      <c r="D1214" s="10"/>
      <c r="E1214" s="11"/>
      <c r="F1214" s="19"/>
      <c r="G1214" s="19"/>
      <c r="H1214" s="19"/>
      <c r="J1214" s="41"/>
      <c r="K1214" s="41"/>
      <c r="L1214" s="41"/>
      <c r="M1214" s="39"/>
      <c r="O1214" s="12">
        <f t="shared" si="221"/>
        <v>100.08333333333333</v>
      </c>
      <c r="P1214" s="13">
        <v>1201</v>
      </c>
      <c r="Q1214" s="26">
        <v>2.6022649056570479E-2</v>
      </c>
      <c r="R1214" s="19"/>
      <c r="S1214" s="26">
        <v>3.8625815708616562E-2</v>
      </c>
      <c r="T1214" s="19"/>
      <c r="U1214" s="27">
        <v>3.9836177920128168E-2</v>
      </c>
      <c r="V1214" s="27"/>
      <c r="W1214" s="28"/>
      <c r="X1214" s="27">
        <v>3.9593710090540579E-2</v>
      </c>
      <c r="Y1214" s="27"/>
      <c r="Z1214" s="28"/>
      <c r="AA1214" s="33"/>
      <c r="AB1214" s="33"/>
    </row>
  </sheetData>
  <mergeCells count="50">
    <mergeCell ref="X8:Z8"/>
    <mergeCell ref="X9:Z9"/>
    <mergeCell ref="X10:Z10"/>
    <mergeCell ref="Y11:Z11"/>
    <mergeCell ref="X3:Z3"/>
    <mergeCell ref="X4:Z4"/>
    <mergeCell ref="X5:Z5"/>
    <mergeCell ref="X6:Z6"/>
    <mergeCell ref="X7:Z7"/>
    <mergeCell ref="D1:H1"/>
    <mergeCell ref="S3:T3"/>
    <mergeCell ref="S4:T4"/>
    <mergeCell ref="S5:T5"/>
    <mergeCell ref="E3:H3"/>
    <mergeCell ref="E4:H4"/>
    <mergeCell ref="E5:H5"/>
    <mergeCell ref="Q3:R3"/>
    <mergeCell ref="Q4:R4"/>
    <mergeCell ref="Q5:R11"/>
    <mergeCell ref="O7:P7"/>
    <mergeCell ref="S6:T6"/>
    <mergeCell ref="S8:T8"/>
    <mergeCell ref="S9:T9"/>
    <mergeCell ref="S11:T11"/>
    <mergeCell ref="S10:T10"/>
    <mergeCell ref="S7:T7"/>
    <mergeCell ref="O8:P8"/>
    <mergeCell ref="O9:P9"/>
    <mergeCell ref="O11:P11"/>
    <mergeCell ref="O10:P10"/>
    <mergeCell ref="V11:W11"/>
    <mergeCell ref="U6:W6"/>
    <mergeCell ref="U7:W7"/>
    <mergeCell ref="U8:W8"/>
    <mergeCell ref="U9:W9"/>
    <mergeCell ref="U10:W10"/>
    <mergeCell ref="O6:P6"/>
    <mergeCell ref="U3:W3"/>
    <mergeCell ref="U4:W4"/>
    <mergeCell ref="U5:W5"/>
    <mergeCell ref="E6:H6"/>
    <mergeCell ref="K6:M6"/>
    <mergeCell ref="K3:M3"/>
    <mergeCell ref="K4:M4"/>
    <mergeCell ref="K5:M5"/>
    <mergeCell ref="J1:M1"/>
    <mergeCell ref="O1:Z1"/>
    <mergeCell ref="O3:P3"/>
    <mergeCell ref="O4:P4"/>
    <mergeCell ref="O5:P5"/>
  </mergeCells>
  <phoneticPr fontId="2" type="noConversion"/>
  <pageMargins left="0.25" right="0.25" top="0.75" bottom="0.75" header="0.3" footer="0.3"/>
  <pageSetup paperSize="9" scale="5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원화 무위험 금리기간구조</vt:lpstr>
    </vt:vector>
  </TitlesOfParts>
  <Company>한국금융감독원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FSS_15U590</dc:creator>
  <cp:lastModifiedBy>동국 김</cp:lastModifiedBy>
  <cp:lastPrinted>2022-04-01T07:30:59Z</cp:lastPrinted>
  <dcterms:created xsi:type="dcterms:W3CDTF">2021-08-24T04:22:45Z</dcterms:created>
  <dcterms:modified xsi:type="dcterms:W3CDTF">2025-09-22T04:16:52Z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soo_Trace_ID">
    <vt:lpwstr>eyJub2RlMSI6eyJkc2QiOiIwMDAwMDAwMDAwMDAwMDAwIiwibG9nVGltZSI6IjIwMjUtMDgtMDhUMDA6MjU6MDdaIiwicElEIjoyMDQ4LCJ0cmFjZUlkIjoiQjM2OUU2RjMyMDg3NDdBNTg4MUQ3QTMwRTYyQkExNDkiLCJ1c2VyQ29kZSI6IjIyNDAxOTMifSwibm9kZTIiOnsiZHNkIjoiMDEwMDAwMDAwMDAwMTczOSIsImxvZ1RpbWUiOiIyMDI1LTA5LTAxVDA2OjM5OjExWiIsInBJRCI6MSwidHJhY2VJZCI6IjE3MTQzMjAyRkQ4MjQ1OUI4NDlEQjVCNDM3MjIxNzc4IiwidXNlckNvZGUiOiIyMjQwMTkzIn0sIm5vZGUzIjp7ImRzZCI6IjAxMDAwMDAwMDAwMDE3MzkiLCJsb2dUaW1lIjoiMjAyNS0wOS0wMVQwNzowMzozM1oiLCJwSUQiOjEsInRyYWNlSWQiOiI5QkQ5Q0JBODY2MTI0Qjg0QUM2NERDN0NFNTM4MjlGMSIsInVzZXJDb2RlIjoiMjI0MDE5MyJ9LCJub2RlNCI6eyJkc2QiOiIwMTAwMDAwMDAwMDAxNzM5IiwibG9nVGltZSI6IjIwMjUtMDktMDNUMDc6MTc6MDJaIiwicElEIjoxLCJ0cmFjZUlkIjoiRjZGRjA4ODQyNkMyNDExQzlDMzkwODAwQTY5QjNGQ0EiLCJ1c2VyQ29kZSI6IjIyNDAxOTMifSwibm9kZTUiOnsiZHNkIjoiMDAwMDAwMDAwMDAwMDAwMCIsImxvZ1RpbWUiOiIyMDI1LTA5LTAzVDA4OjAwOjA4WiIsInBJRCI6MjA0OCwidHJhY2VJZCI6IjAxNDhBRDM1NTlBMjQ5RDI5NzZBNUZCMUY0MzQwRTlEIiwidXNlckNvZGUiOiIyMjQwMTkzIn0sIm5vZGVDb3VudCI6MTJ9</vt:lpwstr>
  </property>
</Properties>
</file>